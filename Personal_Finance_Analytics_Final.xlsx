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tomas\Desktop\RawData\excel_portfolio_datasets\"/>
    </mc:Choice>
  </mc:AlternateContent>
  <xr:revisionPtr revIDLastSave="0" documentId="8_{B3655F73-9985-4B9F-913A-06DFF29906F8}" xr6:coauthVersionLast="47" xr6:coauthVersionMax="47" xr10:uidLastSave="{00000000-0000-0000-0000-000000000000}"/>
  <bookViews>
    <workbookView xWindow="-110" yWindow="-110" windowWidth="38620" windowHeight="21820" activeTab="5" xr2:uid="{00000000-000D-0000-FFFF-FFFF00000000}"/>
  </bookViews>
  <sheets>
    <sheet name="Clean Table" sheetId="3" r:id="rId1"/>
    <sheet name="Analysis" sheetId="4" r:id="rId2"/>
    <sheet name="Raw_Data" sheetId="1" state="hidden" r:id="rId3"/>
    <sheet name="Monthly Analysis" sheetId="5" r:id="rId4"/>
    <sheet name="Expense &amp; Income Analysis" sheetId="7" r:id="rId5"/>
    <sheet name="Dashboard" sheetId="8" r:id="rId6"/>
  </sheets>
  <definedNames>
    <definedName name="ExternalData_1" localSheetId="0" hidden="1">'Clean Table'!$A$1:$J$3501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8" l="1"/>
  <c r="C8" i="4"/>
  <c r="C10" i="4" s="1"/>
  <c r="C12" i="4" s="1"/>
  <c r="C14" i="4"/>
  <c r="N7" i="8" s="1"/>
  <c r="C16" i="4"/>
  <c r="C18" i="4"/>
  <c r="C6" i="4"/>
  <c r="BD17" i="7"/>
  <c r="BD16" i="7"/>
  <c r="BD15" i="7"/>
  <c r="BD29" i="7"/>
  <c r="BD27" i="7"/>
  <c r="BD30" i="7"/>
  <c r="BD31" i="7"/>
  <c r="BD26" i="7"/>
  <c r="BD28" i="7"/>
  <c r="BD25" i="7"/>
  <c r="N10" i="7"/>
  <c r="N11" i="7"/>
  <c r="N9" i="7"/>
  <c r="D10" i="7"/>
  <c r="D11" i="7"/>
  <c r="D12" i="7"/>
  <c r="D13" i="7"/>
  <c r="D14" i="7"/>
  <c r="D15" i="7"/>
  <c r="D9" i="7"/>
  <c r="F28" i="5"/>
  <c r="G28" i="5" s="1"/>
  <c r="F6" i="5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G25" i="5" s="1"/>
  <c r="F26" i="5"/>
  <c r="G26" i="5" s="1"/>
  <c r="F27" i="5"/>
  <c r="G27" i="5" s="1"/>
  <c r="F5" i="5"/>
  <c r="G5" i="5" s="1"/>
  <c r="C22" i="4" l="1"/>
  <c r="F7" i="8"/>
  <c r="D7" i="8"/>
  <c r="L7" i="8"/>
  <c r="H7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955A28-5EC4-474F-9C5A-1090ECA41A53}" keepAlive="1" name="Query - raw_table" description="Connection to the 'raw_table' query in the workbook." type="5" refreshedVersion="8" background="1" saveData="1">
    <dbPr connection="Provider=Microsoft.Mashup.OleDb.1;Data Source=$Workbook$;Location=raw_table;Extended Properties=&quot;&quot;" command="SELECT * FROM [raw_table]"/>
  </connection>
</connections>
</file>

<file path=xl/sharedStrings.xml><?xml version="1.0" encoding="utf-8"?>
<sst xmlns="http://schemas.openxmlformats.org/spreadsheetml/2006/main" count="56134" uniqueCount="3758">
  <si>
    <t>Transaction_ID</t>
  </si>
  <si>
    <t>Date</t>
  </si>
  <si>
    <t>Description</t>
  </si>
  <si>
    <t>Category</t>
  </si>
  <si>
    <t>Subcategory</t>
  </si>
  <si>
    <t>Type</t>
  </si>
  <si>
    <t>Amount</t>
  </si>
  <si>
    <t>Account</t>
  </si>
  <si>
    <t>Payment_Method</t>
  </si>
  <si>
    <t>Merchant</t>
  </si>
  <si>
    <t>TXN103021</t>
  </si>
  <si>
    <t>Lidl - Restaurants</t>
  </si>
  <si>
    <t>Food</t>
  </si>
  <si>
    <t>Restaurants</t>
  </si>
  <si>
    <t>Expense</t>
  </si>
  <si>
    <t>Main Bank</t>
  </si>
  <si>
    <t>Direct Debit</t>
  </si>
  <si>
    <t>Lidl</t>
  </si>
  <si>
    <t>TXN102377</t>
  </si>
  <si>
    <t>EDEKA - Restaurants</t>
  </si>
  <si>
    <t xml:space="preserve"> Food</t>
  </si>
  <si>
    <t>Revolut</t>
  </si>
  <si>
    <t>Debit Card</t>
  </si>
  <si>
    <t>EDEKA</t>
  </si>
  <si>
    <t>TXN102040</t>
  </si>
  <si>
    <t>Lidl - Groceries</t>
  </si>
  <si>
    <t>Groceries</t>
  </si>
  <si>
    <t>TXN101552</t>
  </si>
  <si>
    <t>Spotify - Streaming</t>
  </si>
  <si>
    <t>Entertainment</t>
  </si>
  <si>
    <t>Streaming</t>
  </si>
  <si>
    <t>Spotify</t>
  </si>
  <si>
    <t>TXN102049</t>
  </si>
  <si>
    <t>Zalando - Household</t>
  </si>
  <si>
    <t>Shopping</t>
  </si>
  <si>
    <t>Household</t>
  </si>
  <si>
    <t>Bank Transfer</t>
  </si>
  <si>
    <t>Zalando</t>
  </si>
  <si>
    <t>TXN102938</t>
  </si>
  <si>
    <t>Amazon - Clothing</t>
  </si>
  <si>
    <t>Clothing</t>
  </si>
  <si>
    <t>Amazon</t>
  </si>
  <si>
    <t>TXN102814</t>
  </si>
  <si>
    <t>McDonald's - Groceries</t>
  </si>
  <si>
    <t>McDonald's</t>
  </si>
  <si>
    <t>TXN100601</t>
  </si>
  <si>
    <t>Local Restaurant - Restaurants</t>
  </si>
  <si>
    <t>Credit Card</t>
  </si>
  <si>
    <t>Local Restaurant</t>
  </si>
  <si>
    <t>TXN101261</t>
  </si>
  <si>
    <t>McDonald's - Takeaway</t>
  </si>
  <si>
    <t>Takeaway</t>
  </si>
  <si>
    <t>TXN100428</t>
  </si>
  <si>
    <t>Employer Bonus - Bonus</t>
  </si>
  <si>
    <t>Income</t>
  </si>
  <si>
    <t>Bonus</t>
  </si>
  <si>
    <t>Employer Bonus</t>
  </si>
  <si>
    <t>TXN100926</t>
  </si>
  <si>
    <t>Landlord - Internet</t>
  </si>
  <si>
    <t>Housing</t>
  </si>
  <si>
    <t>Internet</t>
  </si>
  <si>
    <t>Landlord</t>
  </si>
  <si>
    <t>TXN100575</t>
  </si>
  <si>
    <t>Freelance Client - Freelance</t>
  </si>
  <si>
    <t>Freelance</t>
  </si>
  <si>
    <t>Freelance Client</t>
  </si>
  <si>
    <t>TXN102291</t>
  </si>
  <si>
    <t>TXN100432</t>
  </si>
  <si>
    <t>Lufthansa - Flights</t>
  </si>
  <si>
    <t>Travel</t>
  </si>
  <si>
    <t>Flights</t>
  </si>
  <si>
    <t>Lufthansa</t>
  </si>
  <si>
    <t>TXN100179</t>
  </si>
  <si>
    <t>Freelance Client - Salary</t>
  </si>
  <si>
    <t>Salary</t>
  </si>
  <si>
    <t>TXN102175</t>
  </si>
  <si>
    <t>REWE - Restaurants</t>
  </si>
  <si>
    <t>REWE</t>
  </si>
  <si>
    <t>TXN101968</t>
  </si>
  <si>
    <t>Auto Service - Public Transport</t>
  </si>
  <si>
    <t>Transport</t>
  </si>
  <si>
    <t>Public Transport</t>
  </si>
  <si>
    <t>Auto Service</t>
  </si>
  <si>
    <t>TXN101507</t>
  </si>
  <si>
    <t>Cash</t>
  </si>
  <si>
    <t>TXN102376</t>
  </si>
  <si>
    <t>TXN101418</t>
  </si>
  <si>
    <t>TXN101559</t>
  </si>
  <si>
    <t>Employer - Salary</t>
  </si>
  <si>
    <t>Employer</t>
  </si>
  <si>
    <t>TXN103279</t>
  </si>
  <si>
    <t>Auto Service - Car Maintenance</t>
  </si>
  <si>
    <t>Car Maintenance</t>
  </si>
  <si>
    <t>TXN103366</t>
  </si>
  <si>
    <t>Netflix - Games</t>
  </si>
  <si>
    <t>Games</t>
  </si>
  <si>
    <t>Netflix</t>
  </si>
  <si>
    <t>TXN101200</t>
  </si>
  <si>
    <t>Savings</t>
  </si>
  <si>
    <t>TXN100236</t>
  </si>
  <si>
    <t>Gym - Doctor</t>
  </si>
  <si>
    <t>Health</t>
  </si>
  <si>
    <t>Doctor</t>
  </si>
  <si>
    <t>Gym</t>
  </si>
  <si>
    <t>TXN100748</t>
  </si>
  <si>
    <t>TXN100145</t>
  </si>
  <si>
    <t>TXN103468</t>
  </si>
  <si>
    <t>TXN102030</t>
  </si>
  <si>
    <t>TXN102497</t>
  </si>
  <si>
    <t>Amazon - Household</t>
  </si>
  <si>
    <t>TXN100682</t>
  </si>
  <si>
    <t>EDEKA - Groceries</t>
  </si>
  <si>
    <t>TXN101932</t>
  </si>
  <si>
    <t>Zalando - Clothing</t>
  </si>
  <si>
    <t>TXN102115</t>
  </si>
  <si>
    <t>TXN101558</t>
  </si>
  <si>
    <t>Shell - Fuel</t>
  </si>
  <si>
    <t>Fuel</t>
  </si>
  <si>
    <t>Shell</t>
  </si>
  <si>
    <t>TXN103462</t>
  </si>
  <si>
    <t>TXN100904</t>
  </si>
  <si>
    <t>MediaMarkt - Electronics</t>
  </si>
  <si>
    <t>Electronics</t>
  </si>
  <si>
    <t>MediaMarkt</t>
  </si>
  <si>
    <t>TXN103050</t>
  </si>
  <si>
    <t>McDonald's - Restaurants</t>
  </si>
  <si>
    <t>TXN103243</t>
  </si>
  <si>
    <t>TXN102321</t>
  </si>
  <si>
    <t>TXN100769</t>
  </si>
  <si>
    <t>TXN101482</t>
  </si>
  <si>
    <t>Local Restaurant - Groceries</t>
  </si>
  <si>
    <t>TXN103421</t>
  </si>
  <si>
    <t>Hotel - Flights</t>
  </si>
  <si>
    <t>Hotel</t>
  </si>
  <si>
    <t>TXN101533</t>
  </si>
  <si>
    <t>Pharmacy - Doctor</t>
  </si>
  <si>
    <t>Pharmacy</t>
  </si>
  <si>
    <t>TXN100755</t>
  </si>
  <si>
    <t>REWE - Groceries</t>
  </si>
  <si>
    <t>TXN102981</t>
  </si>
  <si>
    <t>DB - Public Transport</t>
  </si>
  <si>
    <t>DB</t>
  </si>
  <si>
    <t>TXN103097</t>
  </si>
  <si>
    <t>Employer - Bonus</t>
  </si>
  <si>
    <t>TXN101703</t>
  </si>
  <si>
    <t>TXN102769</t>
  </si>
  <si>
    <t>TXN102123</t>
  </si>
  <si>
    <t>TXN101553</t>
  </si>
  <si>
    <t>TXN102173</t>
  </si>
  <si>
    <t>TXN102329</t>
  </si>
  <si>
    <t>Cinema - Streaming</t>
  </si>
  <si>
    <t>Cinema</t>
  </si>
  <si>
    <t>TXN103134</t>
  </si>
  <si>
    <t>Amazon - Electronics</t>
  </si>
  <si>
    <t>TXN100976</t>
  </si>
  <si>
    <t>Local Restaurant - Takeaway</t>
  </si>
  <si>
    <t>TXN102916</t>
  </si>
  <si>
    <t>Steam - Games</t>
  </si>
  <si>
    <t>Steam</t>
  </si>
  <si>
    <t>TXN100691</t>
  </si>
  <si>
    <t>Aral - Fuel</t>
  </si>
  <si>
    <t>Aral</t>
  </si>
  <si>
    <t>TXN101615</t>
  </si>
  <si>
    <t>Shell - Car Maintenance</t>
  </si>
  <si>
    <t>TXN100828</t>
  </si>
  <si>
    <t>TXN100465</t>
  </si>
  <si>
    <t>TXN100739</t>
  </si>
  <si>
    <t>TXN103123</t>
  </si>
  <si>
    <t>Vodafone - Internet</t>
  </si>
  <si>
    <t xml:space="preserve"> Housing</t>
  </si>
  <si>
    <t>Vodafone</t>
  </si>
  <si>
    <t>TXN100463</t>
  </si>
  <si>
    <t>Doctor - Doctor</t>
  </si>
  <si>
    <t>TXN100978</t>
  </si>
  <si>
    <t>TXN101256</t>
  </si>
  <si>
    <t>DB - Car Maintenance</t>
  </si>
  <si>
    <t>TXN100397</t>
  </si>
  <si>
    <t>Employer Bonus - Salary</t>
  </si>
  <si>
    <t>TXN100678</t>
  </si>
  <si>
    <t>Local Transit - Fuel</t>
  </si>
  <si>
    <t>Local Transit</t>
  </si>
  <si>
    <t>TXN103046</t>
  </si>
  <si>
    <t>TXN102950</t>
  </si>
  <si>
    <t>TXN103264</t>
  </si>
  <si>
    <t>Landlord - Rent</t>
  </si>
  <si>
    <t>Rent</t>
  </si>
  <si>
    <t>TXN102696</t>
  </si>
  <si>
    <t>TXN103250</t>
  </si>
  <si>
    <t>TXN102747</t>
  </si>
  <si>
    <t>Zalando - Electronics</t>
  </si>
  <si>
    <t>TXN103133</t>
  </si>
  <si>
    <t>TXN102653</t>
  </si>
  <si>
    <t>Local Transit - Car Maintenance</t>
  </si>
  <si>
    <t>TXN100781</t>
  </si>
  <si>
    <t>Gym - Pharmacy</t>
  </si>
  <si>
    <t>TXN100954</t>
  </si>
  <si>
    <t>TXN101771</t>
  </si>
  <si>
    <t>TXN101423</t>
  </si>
  <si>
    <t>Landlord - Utilities</t>
  </si>
  <si>
    <t>Utilities</t>
  </si>
  <si>
    <t>TXN100669</t>
  </si>
  <si>
    <t>TXN101052</t>
  </si>
  <si>
    <t>TXN101834</t>
  </si>
  <si>
    <t>TXN101040</t>
  </si>
  <si>
    <t>EDEKA - Takeaway</t>
  </si>
  <si>
    <t>TXN100951</t>
  </si>
  <si>
    <t>Spotify - Games</t>
  </si>
  <si>
    <t>TXN100100</t>
  </si>
  <si>
    <t>TXN102316</t>
  </si>
  <si>
    <t>TXN103058</t>
  </si>
  <si>
    <t>Energy Provider - Rent</t>
  </si>
  <si>
    <t>Energy Provider</t>
  </si>
  <si>
    <t>TXN102130</t>
  </si>
  <si>
    <t>TXN102087</t>
  </si>
  <si>
    <t>TXN101480</t>
  </si>
  <si>
    <t>DB - Fuel</t>
  </si>
  <si>
    <t>TXN103154</t>
  </si>
  <si>
    <t>Local Transit - Public Transport</t>
  </si>
  <si>
    <t>TXN102773</t>
  </si>
  <si>
    <t>TXN100471</t>
  </si>
  <si>
    <t>Energy Provider - Utilities</t>
  </si>
  <si>
    <t>TXN101155</t>
  </si>
  <si>
    <t>TXN102308</t>
  </si>
  <si>
    <t>TXN100909</t>
  </si>
  <si>
    <t>TXN100330</t>
  </si>
  <si>
    <t>TXN101892</t>
  </si>
  <si>
    <t>TXN101263</t>
  </si>
  <si>
    <t>Lidl - Takeaway</t>
  </si>
  <si>
    <t>TXN101756</t>
  </si>
  <si>
    <t>Employer Bonus - Freelance</t>
  </si>
  <si>
    <t>TXN100595</t>
  </si>
  <si>
    <t>TXN102875</t>
  </si>
  <si>
    <t>Lufthansa - Hotels</t>
  </si>
  <si>
    <t>Hotels</t>
  </si>
  <si>
    <t>TXN100449</t>
  </si>
  <si>
    <t>TXN100345</t>
  </si>
  <si>
    <t>TXN100641</t>
  </si>
  <si>
    <t>TXN102775</t>
  </si>
  <si>
    <t>IKEA - Household</t>
  </si>
  <si>
    <t>IKEA</t>
  </si>
  <si>
    <t>TXN102921</t>
  </si>
  <si>
    <t>TXN101230</t>
  </si>
  <si>
    <t>TXN103459</t>
  </si>
  <si>
    <t>Doctor - Fitness</t>
  </si>
  <si>
    <t>Fitness</t>
  </si>
  <si>
    <t>TXN102887</t>
  </si>
  <si>
    <t>TXN100192</t>
  </si>
  <si>
    <t>TXN100181</t>
  </si>
  <si>
    <t>Aral - Public Transport</t>
  </si>
  <si>
    <t>TXN102280</t>
  </si>
  <si>
    <t>TXN101850</t>
  </si>
  <si>
    <t>Spotify - Cinema</t>
  </si>
  <si>
    <t>TXN100374</t>
  </si>
  <si>
    <t>Steam - Streaming</t>
  </si>
  <si>
    <t>TXN100240</t>
  </si>
  <si>
    <t>TXN102593</t>
  </si>
  <si>
    <t>IKEA - Clothing</t>
  </si>
  <si>
    <t xml:space="preserve"> Bank Transfer</t>
  </si>
  <si>
    <t>TXN101195</t>
  </si>
  <si>
    <t>Vodafone - Utilities</t>
  </si>
  <si>
    <t>TXN100930</t>
  </si>
  <si>
    <t>TXN102967</t>
  </si>
  <si>
    <t>Pharmacy - Fitness</t>
  </si>
  <si>
    <t>TXN100378</t>
  </si>
  <si>
    <t>TXN102662</t>
  </si>
  <si>
    <t>TXN101796</t>
  </si>
  <si>
    <t>TXN101618</t>
  </si>
  <si>
    <t>Netflix - Streaming</t>
  </si>
  <si>
    <t>TXN101571</t>
  </si>
  <si>
    <t>MediaMarkt - Household</t>
  </si>
  <si>
    <t>TXN101970</t>
  </si>
  <si>
    <t>TXN100121</t>
  </si>
  <si>
    <t>Freelance Client - Bonus</t>
  </si>
  <si>
    <t>TXN103074</t>
  </si>
  <si>
    <t>TXN100547</t>
  </si>
  <si>
    <t>TXN100541</t>
  </si>
  <si>
    <t>TXN102260</t>
  </si>
  <si>
    <t>TXN103455</t>
  </si>
  <si>
    <t>TXN100301</t>
  </si>
  <si>
    <t>TXN100209</t>
  </si>
  <si>
    <t>TXN101116</t>
  </si>
  <si>
    <t>MediaMarkt - Clothing</t>
  </si>
  <si>
    <t>TXN101035</t>
  </si>
  <si>
    <t>TXN100979</t>
  </si>
  <si>
    <t>TXN100320</t>
  </si>
  <si>
    <t>TXN101267</t>
  </si>
  <si>
    <t>TXN102202</t>
  </si>
  <si>
    <t>TXN100564</t>
  </si>
  <si>
    <t>TXN101828</t>
  </si>
  <si>
    <t>TXN102705</t>
  </si>
  <si>
    <t>Booking.com - Travel Activities</t>
  </si>
  <si>
    <t>Travel Activities</t>
  </si>
  <si>
    <t>Booking.com</t>
  </si>
  <si>
    <t>TXN101748</t>
  </si>
  <si>
    <t>TXN100054</t>
  </si>
  <si>
    <t>TXN100218</t>
  </si>
  <si>
    <t>Pharmacy - Pharmacy</t>
  </si>
  <si>
    <t>TXN101484</t>
  </si>
  <si>
    <t>Vodafone - Rent</t>
  </si>
  <si>
    <t>TXN101274</t>
  </si>
  <si>
    <t>TXN100270</t>
  </si>
  <si>
    <t>TXN101794</t>
  </si>
  <si>
    <t>TXN102685</t>
  </si>
  <si>
    <t>TXN101413</t>
  </si>
  <si>
    <t>TXN102466</t>
  </si>
  <si>
    <t>TXN103218</t>
  </si>
  <si>
    <t>TXN100809</t>
  </si>
  <si>
    <t>TXN100056</t>
  </si>
  <si>
    <t>Employer - Freelance</t>
  </si>
  <si>
    <t>TXN100298</t>
  </si>
  <si>
    <t>TXN100504</t>
  </si>
  <si>
    <t>TXN100129</t>
  </si>
  <si>
    <t>TXN101028</t>
  </si>
  <si>
    <t>TXN101034</t>
  </si>
  <si>
    <t>TXN100076</t>
  </si>
  <si>
    <t>TXN103065</t>
  </si>
  <si>
    <t>TXN102582</t>
  </si>
  <si>
    <t>TXN102798</t>
  </si>
  <si>
    <t>TXN102257</t>
  </si>
  <si>
    <t>TXN102160</t>
  </si>
  <si>
    <t>TXN100489</t>
  </si>
  <si>
    <t>TXN100525</t>
  </si>
  <si>
    <t>TXN101657</t>
  </si>
  <si>
    <t>TXN101842</t>
  </si>
  <si>
    <t>Aral - Car Maintenance</t>
  </si>
  <si>
    <t>TXN101765</t>
  </si>
  <si>
    <t>TXN103429</t>
  </si>
  <si>
    <t>TXN100467</t>
  </si>
  <si>
    <t>TXN100400</t>
  </si>
  <si>
    <t>TXN100086</t>
  </si>
  <si>
    <t>TXN100574</t>
  </si>
  <si>
    <t>Cinema - Games</t>
  </si>
  <si>
    <t>TXN100313</t>
  </si>
  <si>
    <t>TXN103044</t>
  </si>
  <si>
    <t>TXN100470</t>
  </si>
  <si>
    <t>TXN102819</t>
  </si>
  <si>
    <t>TXN102820</t>
  </si>
  <si>
    <t>TXN103405</t>
  </si>
  <si>
    <t>TXN102663</t>
  </si>
  <si>
    <t>TXN103060</t>
  </si>
  <si>
    <t>TXN100615</t>
  </si>
  <si>
    <t>TXN103043</t>
  </si>
  <si>
    <t>TXN103353</t>
  </si>
  <si>
    <t>TXN101107</t>
  </si>
  <si>
    <t>TXN102296</t>
  </si>
  <si>
    <t>Energy Provider - Internet</t>
  </si>
  <si>
    <t>TXN100987</t>
  </si>
  <si>
    <t>Netflix - Cinema</t>
  </si>
  <si>
    <t>TXN103385</t>
  </si>
  <si>
    <t>TXN103374</t>
  </si>
  <si>
    <t>Steam - Cinema</t>
  </si>
  <si>
    <t>TXN101866</t>
  </si>
  <si>
    <t>TXN103391</t>
  </si>
  <si>
    <t>TXN100718</t>
  </si>
  <si>
    <t>TXN101547</t>
  </si>
  <si>
    <t>TXN100986</t>
  </si>
  <si>
    <t>TXN101979</t>
  </si>
  <si>
    <t>TXN101995</t>
  </si>
  <si>
    <t>TXN101621</t>
  </si>
  <si>
    <t>TXN101240</t>
  </si>
  <si>
    <t>TXN100883</t>
  </si>
  <si>
    <t>TXN102756</t>
  </si>
  <si>
    <t>TXN101648</t>
  </si>
  <si>
    <t>TXN102971</t>
  </si>
  <si>
    <t>TXN100744</t>
  </si>
  <si>
    <t>TXN101653</t>
  </si>
  <si>
    <t>TXN103380</t>
  </si>
  <si>
    <t>TXN100845</t>
  </si>
  <si>
    <t>TXN102980</t>
  </si>
  <si>
    <t>TXN103246</t>
  </si>
  <si>
    <t>TXN101139</t>
  </si>
  <si>
    <t>TXN100101</t>
  </si>
  <si>
    <t>TXN101902</t>
  </si>
  <si>
    <t>TXN101398</t>
  </si>
  <si>
    <t>TXN103239</t>
  </si>
  <si>
    <t>TXN102508</t>
  </si>
  <si>
    <t>Auto Service - Fuel</t>
  </si>
  <si>
    <t>TXN100053</t>
  </si>
  <si>
    <t>TXN103285</t>
  </si>
  <si>
    <t>TXN102385</t>
  </si>
  <si>
    <t>TXN102613</t>
  </si>
  <si>
    <t>TXN101033</t>
  </si>
  <si>
    <t>TXN102340</t>
  </si>
  <si>
    <t>TXN100705</t>
  </si>
  <si>
    <t>TXN102515</t>
  </si>
  <si>
    <t>TXN100375</t>
  </si>
  <si>
    <t>TXN100875</t>
  </si>
  <si>
    <t>TXN101223</t>
  </si>
  <si>
    <t>TXN101837</t>
  </si>
  <si>
    <t>TXN101156</t>
  </si>
  <si>
    <t>TXN101498</t>
  </si>
  <si>
    <t>TXN100780</t>
  </si>
  <si>
    <t>TXN102372</t>
  </si>
  <si>
    <t>TXN102649</t>
  </si>
  <si>
    <t>TXN102937</t>
  </si>
  <si>
    <t>Travel Agency - Travel Activities</t>
  </si>
  <si>
    <t>Travel Agency</t>
  </si>
  <si>
    <t>TXN101376</t>
  </si>
  <si>
    <t>TXN101688</t>
  </si>
  <si>
    <t>TXN102148</t>
  </si>
  <si>
    <t>TXN100377</t>
  </si>
  <si>
    <t>TXN103336</t>
  </si>
  <si>
    <t>TXN100266</t>
  </si>
  <si>
    <t>TXN102751</t>
  </si>
  <si>
    <t>TXN101153</t>
  </si>
  <si>
    <t>TXN102586</t>
  </si>
  <si>
    <t>TXN101519</t>
  </si>
  <si>
    <t>TXN100610</t>
  </si>
  <si>
    <t>TXN100262</t>
  </si>
  <si>
    <t>TXN100911</t>
  </si>
  <si>
    <t>TXN102167</t>
  </si>
  <si>
    <t>Cinema - Cinema</t>
  </si>
  <si>
    <t>TXN101499</t>
  </si>
  <si>
    <t>TXN100203</t>
  </si>
  <si>
    <t>TXN100235</t>
  </si>
  <si>
    <t>REWE - Takeaway</t>
  </si>
  <si>
    <t>TXN101807</t>
  </si>
  <si>
    <t>TXN100973</t>
  </si>
  <si>
    <t>TXN102069</t>
  </si>
  <si>
    <t>TXN103300</t>
  </si>
  <si>
    <t>TXN100102</t>
  </si>
  <si>
    <t>TXN103471</t>
  </si>
  <si>
    <t>TXN100398</t>
  </si>
  <si>
    <t>TXN102211</t>
  </si>
  <si>
    <t>Doctor - Pharmacy</t>
  </si>
  <si>
    <t>TXN102621</t>
  </si>
  <si>
    <t>Travel Agency - Flights</t>
  </si>
  <si>
    <t>TXN100835</t>
  </si>
  <si>
    <t>TXN100196</t>
  </si>
  <si>
    <t>TXN100677</t>
  </si>
  <si>
    <t>TXN102644</t>
  </si>
  <si>
    <t>TXN100172</t>
  </si>
  <si>
    <t>TXN102188</t>
  </si>
  <si>
    <t>TXN101551</t>
  </si>
  <si>
    <t>TXN100735</t>
  </si>
  <si>
    <t>TXN102740</t>
  </si>
  <si>
    <t>TXN103147</t>
  </si>
  <si>
    <t>TXN100371</t>
  </si>
  <si>
    <t>TXN101290</t>
  </si>
  <si>
    <t>TXN103252</t>
  </si>
  <si>
    <t>TXN102768</t>
  </si>
  <si>
    <t>TXN101602</t>
  </si>
  <si>
    <t>TXN103240</t>
  </si>
  <si>
    <t>TXN100221</t>
  </si>
  <si>
    <t>TXN103117</t>
  </si>
  <si>
    <t>Gym - Fitness</t>
  </si>
  <si>
    <t>TXN102860</t>
  </si>
  <si>
    <t>TXN103089</t>
  </si>
  <si>
    <t>TXN102774</t>
  </si>
  <si>
    <t>TXN101921</t>
  </si>
  <si>
    <t>TXN101977</t>
  </si>
  <si>
    <t>TXN103466</t>
  </si>
  <si>
    <t>TXN103059</t>
  </si>
  <si>
    <t>TXN101158</t>
  </si>
  <si>
    <t>TXN102624</t>
  </si>
  <si>
    <t>TXN101906</t>
  </si>
  <si>
    <t>TXN100698</t>
  </si>
  <si>
    <t>TXN103496</t>
  </si>
  <si>
    <t>TXN101739</t>
  </si>
  <si>
    <t>TXN103397</t>
  </si>
  <si>
    <t>TXN103100</t>
  </si>
  <si>
    <t>TXN101515</t>
  </si>
  <si>
    <t>TXN103306</t>
  </si>
  <si>
    <t>TXN101540</t>
  </si>
  <si>
    <t>IKEA - Electronics</t>
  </si>
  <si>
    <t>TXN102009</t>
  </si>
  <si>
    <t>TXN101882</t>
  </si>
  <si>
    <t>TXN103481</t>
  </si>
  <si>
    <t>TXN101006</t>
  </si>
  <si>
    <t>TXN100386</t>
  </si>
  <si>
    <t>TXN101348</t>
  </si>
  <si>
    <t>TXN101258</t>
  </si>
  <si>
    <t>TXN100365</t>
  </si>
  <si>
    <t>TXN101103</t>
  </si>
  <si>
    <t>TXN102465</t>
  </si>
  <si>
    <t>TXN101775</t>
  </si>
  <si>
    <t>TXN102811</t>
  </si>
  <si>
    <t>TXN100551</t>
  </si>
  <si>
    <t>TXN102455</t>
  </si>
  <si>
    <t>TXN102230</t>
  </si>
  <si>
    <t>TXN102229</t>
  </si>
  <si>
    <t>TXN101973</t>
  </si>
  <si>
    <t>TXN101840</t>
  </si>
  <si>
    <t>TXN102005</t>
  </si>
  <si>
    <t>TXN102715</t>
  </si>
  <si>
    <t>TXN100373</t>
  </si>
  <si>
    <t>TXN103224</t>
  </si>
  <si>
    <t>TXN102543</t>
  </si>
  <si>
    <t>TXN102566</t>
  </si>
  <si>
    <t>TXN102205</t>
  </si>
  <si>
    <t>TXN102672</t>
  </si>
  <si>
    <t>TXN103284</t>
  </si>
  <si>
    <t>TXN103256</t>
  </si>
  <si>
    <t>TXN101077</t>
  </si>
  <si>
    <t>TXN100818</t>
  </si>
  <si>
    <t>TXN101082</t>
  </si>
  <si>
    <t>TXN100500</t>
  </si>
  <si>
    <t>TXN102911</t>
  </si>
  <si>
    <t>TXN102446</t>
  </si>
  <si>
    <t>TXN100643</t>
  </si>
  <si>
    <t>TXN100512</t>
  </si>
  <si>
    <t>TXN100952</t>
  </si>
  <si>
    <t>TXN100949</t>
  </si>
  <si>
    <t>TXN102065</t>
  </si>
  <si>
    <t>TXN100867</t>
  </si>
  <si>
    <t>TXN102564</t>
  </si>
  <si>
    <t>TXN101421</t>
  </si>
  <si>
    <t>TXN100724</t>
  </si>
  <si>
    <t>TXN102259</t>
  </si>
  <si>
    <t>TXN102193</t>
  </si>
  <si>
    <t>TXN101590</t>
  </si>
  <si>
    <t>TXN101062</t>
  </si>
  <si>
    <t>TXN103382</t>
  </si>
  <si>
    <t>TXN100915</t>
  </si>
  <si>
    <t>TXN101100</t>
  </si>
  <si>
    <t>TXN101005</t>
  </si>
  <si>
    <t>TXN102162</t>
  </si>
  <si>
    <t>TXN103180</t>
  </si>
  <si>
    <t>TXN102264</t>
  </si>
  <si>
    <t>TXN101471</t>
  </si>
  <si>
    <t>TXN102956</t>
  </si>
  <si>
    <t>TXN103488</t>
  </si>
  <si>
    <t>TXN102067</t>
  </si>
  <si>
    <t>TXN101470</t>
  </si>
  <si>
    <t>TXN102347</t>
  </si>
  <si>
    <t>TXN101067</t>
  </si>
  <si>
    <t>TXN100255</t>
  </si>
  <si>
    <t>TXN101073</t>
  </si>
  <si>
    <t>TXN100881</t>
  </si>
  <si>
    <t>TXN103203</t>
  </si>
  <si>
    <t>TXN102886</t>
  </si>
  <si>
    <t>TXN103013</t>
  </si>
  <si>
    <t>TXN102687</t>
  </si>
  <si>
    <t>TXN100123</t>
  </si>
  <si>
    <t>TXN101905</t>
  </si>
  <si>
    <t>TXN103251</t>
  </si>
  <si>
    <t>TXN100009</t>
  </si>
  <si>
    <t>TXN101728</t>
  </si>
  <si>
    <t>TXN101255</t>
  </si>
  <si>
    <t>TXN100405</t>
  </si>
  <si>
    <t>TXN103249</t>
  </si>
  <si>
    <t>TXN103226</t>
  </si>
  <si>
    <t>TXN101081</t>
  </si>
  <si>
    <t>Booking.com - Flights</t>
  </si>
  <si>
    <t>TXN100176</t>
  </si>
  <si>
    <t>TXN102550</t>
  </si>
  <si>
    <t>TXN102131</t>
  </si>
  <si>
    <t>TXN101513</t>
  </si>
  <si>
    <t>TXN100011</t>
  </si>
  <si>
    <t>TXN100645</t>
  </si>
  <si>
    <t>TXN100267</t>
  </si>
  <si>
    <t>TXN102931</t>
  </si>
  <si>
    <t>TXN101752</t>
  </si>
  <si>
    <t>TXN101885</t>
  </si>
  <si>
    <t>TXN100006</t>
  </si>
  <si>
    <t>TXN101883</t>
  </si>
  <si>
    <t>TXN101022</t>
  </si>
  <si>
    <t>TXN100302</t>
  </si>
  <si>
    <t>TXN103396</t>
  </si>
  <si>
    <t>TXN102095</t>
  </si>
  <si>
    <t>TXN103438</t>
  </si>
  <si>
    <t>TXN102987</t>
  </si>
  <si>
    <t>TXN100261</t>
  </si>
  <si>
    <t>TXN100098</t>
  </si>
  <si>
    <t>TXN102557</t>
  </si>
  <si>
    <t>TXN103349</t>
  </si>
  <si>
    <t>TXN103121</t>
  </si>
  <si>
    <t>TXN102969</t>
  </si>
  <si>
    <t>TXN101175</t>
  </si>
  <si>
    <t>TXN102854</t>
  </si>
  <si>
    <t>TXN102535</t>
  </si>
  <si>
    <t>TXN100095</t>
  </si>
  <si>
    <t>Booking.com - Hotels</t>
  </si>
  <si>
    <t>TXN103482</t>
  </si>
  <si>
    <t>TXN102796</t>
  </si>
  <si>
    <t>TXN102925</t>
  </si>
  <si>
    <t>TXN102468</t>
  </si>
  <si>
    <t>TXN100358</t>
  </si>
  <si>
    <t>TXN100797</t>
  </si>
  <si>
    <t>TXN100311</t>
  </si>
  <si>
    <t>Shell - Public Transport</t>
  </si>
  <si>
    <t>TXN101715</t>
  </si>
  <si>
    <t>TXN100617</t>
  </si>
  <si>
    <t>TXN101692</t>
  </si>
  <si>
    <t>TXN102657</t>
  </si>
  <si>
    <t>TXN101916</t>
  </si>
  <si>
    <t>TXN100704</t>
  </si>
  <si>
    <t>TXN102360</t>
  </si>
  <si>
    <t>TXN103152</t>
  </si>
  <si>
    <t>TXN100029</t>
  </si>
  <si>
    <t>TXN102344</t>
  </si>
  <si>
    <t>TXN100895</t>
  </si>
  <si>
    <t>TXN102895</t>
  </si>
  <si>
    <t>TXN101189</t>
  </si>
  <si>
    <t>TXN101567</t>
  </si>
  <si>
    <t>TXN100826</t>
  </si>
  <si>
    <t>TXN101265</t>
  </si>
  <si>
    <t>TXN102955</t>
  </si>
  <si>
    <t>TXN100832</t>
  </si>
  <si>
    <t>TXN100461</t>
  </si>
  <si>
    <t>TXN101511</t>
  </si>
  <si>
    <t>TXN101161</t>
  </si>
  <si>
    <t>TXN103295</t>
  </si>
  <si>
    <t>TXN100661</t>
  </si>
  <si>
    <t>TXN102079</t>
  </si>
  <si>
    <t>TXN101639</t>
  </si>
  <si>
    <t>TXN103495</t>
  </si>
  <si>
    <t>TXN102630</t>
  </si>
  <si>
    <t>TXN101120</t>
  </si>
  <si>
    <t>TXN101899</t>
  </si>
  <si>
    <t>TXN101304</t>
  </si>
  <si>
    <t>TXN100114</t>
  </si>
  <si>
    <t>TXN101141</t>
  </si>
  <si>
    <t>TXN101497</t>
  </si>
  <si>
    <t>TXN100796</t>
  </si>
  <si>
    <t>TXN101065</t>
  </si>
  <si>
    <t>TXN101160</t>
  </si>
  <si>
    <t>TXN101626</t>
  </si>
  <si>
    <t>TXN102267</t>
  </si>
  <si>
    <t>TXN100511</t>
  </si>
  <si>
    <t>TXN102519</t>
  </si>
  <si>
    <t>TXN100548</t>
  </si>
  <si>
    <t>TXN101980</t>
  </si>
  <si>
    <t>TXN101686</t>
  </si>
  <si>
    <t>TXN100014</t>
  </si>
  <si>
    <t>TXN100865</t>
  </si>
  <si>
    <t>TXN100142</t>
  </si>
  <si>
    <t>TXN102106</t>
  </si>
  <si>
    <t>TXN100754</t>
  </si>
  <si>
    <t>TXN100499</t>
  </si>
  <si>
    <t>TXN101543</t>
  </si>
  <si>
    <t>TXN102920</t>
  </si>
  <si>
    <t>TXN103000</t>
  </si>
  <si>
    <t>TXN101296</t>
  </si>
  <si>
    <t>TXN102695</t>
  </si>
  <si>
    <t>TXN102684</t>
  </si>
  <si>
    <t>TXN101714</t>
  </si>
  <si>
    <t>TXN103316</t>
  </si>
  <si>
    <t>TXN100527</t>
  </si>
  <si>
    <t>TXN101408</t>
  </si>
  <si>
    <t>TXN101312</t>
  </si>
  <si>
    <t>TXN100817</t>
  </si>
  <si>
    <t>TXN101366</t>
  </si>
  <si>
    <t>TXN103175</t>
  </si>
  <si>
    <t>TXN100328</t>
  </si>
  <si>
    <t>TXN102122</t>
  </si>
  <si>
    <t>TXN101805</t>
  </si>
  <si>
    <t>TXN103045</t>
  </si>
  <si>
    <t>TXN101440</t>
  </si>
  <si>
    <t>TXN100743</t>
  </si>
  <si>
    <t>TXN100379</t>
  </si>
  <si>
    <t>TXN101136</t>
  </si>
  <si>
    <t>TXN100877</t>
  </si>
  <si>
    <t>TXN101854</t>
  </si>
  <si>
    <t>TXN102201</t>
  </si>
  <si>
    <t>TXN100536</t>
  </si>
  <si>
    <t>TXN100042</t>
  </si>
  <si>
    <t>TXN101623</t>
  </si>
  <si>
    <t>TXN101940</t>
  </si>
  <si>
    <t>TXN100413</t>
  </si>
  <si>
    <t>TXN102214</t>
  </si>
  <si>
    <t>TXN101659</t>
  </si>
  <si>
    <t>TXN101109</t>
  </si>
  <si>
    <t>TXN101665</t>
  </si>
  <si>
    <t>TXN101020</t>
  </si>
  <si>
    <t>TXN103130</t>
  </si>
  <si>
    <t>TXN102349</t>
  </si>
  <si>
    <t>TXN100274</t>
  </si>
  <si>
    <t>TXN101159</t>
  </si>
  <si>
    <t>TXN102808</t>
  </si>
  <si>
    <t>TXN101203</t>
  </si>
  <si>
    <t>TXN102437</t>
  </si>
  <si>
    <t>TXN103461</t>
  </si>
  <si>
    <t>TXN101682</t>
  </si>
  <si>
    <t>TXN101401</t>
  </si>
  <si>
    <t>TXN100922</t>
  </si>
  <si>
    <t>TXN103439</t>
  </si>
  <si>
    <t>TXN102605</t>
  </si>
  <si>
    <t>TXN102155</t>
  </si>
  <si>
    <t>TXN100271</t>
  </si>
  <si>
    <t>TXN100995</t>
  </si>
  <si>
    <t>TXN100303</t>
  </si>
  <si>
    <t>TXN100211</t>
  </si>
  <si>
    <t>TXN101712</t>
  </si>
  <si>
    <t>TXN101747</t>
  </si>
  <si>
    <t>TXN102355</t>
  </si>
  <si>
    <t>TXN102785</t>
  </si>
  <si>
    <t>TXN103392</t>
  </si>
  <si>
    <t>TXN102299</t>
  </si>
  <si>
    <t>TXN102583</t>
  </si>
  <si>
    <t>TXN102269</t>
  </si>
  <si>
    <t>TXN102453</t>
  </si>
  <si>
    <t>TXN101112</t>
  </si>
  <si>
    <t xml:space="preserve">Local Restaurant </t>
  </si>
  <si>
    <t>TXN100317</t>
  </si>
  <si>
    <t>TXN101393</t>
  </si>
  <si>
    <t>TXN100900</t>
  </si>
  <si>
    <t>TXN100984</t>
  </si>
  <si>
    <t>TXN103297</t>
  </si>
  <si>
    <t>TXN100466</t>
  </si>
  <si>
    <t>TXN102440</t>
  </si>
  <si>
    <t>TXN100884</t>
  </si>
  <si>
    <t>TXN100811</t>
  </si>
  <si>
    <t>TXN101359</t>
  </si>
  <si>
    <t>TXN101696</t>
  </si>
  <si>
    <t>TXN101128</t>
  </si>
  <si>
    <t>TXN101849</t>
  </si>
  <si>
    <t>TXN101624</t>
  </si>
  <si>
    <t>TXN101746</t>
  </si>
  <si>
    <t>TXN100395</t>
  </si>
  <si>
    <t>TXN102561</t>
  </si>
  <si>
    <t>TXN100419</t>
  </si>
  <si>
    <t>TXN100219</t>
  </si>
  <si>
    <t>TXN102991</t>
  </si>
  <si>
    <t>TXN103360</t>
  </si>
  <si>
    <t>TXN101620</t>
  </si>
  <si>
    <t>TXN101808</t>
  </si>
  <si>
    <t>TXN103107</t>
  </si>
  <si>
    <t>TXN102415</t>
  </si>
  <si>
    <t>TXN101061</t>
  </si>
  <si>
    <t>TXN101041</t>
  </si>
  <si>
    <t>TXN100655</t>
  </si>
  <si>
    <t>TXN103379</t>
  </si>
  <si>
    <t>TXN102702</t>
  </si>
  <si>
    <t>TXN101544</t>
  </si>
  <si>
    <t>TXN102241</t>
  </si>
  <si>
    <t>TXN100137</t>
  </si>
  <si>
    <t>TXN100891</t>
  </si>
  <si>
    <t>TXN101325</t>
  </si>
  <si>
    <t>TXN101745</t>
  </si>
  <si>
    <t>TXN103114</t>
  </si>
  <si>
    <t>TXN100690</t>
  </si>
  <si>
    <t>TXN100653</t>
  </si>
  <si>
    <t>TXN100277</t>
  </si>
  <si>
    <t>Lufthansa - Travel Activities</t>
  </si>
  <si>
    <t>TXN102156</t>
  </si>
  <si>
    <t>TXN103309</t>
  </si>
  <si>
    <t>TXN103262</t>
  </si>
  <si>
    <t>TXN101143</t>
  </si>
  <si>
    <t>TXN101392</t>
  </si>
  <si>
    <t>TXN103014</t>
  </si>
  <si>
    <t>TXN100506</t>
  </si>
  <si>
    <t>TXN102297</t>
  </si>
  <si>
    <t>TXN100332</t>
  </si>
  <si>
    <t>TXN103393</t>
  </si>
  <si>
    <t>TXN102185</t>
  </si>
  <si>
    <t>TXN100409</t>
  </si>
  <si>
    <t>TXN102379</t>
  </si>
  <si>
    <t>TXN101280</t>
  </si>
  <si>
    <t>TXN102183</t>
  </si>
  <si>
    <t>TXN101018</t>
  </si>
  <si>
    <t>TXN100063</t>
  </si>
  <si>
    <t>TXN102301</t>
  </si>
  <si>
    <t>TXN100241</t>
  </si>
  <si>
    <t>TXN100079</t>
  </si>
  <si>
    <t>TXN100804</t>
  </si>
  <si>
    <t>TXN102643</t>
  </si>
  <si>
    <t>TXN101314</t>
  </si>
  <si>
    <t>TXN101718</t>
  </si>
  <si>
    <t>TXN103343</t>
  </si>
  <si>
    <t>TXN101965</t>
  </si>
  <si>
    <t>TXN101144</t>
  </si>
  <si>
    <t>TXN102909</t>
  </si>
  <si>
    <t>TXN103119</t>
  </si>
  <si>
    <t>TXN102892</t>
  </si>
  <si>
    <t>TXN103195</t>
  </si>
  <si>
    <t>TXN100788</t>
  </si>
  <si>
    <t>TXN102871</t>
  </si>
  <si>
    <t>TXN102189</t>
  </si>
  <si>
    <t>TXN101448</t>
  </si>
  <si>
    <t>TXN101561</t>
  </si>
  <si>
    <t>TXN102492</t>
  </si>
  <si>
    <t>TXN100681</t>
  </si>
  <si>
    <t>TXN102212</t>
  </si>
  <si>
    <t>TXN101577</t>
  </si>
  <si>
    <t>TXN103472</t>
  </si>
  <si>
    <t>TXN100485</t>
  </si>
  <si>
    <t>TXN100897</t>
  </si>
  <si>
    <t>TXN100853</t>
  </si>
  <si>
    <t>TXN100275</t>
  </si>
  <si>
    <t>TXN103084</t>
  </si>
  <si>
    <t>TXN100448</t>
  </si>
  <si>
    <t>TXN101982</t>
  </si>
  <si>
    <t>TXN100268</t>
  </si>
  <si>
    <t>TXN100852</t>
  </si>
  <si>
    <t>TXN101959</t>
  </si>
  <si>
    <t>TXN100227</t>
  </si>
  <si>
    <t>TXN102829</t>
  </si>
  <si>
    <t>TXN100923</t>
  </si>
  <si>
    <t>TXN102332</t>
  </si>
  <si>
    <t>TXN102424</t>
  </si>
  <si>
    <t>TXN100695</t>
  </si>
  <si>
    <t>TXN102048</t>
  </si>
  <si>
    <t>TXN103023</t>
  </si>
  <si>
    <t>TXN102961</t>
  </si>
  <si>
    <t>TXN102150</t>
  </si>
  <si>
    <t>TXN102073</t>
  </si>
  <si>
    <t>TXN102027</t>
  </si>
  <si>
    <t>TXN102113</t>
  </si>
  <si>
    <t>TXN100478</t>
  </si>
  <si>
    <t>TXN102098</t>
  </si>
  <si>
    <t>TXN102094</t>
  </si>
  <si>
    <t>TXN101169</t>
  </si>
  <si>
    <t>TXN103413</t>
  </si>
  <si>
    <t>TXN101063</t>
  </si>
  <si>
    <t>TXN102417</t>
  </si>
  <si>
    <t>TXN100224</t>
  </si>
  <si>
    <t>TXN101491</t>
  </si>
  <si>
    <t>TXN103201</t>
  </si>
  <si>
    <t>TXN100206</t>
  </si>
  <si>
    <t>TXN101104</t>
  </si>
  <si>
    <t>TXN103148</t>
  </si>
  <si>
    <t>TXN102698</t>
  </si>
  <si>
    <t>TXN101199</t>
  </si>
  <si>
    <t>TXN102727</t>
  </si>
  <si>
    <t>TXN100429</t>
  </si>
  <si>
    <t>TXN103210</t>
  </si>
  <si>
    <t>TXN102606</t>
  </si>
  <si>
    <t>TXN100382</t>
  </si>
  <si>
    <t>TXN100349</t>
  </si>
  <si>
    <t>TXN102786</t>
  </si>
  <si>
    <t xml:space="preserve">McDonald's </t>
  </si>
  <si>
    <t>TXN100286</t>
  </si>
  <si>
    <t>TXN102784</t>
  </si>
  <si>
    <t>Hotel - Hotels</t>
  </si>
  <si>
    <t>TXN101534</t>
  </si>
  <si>
    <t>TXN101525</t>
  </si>
  <si>
    <t>TXN102752</t>
  </si>
  <si>
    <t>TXN101506</t>
  </si>
  <si>
    <t>TXN103259</t>
  </si>
  <si>
    <t>TXN102686</t>
  </si>
  <si>
    <t>TXN100919</t>
  </si>
  <si>
    <t>TXN102035</t>
  </si>
  <si>
    <t>TXN101148</t>
  </si>
  <si>
    <t>TXN102711</t>
  </si>
  <si>
    <t>TXN101365</t>
  </si>
  <si>
    <t xml:space="preserve">Gym </t>
  </si>
  <si>
    <t>TXN102907</t>
  </si>
  <si>
    <t>TXN102023</t>
  </si>
  <si>
    <t>TXN100894</t>
  </si>
  <si>
    <t>TXN102140</t>
  </si>
  <si>
    <t>TXN100220</t>
  </si>
  <si>
    <t>TXN101975</t>
  </si>
  <si>
    <t>TXN100785</t>
  </si>
  <si>
    <t>TXN101236</t>
  </si>
  <si>
    <t>TXN101002</t>
  </si>
  <si>
    <t>TXN100077</t>
  </si>
  <si>
    <t>TXN102614</t>
  </si>
  <si>
    <t>TXN103193</t>
  </si>
  <si>
    <t>TXN102036</t>
  </si>
  <si>
    <t>TXN100862</t>
  </si>
  <si>
    <t>TXN100169</t>
  </si>
  <si>
    <t>TXN100588</t>
  </si>
  <si>
    <t>TXN103184</t>
  </si>
  <si>
    <t>TXN100723</t>
  </si>
  <si>
    <t>TXN102273</t>
  </si>
  <si>
    <t>TXN101407</t>
  </si>
  <si>
    <t>TXN101769</t>
  </si>
  <si>
    <t>TXN102618</t>
  </si>
  <si>
    <t>TXN101462</t>
  </si>
  <si>
    <t>TXN103049</t>
  </si>
  <si>
    <t>TXN102102</t>
  </si>
  <si>
    <t>TXN102636</t>
  </si>
  <si>
    <t>TXN100323</t>
  </si>
  <si>
    <t>TXN101645</t>
  </si>
  <si>
    <t>TXN100175</t>
  </si>
  <si>
    <t>TXN102408</t>
  </si>
  <si>
    <t>TXN100539</t>
  </si>
  <si>
    <t>TXN101092</t>
  </si>
  <si>
    <t>TXN102480</t>
  </si>
  <si>
    <t>TXN102146</t>
  </si>
  <si>
    <t>TXN101542</t>
  </si>
  <si>
    <t>TXN100057</t>
  </si>
  <si>
    <t>TXN100173</t>
  </si>
  <si>
    <t>TXN100612</t>
  </si>
  <si>
    <t>Hotel - Travel Activities</t>
  </si>
  <si>
    <t>TXN100534</t>
  </si>
  <si>
    <t>TXN100515</t>
  </si>
  <si>
    <t>TXN101303</t>
  </si>
  <si>
    <t>TXN100647</t>
  </si>
  <si>
    <t>TXN101183</t>
  </si>
  <si>
    <t>TXN101786</t>
  </si>
  <si>
    <t>TXN102319</t>
  </si>
  <si>
    <t>TXN100447</t>
  </si>
  <si>
    <t>TXN100590</t>
  </si>
  <si>
    <t>TXN102612</t>
  </si>
  <si>
    <t>TXN103484</t>
  </si>
  <si>
    <t>TXN101202</t>
  </si>
  <si>
    <t>TXN103345</t>
  </si>
  <si>
    <t>TXN101767</t>
  </si>
  <si>
    <t>TXN102545</t>
  </si>
  <si>
    <t>TXN101252</t>
  </si>
  <si>
    <t>TXN100370</t>
  </si>
  <si>
    <t>TXN102169</t>
  </si>
  <si>
    <t>TXN102275</t>
  </si>
  <si>
    <t>TXN102265</t>
  </si>
  <si>
    <t>TXN103066</t>
  </si>
  <si>
    <t>TXN102743</t>
  </si>
  <si>
    <t>TXN101729</t>
  </si>
  <si>
    <t>TXN100701</t>
  </si>
  <si>
    <t>TXN100658</t>
  </si>
  <si>
    <t>TXN100561</t>
  </si>
  <si>
    <t>TXN101149</t>
  </si>
  <si>
    <t>TXN102423</t>
  </si>
  <si>
    <t>TXN101869</t>
  </si>
  <si>
    <t>TXN103358</t>
  </si>
  <si>
    <t>TXN100766</t>
  </si>
  <si>
    <t>TXN102365</t>
  </si>
  <si>
    <t>TXN102218</t>
  </si>
  <si>
    <t>TXN100412</t>
  </si>
  <si>
    <t>TXN102680</t>
  </si>
  <si>
    <t>TXN101416</t>
  </si>
  <si>
    <t>TXN101685</t>
  </si>
  <si>
    <t>TXN100174</t>
  </si>
  <si>
    <t>TXN102604</t>
  </si>
  <si>
    <t>TXN102325</t>
  </si>
  <si>
    <t>TXN100829</t>
  </si>
  <si>
    <t>TXN100097</t>
  </si>
  <si>
    <t>TXN101761</t>
  </si>
  <si>
    <t>TXN100565</t>
  </si>
  <si>
    <t>TXN100295</t>
  </si>
  <si>
    <t>TXN102615</t>
  </si>
  <si>
    <t>TXN103111</t>
  </si>
  <si>
    <t>TXN103150</t>
  </si>
  <si>
    <t>TXN100872</t>
  </si>
  <si>
    <t>TXN102622</t>
  </si>
  <si>
    <t>TXN103368</t>
  </si>
  <si>
    <t>TXN100519</t>
  </si>
  <si>
    <t>TXN100475</t>
  </si>
  <si>
    <t>TXN102060</t>
  </si>
  <si>
    <t>TXN100756</t>
  </si>
  <si>
    <t>TXN100626</t>
  </si>
  <si>
    <t>TXN102217</t>
  </si>
  <si>
    <t>TXN102666</t>
  </si>
  <si>
    <t>TXN101929</t>
  </si>
  <si>
    <t>TXN100747</t>
  </si>
  <si>
    <t>TXN102383</t>
  </si>
  <si>
    <t>TXN102611</t>
  </si>
  <si>
    <t>TXN101604</t>
  </si>
  <si>
    <t>TXN101253</t>
  </si>
  <si>
    <t>TXN102985</t>
  </si>
  <si>
    <t>TXN103296</t>
  </si>
  <si>
    <t>TXN102414</t>
  </si>
  <si>
    <t>TXN102022</t>
  </si>
  <si>
    <t>TXN103229</t>
  </si>
  <si>
    <t>TXN102460</t>
  </si>
  <si>
    <t>TXN100640</t>
  </si>
  <si>
    <t>TXN100967</t>
  </si>
  <si>
    <t>TXN101958</t>
  </si>
  <si>
    <t>TXN101954</t>
  </si>
  <si>
    <t>TXN100656</t>
  </si>
  <si>
    <t>TXN102641</t>
  </si>
  <si>
    <t>TXN100956</t>
  </si>
  <si>
    <t>TXN102058</t>
  </si>
  <si>
    <t>TXN103378</t>
  </si>
  <si>
    <t>TXN103146</t>
  </si>
  <si>
    <t>TXN102537</t>
  </si>
  <si>
    <t>TXN102855</t>
  </si>
  <si>
    <t>TXN100108</t>
  </si>
  <si>
    <t>TXN102559</t>
  </si>
  <si>
    <t>TXN102487</t>
  </si>
  <si>
    <t>TXN103217</t>
  </si>
  <si>
    <t>TXN100629</t>
  </si>
  <si>
    <t>TXN101545</t>
  </si>
  <si>
    <t>TXN103453</t>
  </si>
  <si>
    <t>TXN102965</t>
  </si>
  <si>
    <t>TXN102792</t>
  </si>
  <si>
    <t>TXN101212</t>
  </si>
  <si>
    <t>TXN102832</t>
  </si>
  <si>
    <t>TXN101607</t>
  </si>
  <si>
    <t>TXN101031</t>
  </si>
  <si>
    <t>TXN100488</t>
  </si>
  <si>
    <t>TXN102294</t>
  </si>
  <si>
    <t>TXN103493</t>
  </si>
  <si>
    <t>TXN101625</t>
  </si>
  <si>
    <t>TXN103341</t>
  </si>
  <si>
    <t>TXN102873</t>
  </si>
  <si>
    <t>TXN101898</t>
  </si>
  <si>
    <t>TXN100160</t>
  </si>
  <si>
    <t>TXN102488</t>
  </si>
  <si>
    <t>TXN102033</t>
  </si>
  <si>
    <t>TXN100775</t>
  </si>
  <si>
    <t>TXN103136</t>
  </si>
  <si>
    <t>TXN102689</t>
  </si>
  <si>
    <t>TXN101672</t>
  </si>
  <si>
    <t>TXN103473</t>
  </si>
  <si>
    <t>TXN101717</t>
  </si>
  <si>
    <t>TXN102859</t>
  </si>
  <si>
    <t>TXN100040</t>
  </si>
  <si>
    <t>TXN101352</t>
  </si>
  <si>
    <t>TXN100524</t>
  </si>
  <si>
    <t>TXN100692</t>
  </si>
  <si>
    <t>TXN100426</t>
  </si>
  <si>
    <t>TXN100638</t>
  </si>
  <si>
    <t>TXN101433</t>
  </si>
  <si>
    <t>TXN103185</t>
  </si>
  <si>
    <t>TXN103381</t>
  </si>
  <si>
    <t>TXN100581</t>
  </si>
  <si>
    <t>TXN101829</t>
  </si>
  <si>
    <t>TXN101049</t>
  </si>
  <si>
    <t>TXN102908</t>
  </si>
  <si>
    <t>TXN103305</t>
  </si>
  <si>
    <t>TXN101787</t>
  </si>
  <si>
    <t>TXN101826</t>
  </si>
  <si>
    <t>TXN102407</t>
  </si>
  <si>
    <t>TXN102503</t>
  </si>
  <si>
    <t>TXN101835</t>
  </si>
  <si>
    <t>TXN102037</t>
  </si>
  <si>
    <t>TXN102216</t>
  </si>
  <si>
    <t>TXN100051</t>
  </si>
  <si>
    <t>TXN102720</t>
  </si>
  <si>
    <t>TXN100007</t>
  </si>
  <si>
    <t>TXN103395</t>
  </si>
  <si>
    <t>TXN100248</t>
  </si>
  <si>
    <t>TXN100639</t>
  </si>
  <si>
    <t>TXN102930</t>
  </si>
  <si>
    <t>TXN100697</t>
  </si>
  <si>
    <t>TXN102389</t>
  </si>
  <si>
    <t>TXN101060</t>
  </si>
  <si>
    <t>TXN102788</t>
  </si>
  <si>
    <t>TXN100848</t>
  </si>
  <si>
    <t>TXN103286</t>
  </si>
  <si>
    <t>TXN102917</t>
  </si>
  <si>
    <t>TXN100710</t>
  </si>
  <si>
    <t>TXN101316</t>
  </si>
  <si>
    <t>TXN100258</t>
  </si>
  <si>
    <t>TXN101987</t>
  </si>
  <si>
    <t>TXN103442</t>
  </si>
  <si>
    <t>TXN102708</t>
  </si>
  <si>
    <t>TXN101166</t>
  </si>
  <si>
    <t>TXN101064</t>
  </si>
  <si>
    <t>TXN103299</t>
  </si>
  <si>
    <t>TXN100753</t>
  </si>
  <si>
    <t>TXN100757</t>
  </si>
  <si>
    <t>TXN103081</t>
  </si>
  <si>
    <t>TXN100256</t>
  </si>
  <si>
    <t>TXN101319</t>
  </si>
  <si>
    <t>TXN103287</t>
  </si>
  <si>
    <t>TXN101299</t>
  </si>
  <si>
    <t>TXN100700</t>
  </si>
  <si>
    <t>TXN103431</t>
  </si>
  <si>
    <t>TXN103339</t>
  </si>
  <si>
    <t>TXN102277</t>
  </si>
  <si>
    <t>TXN102439</t>
  </si>
  <si>
    <t>TXN102822</t>
  </si>
  <si>
    <t>TXN100914</t>
  </si>
  <si>
    <t>TXN102772</t>
  </si>
  <si>
    <t>TXN103198</t>
  </si>
  <si>
    <t>TXN102623</t>
  </si>
  <si>
    <t>TXN101341</t>
  </si>
  <si>
    <t>TXN102923</t>
  </si>
  <si>
    <t>TXN100269</t>
  </si>
  <si>
    <t>TXN102795</t>
  </si>
  <si>
    <t>TXN101038</t>
  </si>
  <si>
    <t>TXN100034</t>
  </si>
  <si>
    <t>TXN101098</t>
  </si>
  <si>
    <t>TXN101164</t>
  </si>
  <si>
    <t>TXN102597</t>
  </si>
  <si>
    <t>TXN103110</t>
  </si>
  <si>
    <t>TXN103028</t>
  </si>
  <si>
    <t>TXN101662</t>
  </si>
  <si>
    <t>TXN102993</t>
  </si>
  <si>
    <t>TXN101736</t>
  </si>
  <si>
    <t>TXN102905</t>
  </si>
  <si>
    <t>TXN100966</t>
  </si>
  <si>
    <t>TXN100038</t>
  </si>
  <si>
    <t>TXN103108</t>
  </si>
  <si>
    <t>TXN103451</t>
  </si>
  <si>
    <t>TXN101725</t>
  </si>
  <si>
    <t>TXN102701</t>
  </si>
  <si>
    <t>TXN103307</t>
  </si>
  <si>
    <t>TXN100646</t>
  </si>
  <si>
    <t>TXN102288</t>
  </si>
  <si>
    <t>TXN100750</t>
  </si>
  <si>
    <t>TXN101978</t>
  </si>
  <si>
    <t>TXN101370</t>
  </si>
  <si>
    <t>TXN100702</t>
  </si>
  <si>
    <t>TXN100067</t>
  </si>
  <si>
    <t>TXN102464</t>
  </si>
  <si>
    <t>TXN102099</t>
  </si>
  <si>
    <t>TXN102714</t>
  </si>
  <si>
    <t>TXN100993</t>
  </si>
  <si>
    <t>TXN102883</t>
  </si>
  <si>
    <t>TXN102126</t>
  </si>
  <si>
    <t>TXN103165</t>
  </si>
  <si>
    <t>TXN103207</t>
  </si>
  <si>
    <t>TXN101988</t>
  </si>
  <si>
    <t>TXN102338</t>
  </si>
  <si>
    <t>TXN101522</t>
  </si>
  <si>
    <t>TXN102659</t>
  </si>
  <si>
    <t>TXN101270</t>
  </si>
  <si>
    <t>TXN101362</t>
  </si>
  <si>
    <t>TXN100166</t>
  </si>
  <si>
    <t>TXN100732</t>
  </si>
  <si>
    <t>TXN101833</t>
  </si>
  <si>
    <t>TXN101388</t>
  </si>
  <si>
    <t>TXN100182</t>
  </si>
  <si>
    <t>TXN101174</t>
  </si>
  <si>
    <t>TXN103135</t>
  </si>
  <si>
    <t>TXN103162</t>
  </si>
  <si>
    <t>TXN101406</t>
  </si>
  <si>
    <t>TXN100047</t>
  </si>
  <si>
    <t>TXN102062</t>
  </si>
  <si>
    <t>TXN102703</t>
  </si>
  <si>
    <t>TXN101529</t>
  </si>
  <si>
    <t>TXN100903</t>
  </si>
  <si>
    <t>TXN100602</t>
  </si>
  <si>
    <t>TXN102817</t>
  </si>
  <si>
    <t>TXN103373</t>
  </si>
  <si>
    <t>TXN100772</t>
  </si>
  <si>
    <t>TXN102901</t>
  </si>
  <si>
    <t>TXN100021</t>
  </si>
  <si>
    <t>TXN103140</t>
  </si>
  <si>
    <t>TXN101220</t>
  </si>
  <si>
    <t>TXN100770</t>
  </si>
  <si>
    <t>TXN102251</t>
  </si>
  <si>
    <t>TXN101372</t>
  </si>
  <si>
    <t>TXN103141</t>
  </si>
  <si>
    <t>TXN100538</t>
  </si>
  <si>
    <t>TXN101738</t>
  </si>
  <si>
    <t>TXN102675</t>
  </si>
  <si>
    <t>TXN101943</t>
  </si>
  <si>
    <t>TXN100858</t>
  </si>
  <si>
    <t>TXN102539</t>
  </si>
  <si>
    <t>TXN100562</t>
  </si>
  <si>
    <t>TXN100244</t>
  </si>
  <si>
    <t>TXN100668</t>
  </si>
  <si>
    <t>TXN101196</t>
  </si>
  <si>
    <t>TXN100905</t>
  </si>
  <si>
    <t>TXN102513</t>
  </si>
  <si>
    <t>TXN101295</t>
  </si>
  <si>
    <t>TXN101950</t>
  </si>
  <si>
    <t>TXN100599</t>
  </si>
  <si>
    <t>TXN103440</t>
  </si>
  <si>
    <t>TXN100442</t>
  </si>
  <si>
    <t>TXN103029</t>
  </si>
  <si>
    <t>TXN101593</t>
  </si>
  <si>
    <t>TXN100540</t>
  </si>
  <si>
    <t>TXN103448</t>
  </si>
  <si>
    <t>TXN102225</t>
  </si>
  <si>
    <t>TXN103270</t>
  </si>
  <si>
    <t>TXN101056</t>
  </si>
  <si>
    <t>TXN100380</t>
  </si>
  <si>
    <t>TXN103499</t>
  </si>
  <si>
    <t>TXN102530</t>
  </si>
  <si>
    <t>TXN100854</t>
  </si>
  <si>
    <t>TXN102634</t>
  </si>
  <si>
    <t>TXN103434</t>
  </si>
  <si>
    <t>TXN102132</t>
  </si>
  <si>
    <t>TXN102103</t>
  </si>
  <si>
    <t>TXN103055</t>
  </si>
  <si>
    <t>TXN101272</t>
  </si>
  <si>
    <t>TXN101999</t>
  </si>
  <si>
    <t>TXN103426</t>
  </si>
  <si>
    <t>TXN101074</t>
  </si>
  <si>
    <t>TXN101124</t>
  </si>
  <si>
    <t>TXN100587</t>
  </si>
  <si>
    <t>TXN100933</t>
  </si>
  <si>
    <t>TXN102171</t>
  </si>
  <si>
    <t>TXN102723</t>
  </si>
  <si>
    <t>TXN100940</t>
  </si>
  <si>
    <t>TXN102258</t>
  </si>
  <si>
    <t>TXN101088</t>
  </si>
  <si>
    <t>TXN102476</t>
  </si>
  <si>
    <t>TXN100716</t>
  </si>
  <si>
    <t>TXN102609</t>
  </si>
  <si>
    <t>TXN100435</t>
  </si>
  <si>
    <t>TXN101419</t>
  </si>
  <si>
    <t>TXN100383</t>
  </si>
  <si>
    <t>TXN101881</t>
  </si>
  <si>
    <t>TXN100989</t>
  </si>
  <si>
    <t>TXN101369</t>
  </si>
  <si>
    <t>TXN102032</t>
  </si>
  <si>
    <t>TXN102163</t>
  </si>
  <si>
    <t>TXN100265</t>
  </si>
  <si>
    <t>TXN102592</t>
  </si>
  <si>
    <t>TXN100356</t>
  </si>
  <si>
    <t>TXN103263</t>
  </si>
  <si>
    <t>TXN102531</t>
  </si>
  <si>
    <t>TXN100462</t>
  </si>
  <si>
    <t>TXN103326</t>
  </si>
  <si>
    <t>TXN101152</t>
  </si>
  <si>
    <t>TXN101785</t>
  </si>
  <si>
    <t>TXN102343</t>
  </si>
  <si>
    <t>TXN103269</t>
  </si>
  <si>
    <t>TXN100490</t>
  </si>
  <si>
    <t>TXN101989</t>
  </si>
  <si>
    <t>TXN101832</t>
  </si>
  <si>
    <t>TXN101242</t>
  </si>
  <si>
    <t>TXN102760</t>
  </si>
  <si>
    <t>TXN103372</t>
  </si>
  <si>
    <t>TXN103443</t>
  </si>
  <si>
    <t>TXN100761</t>
  </si>
  <si>
    <t>TXN100002</t>
  </si>
  <si>
    <t>TXN102317</t>
  </si>
  <si>
    <t>TXN101173</t>
  </si>
  <si>
    <t>TXN101222</t>
  </si>
  <si>
    <t>TXN101095</t>
  </si>
  <si>
    <t>TXN103132</t>
  </si>
  <si>
    <t>TXN101896</t>
  </si>
  <si>
    <t>TXN100808</t>
  </si>
  <si>
    <t>TXN102839</t>
  </si>
  <si>
    <t>TXN101521</t>
  </si>
  <si>
    <t>TXN100392</t>
  </si>
  <si>
    <t>TXN101920</t>
  </si>
  <si>
    <t>TXN103335</t>
  </si>
  <si>
    <t>TXN100214</t>
  </si>
  <si>
    <t>TXN103452</t>
  </si>
  <si>
    <t>TXN101476</t>
  </si>
  <si>
    <t>TXN100942</t>
  </si>
  <si>
    <t>TXN103312</t>
  </si>
  <si>
    <t>TXN101298</t>
  </si>
  <si>
    <t>TXN101285</t>
  </si>
  <si>
    <t>TXN101780</t>
  </si>
  <si>
    <t>TXN102735</t>
  </si>
  <si>
    <t>TXN101994</t>
  </si>
  <si>
    <t>TXN100178</t>
  </si>
  <si>
    <t>TXN102305</t>
  </si>
  <si>
    <t>TXN101402</t>
  </si>
  <si>
    <t>TXN102671</t>
  </si>
  <si>
    <t>TXN101730</t>
  </si>
  <si>
    <t>TXN102192</t>
  </si>
  <si>
    <t>TXN102548</t>
  </si>
  <si>
    <t>TXN103125</t>
  </si>
  <si>
    <t>TXN100600</t>
  </si>
  <si>
    <t>TXN101839</t>
  </si>
  <si>
    <t>TXN102471</t>
  </si>
  <si>
    <t>TXN102919</t>
  </si>
  <si>
    <t>TXN101591</t>
  </si>
  <si>
    <t>TXN100431</t>
  </si>
  <si>
    <t>TXN100555</t>
  </si>
  <si>
    <t>TXN102584</t>
  </si>
  <si>
    <t>TXN101699</t>
  </si>
  <si>
    <t>TXN103018</t>
  </si>
  <si>
    <t>TXN102818</t>
  </si>
  <si>
    <t>TXN101079</t>
  </si>
  <si>
    <t>TXN100502</t>
  </si>
  <si>
    <t>TXN102565</t>
  </si>
  <si>
    <t>TXN103383</t>
  </si>
  <si>
    <t>TXN101198</t>
  </si>
  <si>
    <t>TXN102135</t>
  </si>
  <si>
    <t>TXN103367</t>
  </si>
  <si>
    <t>TXN101379</t>
  </si>
  <si>
    <t>TXN101094</t>
  </si>
  <si>
    <t>TXN100458</t>
  </si>
  <si>
    <t>TXN103211</t>
  </si>
  <si>
    <t>TXN101708</t>
  </si>
  <si>
    <t>TXN100577</t>
  </si>
  <si>
    <t>TXN100230</t>
  </si>
  <si>
    <t>TXN101093</t>
  </si>
  <si>
    <t>TXN102571</t>
  </si>
  <si>
    <t>TXN100762</t>
  </si>
  <si>
    <t>TXN100907</t>
  </si>
  <si>
    <t>TXN102748</t>
  </si>
  <si>
    <t>TXN102734</t>
  </si>
  <si>
    <t>TXN102333</t>
  </si>
  <si>
    <t>TXN102986</t>
  </si>
  <si>
    <t>TXN101246</t>
  </si>
  <si>
    <t>TXN103036</t>
  </si>
  <si>
    <t>TXN102002</t>
  </si>
  <si>
    <t>TXN100025</t>
  </si>
  <si>
    <t>TXN101633</t>
  </si>
  <si>
    <t>TXN103025</t>
  </si>
  <si>
    <t>TXN102879</t>
  </si>
  <si>
    <t>TXN101514</t>
  </si>
  <si>
    <t>TXN100899</t>
  </si>
  <si>
    <t>TXN101027</t>
  </si>
  <si>
    <t>TXN103298</t>
  </si>
  <si>
    <t>TXN100945</t>
  </si>
  <si>
    <t>TXN103017</t>
  </si>
  <si>
    <t>TXN100889</t>
  </si>
  <si>
    <t>TXN101292</t>
  </si>
  <si>
    <t>TXN100616</t>
  </si>
  <si>
    <t>TXN103068</t>
  </si>
  <si>
    <t>TXN100281</t>
  </si>
  <si>
    <t>TXN100659</t>
  </si>
  <si>
    <t>TXN102181</t>
  </si>
  <si>
    <t>TXN102648</t>
  </si>
  <si>
    <t>TXN102538</t>
  </si>
  <si>
    <t>TXN100806</t>
  </si>
  <si>
    <t>TXN102494</t>
  </si>
  <si>
    <t>TXN101424</t>
  </si>
  <si>
    <t>TXN102001</t>
  </si>
  <si>
    <t>TXN103109</t>
  </si>
  <si>
    <t>TXN100151</t>
  </si>
  <si>
    <t>TXN100361</t>
  </si>
  <si>
    <t>TXN102174</t>
  </si>
  <si>
    <t>TXN100628</t>
  </si>
  <si>
    <t>TXN102166</t>
  </si>
  <si>
    <t>TXN102679</t>
  </si>
  <si>
    <t>TXN101742</t>
  </si>
  <si>
    <t>TXN101913</t>
  </si>
  <si>
    <t>TXN100348</t>
  </si>
  <si>
    <t>TXN101250</t>
  </si>
  <si>
    <t>TXN103433</t>
  </si>
  <si>
    <t>TXN102082</t>
  </si>
  <si>
    <t>TXN102578</t>
  </si>
  <si>
    <t>TXN100480</t>
  </si>
  <si>
    <t>TXN100109</t>
  </si>
  <si>
    <t>TXN103458</t>
  </si>
  <si>
    <t>TXN102945</t>
  </si>
  <si>
    <t>TXN103324</t>
  </si>
  <si>
    <t>TXN100324</t>
  </si>
  <si>
    <t>TXN102849</t>
  </si>
  <si>
    <t>TXN102806</t>
  </si>
  <si>
    <t>TXN103099</t>
  </si>
  <si>
    <t>TXN101375</t>
  </si>
  <si>
    <t>TXN102928</t>
  </si>
  <si>
    <t>TXN100720</t>
  </si>
  <si>
    <t>TXN102139</t>
  </si>
  <si>
    <t>TXN100120</t>
  </si>
  <si>
    <t>TXN101946</t>
  </si>
  <si>
    <t>TXN101908</t>
  </si>
  <si>
    <t>TXN101089</t>
  </si>
  <si>
    <t>TXN102944</t>
  </si>
  <si>
    <t>TXN102840</t>
  </si>
  <si>
    <t>TXN100404</t>
  </si>
  <si>
    <t>TXN101057</t>
  </si>
  <si>
    <t>TXN102357</t>
  </si>
  <si>
    <t>TXN100596</t>
  </si>
  <si>
    <t>TXN101546</t>
  </si>
  <si>
    <t>TXN103156</t>
  </si>
  <si>
    <t>TXN101282</t>
  </si>
  <si>
    <t>TXN101859</t>
  </si>
  <si>
    <t>TXN100257</t>
  </si>
  <si>
    <t>TXN100838</t>
  </si>
  <si>
    <t>TXN102239</t>
  </si>
  <si>
    <t>TXN100233</t>
  </si>
  <si>
    <t>TXN103414</t>
  </si>
  <si>
    <t>TXN102432</t>
  </si>
  <si>
    <t>TXN101039</t>
  </si>
  <si>
    <t>TXN100343</t>
  </si>
  <si>
    <t>TXN100110</t>
  </si>
  <si>
    <t>TXN100609</t>
  </si>
  <si>
    <t>TXN103170</t>
  </si>
  <si>
    <t>TXN103338</t>
  </si>
  <si>
    <t>TXN102766</t>
  </si>
  <si>
    <t>TXN101855</t>
  </si>
  <si>
    <t>TXN102274</t>
  </si>
  <si>
    <t>TXN102200</t>
  </si>
  <si>
    <t>TXN102396</t>
  </si>
  <si>
    <t>TXN101880</t>
  </si>
  <si>
    <t>TXN101792</t>
  </si>
  <si>
    <t>TXN101257</t>
  </si>
  <si>
    <t>TXN101229</t>
  </si>
  <si>
    <t>TXN101566</t>
  </si>
  <si>
    <t>TXN102837</t>
  </si>
  <si>
    <t>TXN103242</t>
  </si>
  <si>
    <t>TXN101426</t>
  </si>
  <si>
    <t>TXN100927</t>
  </si>
  <si>
    <t>TXN100310</t>
  </si>
  <si>
    <t>TXN101526</t>
  </si>
  <si>
    <t>TXN102390</t>
  </si>
  <si>
    <t>TXN100863</t>
  </si>
  <si>
    <t>TXN100860</t>
  </si>
  <si>
    <t>TXN101601</t>
  </si>
  <si>
    <t>TXN103095</t>
  </si>
  <si>
    <t>TXN102227</t>
  </si>
  <si>
    <t>TXN102418</t>
  </si>
  <si>
    <t>TXN102957</t>
  </si>
  <si>
    <t>TXN101554</t>
  </si>
  <si>
    <t>TXN101238</t>
  </si>
  <si>
    <t>TXN101338</t>
  </si>
  <si>
    <t>TXN102176</t>
  </si>
  <si>
    <t>TXN102493</t>
  </si>
  <si>
    <t>TXN101146</t>
  </si>
  <si>
    <t>TXN102850</t>
  </si>
  <si>
    <t>TXN103294</t>
  </si>
  <si>
    <t>TXN100215</t>
  </si>
  <si>
    <t>TXN102477</t>
  </si>
  <si>
    <t>TXN100450</t>
  </si>
  <si>
    <t>TXN102534</t>
  </si>
  <si>
    <t>TXN101576</t>
  </si>
  <si>
    <t>TXN101884</t>
  </si>
  <si>
    <t>TXN100794</t>
  </si>
  <si>
    <t>TXN101581</t>
  </si>
  <si>
    <t>TXN103370</t>
  </si>
  <si>
    <t>TXN101683</t>
  </si>
  <si>
    <t>TXN102232</t>
  </si>
  <si>
    <t>TXN102842</t>
  </si>
  <si>
    <t>TXN101391</t>
  </si>
  <si>
    <t>TXN100018</t>
  </si>
  <si>
    <t>TXN100217</t>
  </si>
  <si>
    <t>TXN101367</t>
  </si>
  <si>
    <t>TXN100154</t>
  </si>
  <si>
    <t>TXN103331</t>
  </si>
  <si>
    <t>TXN101111</t>
  </si>
  <si>
    <t>TXN100644</t>
  </si>
  <si>
    <t>TXN100733</t>
  </si>
  <si>
    <t>TXN101011</t>
  </si>
  <si>
    <t>TXN102116</t>
  </si>
  <si>
    <t>TXN100673</t>
  </si>
  <si>
    <t>TXN103273</t>
  </si>
  <si>
    <t>TXN102940</t>
  </si>
  <si>
    <t>TXN102637</t>
  </si>
  <si>
    <t>TXN100364</t>
  </si>
  <si>
    <t>TXN100092</t>
  </si>
  <si>
    <t>TXN101668</t>
  </si>
  <si>
    <t>TXN100717</t>
  </si>
  <si>
    <t>TXN103178</t>
  </si>
  <si>
    <t>TXN102794</t>
  </si>
  <si>
    <t>TXN100441</t>
  </si>
  <si>
    <t>TXN100713</t>
  </si>
  <si>
    <t>TXN100857</t>
  </si>
  <si>
    <t>TXN101568</t>
  </si>
  <si>
    <t>TXN101538</t>
  </si>
  <si>
    <t>TXN100368</t>
  </si>
  <si>
    <t>TXN102910</t>
  </si>
  <si>
    <t>TXN101532</t>
  </si>
  <si>
    <t>TXN100112</t>
  </si>
  <si>
    <t>TXN102395</t>
  </si>
  <si>
    <t>TXN101797</t>
  </si>
  <si>
    <t>TXN102101</t>
  </si>
  <si>
    <t>TXN103103</t>
  </si>
  <si>
    <t>TXN100017</t>
  </si>
  <si>
    <t>TXN103219</t>
  </si>
  <si>
    <t>TXN101443</t>
  </si>
  <si>
    <t>TXN103355</t>
  </si>
  <si>
    <t>TXN101119</t>
  </si>
  <si>
    <t>TXN102152</t>
  </si>
  <si>
    <t>TXN100239</t>
  </si>
  <si>
    <t>TXN102421</t>
  </si>
  <si>
    <t>TXN100168</t>
  </si>
  <si>
    <t>TXN103174</t>
  </si>
  <si>
    <t>TXN102554</t>
  </si>
  <si>
    <t>TXN103120</t>
  </si>
  <si>
    <t>TXN102989</t>
  </si>
  <si>
    <t>TXN100649</t>
  </si>
  <si>
    <t>TXN102441</t>
  </si>
  <si>
    <t>TXN102744</t>
  </si>
  <si>
    <t>TXN100759</t>
  </si>
  <si>
    <t>TXN101332</t>
  </si>
  <si>
    <t>TXN103340</t>
  </si>
  <si>
    <t>TXN102932</t>
  </si>
  <si>
    <t>TXN102588</t>
  </si>
  <si>
    <t>TXN100727</t>
  </si>
  <si>
    <t>TXN101053</t>
  </si>
  <si>
    <t>TXN100807</t>
  </si>
  <si>
    <t>TXN101410</t>
  </si>
  <si>
    <t>TXN103480</t>
  </si>
  <si>
    <t>TXN102008</t>
  </si>
  <si>
    <t>TXN102997</t>
  </si>
  <si>
    <t>TXN101510</t>
  </si>
  <si>
    <t>TXN101596</t>
  </si>
  <si>
    <t>TXN100003</t>
  </si>
  <si>
    <t>TXN101490</t>
  </si>
  <si>
    <t>TXN100087</t>
  </si>
  <si>
    <t>TXN100878</t>
  </si>
  <si>
    <t>TXN102541</t>
  </si>
  <si>
    <t>TXN100571</t>
  </si>
  <si>
    <t>TXN103302</t>
  </si>
  <si>
    <t>TXN100159</t>
  </si>
  <si>
    <t>TXN101867</t>
  </si>
  <si>
    <t>TXN101629</t>
  </si>
  <si>
    <t>TXN102929</t>
  </si>
  <si>
    <t>TXN102904</t>
  </si>
  <si>
    <t>TXN102215</t>
  </si>
  <si>
    <t>TXN101926</t>
  </si>
  <si>
    <t>TXN100902</t>
  </si>
  <si>
    <t>TXN101396</t>
  </si>
  <si>
    <t>TXN100010</t>
  </si>
  <si>
    <t>TXN100406</t>
  </si>
  <si>
    <t>TXN101984</t>
  </si>
  <si>
    <t>TXN103489</t>
  </si>
  <si>
    <t>TXN103474</t>
  </si>
  <si>
    <t>TXN103071</t>
  </si>
  <si>
    <t>TXN100636</t>
  </si>
  <si>
    <t>TXN103450</t>
  </si>
  <si>
    <t>TXN100019</t>
  </si>
  <si>
    <t>TXN102763</t>
  </si>
  <si>
    <t>TXN100786</t>
  </si>
  <si>
    <t>TXN100517</t>
  </si>
  <si>
    <t>TXN101585</t>
  </si>
  <si>
    <t>TXN102427</t>
  </si>
  <si>
    <t>TXN101044</t>
  </si>
  <si>
    <t>TXN103241</t>
  </si>
  <si>
    <t>TXN100531</t>
  </si>
  <si>
    <t>TXN102254</t>
  </si>
  <si>
    <t>TXN102994</t>
  </si>
  <si>
    <t>TXN100557</t>
  </si>
  <si>
    <t>TXN101235</t>
  </si>
  <si>
    <t>TXN103248</t>
  </si>
  <si>
    <t>TXN101673</t>
  </si>
  <si>
    <t>TXN103418</t>
  </si>
  <si>
    <t>TXN101890</t>
  </si>
  <si>
    <t xml:space="preserve"> Debit Card</t>
  </si>
  <si>
    <t>TXN100352</t>
  </si>
  <si>
    <t>TXN102522</t>
  </si>
  <si>
    <t>TXN100187</t>
  </si>
  <si>
    <t>TXN101431</t>
  </si>
  <si>
    <t>TXN101675</t>
  </si>
  <si>
    <t>Travel Agency - Hotels</t>
  </si>
  <si>
    <t>TXN100674</t>
  </si>
  <si>
    <t>TXN101283</t>
  </si>
  <si>
    <t>TXN102284</t>
  </si>
  <si>
    <t>TXN102391</t>
  </si>
  <si>
    <t>TXN101622</t>
  </si>
  <si>
    <t>TXN100143</t>
  </si>
  <si>
    <t>TXN101640</t>
  </si>
  <si>
    <t>TXN100494</t>
  </si>
  <si>
    <t>TXN101010</t>
  </si>
  <si>
    <t>TXN101479</t>
  </si>
  <si>
    <t>TXN101213</t>
  </si>
  <si>
    <t>TXN100711</t>
  </si>
  <si>
    <t>TXN101967</t>
  </si>
  <si>
    <t>TXN101323</t>
  </si>
  <si>
    <t>TXN101343</t>
  </si>
  <si>
    <t>TXN103408</t>
  </si>
  <si>
    <t>TXN101068</t>
  </si>
  <si>
    <t>TXN100622</t>
  </si>
  <si>
    <t>TXN102203</t>
  </si>
  <si>
    <t>TXN102918</t>
  </si>
  <si>
    <t>TXN102526</t>
  </si>
  <si>
    <t>TXN102127</t>
  </si>
  <si>
    <t>TXN101990</t>
  </si>
  <si>
    <t>TXN101047</t>
  </si>
  <si>
    <t>TXN102979</t>
  </si>
  <si>
    <t>TXN103173</t>
  </si>
  <si>
    <t>TXN102872</t>
  </si>
  <si>
    <t>TXN103127</t>
  </si>
  <si>
    <t>TXN100073</t>
  </si>
  <si>
    <t>TXN102844</t>
  </si>
  <si>
    <t>TXN103334</t>
  </si>
  <si>
    <t>TXN100126</t>
  </si>
  <si>
    <t>TXN102021</t>
  </si>
  <si>
    <t>TXN101740</t>
  </si>
  <si>
    <t>TXN101819</t>
  </si>
  <si>
    <t>TXN103260</t>
  </si>
  <si>
    <t>TXN101442</t>
  </si>
  <si>
    <t>TXN102568</t>
  </si>
  <si>
    <t>TXN100568</t>
  </si>
  <si>
    <t>TXN100410</t>
  </si>
  <si>
    <t>TXN103357</t>
  </si>
  <si>
    <t>TXN103214</t>
  </si>
  <si>
    <t>TXN100749</t>
  </si>
  <si>
    <t>TXN102243</t>
  </si>
  <si>
    <t>TXN101399</t>
  </si>
  <si>
    <t>TXN102416</t>
  </si>
  <si>
    <t>TXN100834</t>
  </si>
  <si>
    <t>TXN101912</t>
  </si>
  <si>
    <t>TXN102012</t>
  </si>
  <si>
    <t>TXN103163</t>
  </si>
  <si>
    <t>TXN100871</t>
  </si>
  <si>
    <t>TXN102350</t>
  </si>
  <si>
    <t>TXN102041</t>
  </si>
  <si>
    <t>TXN103435</t>
  </si>
  <si>
    <t>TXN100339</t>
  </si>
  <si>
    <t>TXN100725</t>
  </si>
  <si>
    <t>TXN102596</t>
  </si>
  <si>
    <t>TXN102939</t>
  </si>
  <si>
    <t>TXN102489</t>
  </si>
  <si>
    <t>TXN101355</t>
  </si>
  <si>
    <t>TXN100066</t>
  </si>
  <si>
    <t>TXN100962</t>
  </si>
  <si>
    <t>TXN100684</t>
  </si>
  <si>
    <t>TXN102789</t>
  </si>
  <si>
    <t>TXN101000</t>
  </si>
  <si>
    <t>TXN101084</t>
  </si>
  <si>
    <t>TXN100790</t>
  </si>
  <si>
    <t>TXN102843</t>
  </si>
  <si>
    <t>TXN100189</t>
  </si>
  <si>
    <t>TXN100464</t>
  </si>
  <si>
    <t>TXN100005</t>
  </si>
  <si>
    <t>TXN103456</t>
  </si>
  <si>
    <t>TXN100299</t>
  </si>
  <si>
    <t>TXN101536</t>
  </si>
  <si>
    <t>TXN101096</t>
  </si>
  <si>
    <t>TXN100873</t>
  </si>
  <si>
    <t>TXN102450</t>
  </si>
  <si>
    <t>TXN100676</t>
  </si>
  <si>
    <t>TXN102134</t>
  </si>
  <si>
    <t>TXN101208</t>
  </si>
  <si>
    <t>TXN103317</t>
  </si>
  <si>
    <t>TXN100999</t>
  </si>
  <si>
    <t>TXN100084</t>
  </si>
  <si>
    <t>TXN102885</t>
  </si>
  <si>
    <t>TXN100664</t>
  </si>
  <si>
    <t>TXN100982</t>
  </si>
  <si>
    <t>TXN102587</t>
  </si>
  <si>
    <t>TXN100482</t>
  </si>
  <si>
    <t>TXN100580</t>
  </si>
  <si>
    <t>TXN102029</t>
  </si>
  <si>
    <t>TXN102043</t>
  </si>
  <si>
    <t>TXN100452</t>
  </si>
  <si>
    <t>TXN100411</t>
  </si>
  <si>
    <t>TXN101350</t>
  </si>
  <si>
    <t>TXN100882</t>
  </si>
  <si>
    <t>TXN100272</t>
  </si>
  <si>
    <t>TXN101182</t>
  </si>
  <si>
    <t>TXN101001</t>
  </si>
  <si>
    <t>TXN103494</t>
  </si>
  <si>
    <t>TXN100216</t>
  </si>
  <si>
    <t>TXN101259</t>
  </si>
  <si>
    <t>TXN102339</t>
  </si>
  <si>
    <t>TXN103008</t>
  </si>
  <si>
    <t>TXN102015</t>
  </si>
  <si>
    <t>TXN102524</t>
  </si>
  <si>
    <t>TXN101453</t>
  </si>
  <si>
    <t>TXN103399</t>
  </si>
  <si>
    <t>TXN101226</t>
  </si>
  <si>
    <t>TXN100861</t>
  </si>
  <si>
    <t>TXN101101</t>
  </si>
  <si>
    <t>TXN101494</t>
  </si>
  <si>
    <t>TXN103400</t>
  </si>
  <si>
    <t>TXN100584</t>
  </si>
  <si>
    <t>TXN101753</t>
  </si>
  <si>
    <t>TXN100642</t>
  </si>
  <si>
    <t>TXN102366</t>
  </si>
  <si>
    <t>TXN100099</t>
  </si>
  <si>
    <t>TXN102368</t>
  </si>
  <si>
    <t>TXN101076</t>
  </si>
  <si>
    <t>TXN101459</t>
  </si>
  <si>
    <t>TXN103183</t>
  </si>
  <si>
    <t>TXN101587</t>
  </si>
  <si>
    <t>TXN102406</t>
  </si>
  <si>
    <t>TXN100516</t>
  </si>
  <si>
    <t>TXN103069</t>
  </si>
  <si>
    <t>TXN100436</t>
  </si>
  <si>
    <t>TXN100469</t>
  </si>
  <si>
    <t>TXN101397</t>
  </si>
  <si>
    <t>TXN101151</t>
  </si>
  <si>
    <t>TXN100193</t>
  </si>
  <si>
    <t>TXN103319</t>
  </si>
  <si>
    <t xml:space="preserve">Employer Bonus </t>
  </si>
  <si>
    <t>TXN102196</t>
  </si>
  <si>
    <t>TXN101586</t>
  </si>
  <si>
    <t>TXN103446</t>
  </si>
  <si>
    <t>TXN101820</t>
  </si>
  <si>
    <t>TXN103465</t>
  </si>
  <si>
    <t>TXN103277</t>
  </si>
  <si>
    <t>TXN101693</t>
  </si>
  <si>
    <t>TXN100276</t>
  </si>
  <si>
    <t>TXN103403</t>
  </si>
  <si>
    <t>TXN101420</t>
  </si>
  <si>
    <t>TXN101998</t>
  </si>
  <si>
    <t>TXN101054</t>
  </si>
  <si>
    <t>TXN100446</t>
  </si>
  <si>
    <t>TXN100526</t>
  </si>
  <si>
    <t>TXN100472</t>
  </si>
  <si>
    <t>TXN103257</t>
  </si>
  <si>
    <t>TXN101328</t>
  </si>
  <si>
    <t>TXN100784</t>
  </si>
  <si>
    <t>TXN102310</t>
  </si>
  <si>
    <t>TXN100232</t>
  </si>
  <si>
    <t>TXN102902</t>
  </si>
  <si>
    <t>TXN102387</t>
  </si>
  <si>
    <t>TXN100997</t>
  </si>
  <si>
    <t>TXN100201</t>
  </si>
  <si>
    <t>TXN102741</t>
  </si>
  <si>
    <t>TXN101386</t>
  </si>
  <si>
    <t>TXN102551</t>
  </si>
  <si>
    <t>TXN101919</t>
  </si>
  <si>
    <t>TXN102168</t>
  </si>
  <si>
    <t>TXN100144</t>
  </si>
  <si>
    <t>TXN102692</t>
  </si>
  <si>
    <t>TXN100803</t>
  </si>
  <si>
    <t>TXN103012</t>
  </si>
  <si>
    <t>TXN101704</t>
  </si>
  <si>
    <t>TXN100941</t>
  </si>
  <si>
    <t>TXN102992</t>
  </si>
  <si>
    <t>TXN101243</t>
  </si>
  <si>
    <t>TXN101564</t>
  </si>
  <si>
    <t>TXN100802</t>
  </si>
  <si>
    <t>TXN102669</t>
  </si>
  <si>
    <t>TXN100528</t>
  </si>
  <si>
    <t>TXN103093</t>
  </si>
  <si>
    <t>TXN102982</t>
  </si>
  <si>
    <t>TXN100001</t>
  </si>
  <si>
    <t>TXN101993</t>
  </si>
  <si>
    <t>TXN101009</t>
  </si>
  <si>
    <t>TXN100813</t>
  </si>
  <si>
    <t>TXN102382</t>
  </si>
  <si>
    <t>TXN103220</t>
  </si>
  <si>
    <t>TXN103194</t>
  </si>
  <si>
    <t>TXN101224</t>
  </si>
  <si>
    <t>TXN102262</t>
  </si>
  <si>
    <t>TXN100746</t>
  </si>
  <si>
    <t>TXN101461</t>
  </si>
  <si>
    <t>TXN101705</t>
  </si>
  <si>
    <t>TXN101812</t>
  </si>
  <si>
    <t>TXN102454</t>
  </si>
  <si>
    <t>TXN100908</t>
  </si>
  <si>
    <t>TXN101384</t>
  </si>
  <si>
    <t>TXN101451</t>
  </si>
  <si>
    <t>TXN103436</t>
  </si>
  <si>
    <t>TXN100627</t>
  </si>
  <si>
    <t>TXN100493</t>
  </si>
  <si>
    <t>TXN102096</t>
  </si>
  <si>
    <t>TXN100823</t>
  </si>
  <si>
    <t>TXN102078</t>
  </si>
  <si>
    <t>TXN101307</t>
  </si>
  <si>
    <t>TXN102481</t>
  </si>
  <si>
    <t>TXN102422</t>
  </si>
  <si>
    <t>TXN100198</t>
  </si>
  <si>
    <t>TXN101825</t>
  </si>
  <si>
    <t>TXN102699</t>
  </si>
  <si>
    <t>TXN101856</t>
  </si>
  <si>
    <t>TXN100456</t>
  </si>
  <si>
    <t>TXN100560</t>
  </si>
  <si>
    <t>TXN102868</t>
  </si>
  <si>
    <t>TXN100080</t>
  </si>
  <si>
    <t>TXN100535</t>
  </si>
  <si>
    <t>TXN102292</t>
  </si>
  <si>
    <t>TXN101887</t>
  </si>
  <si>
    <t>TXN101342</t>
  </si>
  <si>
    <t>TXN102589</t>
  </si>
  <si>
    <t>TXN102681</t>
  </si>
  <si>
    <t>TXN101617</t>
  </si>
  <si>
    <t>TXN101176</t>
  </si>
  <si>
    <t>TXN102507</t>
  </si>
  <si>
    <t>TXN102998</t>
  </si>
  <si>
    <t>TXN101562</t>
  </si>
  <si>
    <t>TXN101428</t>
  </si>
  <si>
    <t>TXN102739</t>
  </si>
  <si>
    <t>TXN100322</t>
  </si>
  <si>
    <t>TXN100177</t>
  </si>
  <si>
    <t>TXN102413</t>
  </si>
  <si>
    <t>TXN101634</t>
  </si>
  <si>
    <t>TXN103027</t>
  </si>
  <si>
    <t>TXN102608</t>
  </si>
  <si>
    <t>TXN100939</t>
  </si>
  <si>
    <t>TXN103289</t>
  </si>
  <si>
    <t>TXN100498</t>
  </si>
  <si>
    <t>TXN103179</t>
  </si>
  <si>
    <t>TXN100734</t>
  </si>
  <si>
    <t>TXN102256</t>
  </si>
  <si>
    <t>TXN100703</t>
  </si>
  <si>
    <t>TXN101658</t>
  </si>
  <si>
    <t>TXN100508</t>
  </si>
  <si>
    <t>TXN101936</t>
  </si>
  <si>
    <t>TXN101145</t>
  </si>
  <si>
    <t>TXN103491</t>
  </si>
  <si>
    <t>TXN103191</t>
  </si>
  <si>
    <t>TXN102862</t>
  </si>
  <si>
    <t>TXN100495</t>
  </si>
  <si>
    <t>TXN100296</t>
  </si>
  <si>
    <t>TXN103320</t>
  </si>
  <si>
    <t>TXN101897</t>
  </si>
  <si>
    <t>TXN101215</t>
  </si>
  <si>
    <t>TXN103118</t>
  </si>
  <si>
    <t>TXN100030</t>
  </si>
  <si>
    <t>TXN102848</t>
  </si>
  <si>
    <t>TXN102610</t>
  </si>
  <si>
    <t>TXN102767</t>
  </si>
  <si>
    <t>TXN100484</t>
  </si>
  <si>
    <t>TXN101955</t>
  </si>
  <si>
    <t>TXN101766</t>
  </si>
  <si>
    <t>TXN102949</t>
  </si>
  <si>
    <t>TXN101858</t>
  </si>
  <si>
    <t>TXN102638</t>
  </si>
  <si>
    <t>TXN102448</t>
  </si>
  <si>
    <t>TXN101655</t>
  </si>
  <si>
    <t>TXN101275</t>
  </si>
  <si>
    <t>TXN100944</t>
  </si>
  <si>
    <t>TXN102673</t>
  </si>
  <si>
    <t>TXN101732</t>
  </si>
  <si>
    <t>TXN101831</t>
  </si>
  <si>
    <t>TXN100623</t>
  </si>
  <si>
    <t>TXN103161</t>
  </si>
  <si>
    <t>TXN102300</t>
  </si>
  <si>
    <t xml:space="preserve">Aral </t>
  </si>
  <si>
    <t>TXN102007</t>
  </si>
  <si>
    <t>TXN103276</t>
  </si>
  <si>
    <t>TXN102776</t>
  </si>
  <si>
    <t>TXN103137</t>
  </si>
  <si>
    <t>TXN101941</t>
  </si>
  <si>
    <t>TXN100992</t>
  </si>
  <si>
    <t>TXN103221</t>
  </si>
  <si>
    <t>TXN103454</t>
  </si>
  <si>
    <t>TXN100222</t>
  </si>
  <si>
    <t>TXN101985</t>
  </si>
  <si>
    <t>TXN101025</t>
  </si>
  <si>
    <t>TXN101276</t>
  </si>
  <si>
    <t>TXN101102</t>
  </si>
  <si>
    <t>TXN101502</t>
  </si>
  <si>
    <t>TXN101162</t>
  </si>
  <si>
    <t>TXN101477</t>
  </si>
  <si>
    <t>TXN103419</t>
  </si>
  <si>
    <t>TXN101614</t>
  </si>
  <si>
    <t>TXN100163</t>
  </si>
  <si>
    <t>TXN100116</t>
  </si>
  <si>
    <t>TXN103087</t>
  </si>
  <si>
    <t>TXN103078</t>
  </si>
  <si>
    <t>TXN102599</t>
  </si>
  <si>
    <t>TXN102779</t>
  </si>
  <si>
    <t>TXN100180</t>
  </si>
  <si>
    <t>TXN102500</t>
  </si>
  <si>
    <t>TXN101928</t>
  </si>
  <si>
    <t>TXN102240</t>
  </si>
  <si>
    <t>TXN100688</t>
  </si>
  <si>
    <t>TXN101641</t>
  </si>
  <si>
    <t>TXN100308</t>
  </si>
  <si>
    <t>TXN101475</t>
  </si>
  <si>
    <t>TXN101214</t>
  </si>
  <si>
    <t>TXN101986</t>
  </si>
  <si>
    <t>TXN100326</t>
  </si>
  <si>
    <t>TXN101947</t>
  </si>
  <si>
    <t>TXN102877</t>
  </si>
  <si>
    <t>TXN103445</t>
  </si>
  <si>
    <t>TXN101228</t>
  </si>
  <si>
    <t>TXN100147</t>
  </si>
  <si>
    <t>TXN101192</t>
  </si>
  <si>
    <t>TXN101429</t>
  </si>
  <si>
    <t>TXN102378</t>
  </si>
  <si>
    <t>TXN100771</t>
  </si>
  <si>
    <t>TXN102491</t>
  </si>
  <si>
    <t xml:space="preserve">REWE </t>
  </si>
  <si>
    <t>TXN100950</t>
  </si>
  <si>
    <t>TXN102184</t>
  </si>
  <si>
    <t>TXN100879</t>
  </si>
  <si>
    <t>TXN101219</t>
  </si>
  <si>
    <t>TXN102942</t>
  </si>
  <si>
    <t>TXN103238</t>
  </si>
  <si>
    <t>TXN103001</t>
  </si>
  <si>
    <t>TXN100981</t>
  </si>
  <si>
    <t>TXN100231</t>
  </si>
  <si>
    <t>TXN100554</t>
  </si>
  <si>
    <t>TXN102505</t>
  </si>
  <si>
    <t>TXN100425</t>
  </si>
  <si>
    <t>TXN100503</t>
  </si>
  <si>
    <t>TXN100229</t>
  </si>
  <si>
    <t>TXN101329</t>
  </si>
  <si>
    <t>TXN100016</t>
  </si>
  <si>
    <t>TXN100729</t>
  </si>
  <si>
    <t>TXN102693</t>
  </si>
  <si>
    <t>TXN101904</t>
  </si>
  <si>
    <t>TXN100998</t>
  </si>
  <si>
    <t>TXN101612</t>
  </si>
  <si>
    <t>TXN100058</t>
  </si>
  <si>
    <t>TXN100850</t>
  </si>
  <si>
    <t>TXN101841</t>
  </si>
  <si>
    <t>TXN101206</t>
  </si>
  <si>
    <t>TXN100670</t>
  </si>
  <si>
    <t>TXN100974</t>
  </si>
  <si>
    <t>TXN101306</t>
  </si>
  <si>
    <t>TXN102190</t>
  </si>
  <si>
    <t>TXN102533</t>
  </si>
  <si>
    <t>TXN102474</t>
  </si>
  <si>
    <t>TXN101414</t>
  </si>
  <si>
    <t>TXN101335</t>
  </si>
  <si>
    <t>TXN101711</t>
  </si>
  <si>
    <t>TXN102046</t>
  </si>
  <si>
    <t>TXN101650</t>
  </si>
  <si>
    <t>TXN103145</t>
  </si>
  <si>
    <t>TXN102298</t>
  </si>
  <si>
    <t>TXN101719</t>
  </si>
  <si>
    <t>TXN101083</t>
  </si>
  <si>
    <t>TXN101193</t>
  </si>
  <si>
    <t>TXN100416</t>
  </si>
  <si>
    <t>TXN101024</t>
  </si>
  <si>
    <t>TXN103384</t>
  </si>
  <si>
    <t>TXN102045</t>
  </si>
  <si>
    <t>TXN101924</t>
  </si>
  <si>
    <t>TXN100015</t>
  </si>
  <si>
    <t>TXN101843</t>
  </si>
  <si>
    <t>TXN102081</t>
  </si>
  <si>
    <t>TXN102678</t>
  </si>
  <si>
    <t>TXN100307</t>
  </si>
  <si>
    <t>TXN100082</t>
  </si>
  <si>
    <t>TXN100988</t>
  </si>
  <si>
    <t>TXN100306</t>
  </si>
  <si>
    <t>TXN102704</t>
  </si>
  <si>
    <t>TXN102570</t>
  </si>
  <si>
    <t>TXN101763</t>
  </si>
  <si>
    <t>TXN101373</t>
  </si>
  <si>
    <t>TXN102213</t>
  </si>
  <si>
    <t>TXN101357</t>
  </si>
  <si>
    <t>TXN103072</t>
  </si>
  <si>
    <t>TXN102289</t>
  </si>
  <si>
    <t>TXN100888</t>
  </si>
  <si>
    <t>TXN102576</t>
  </si>
  <si>
    <t>TXN101951</t>
  </si>
  <si>
    <t>TXN101110</t>
  </si>
  <si>
    <t>TXN100779</t>
  </si>
  <si>
    <t>TXN101744</t>
  </si>
  <si>
    <t>TXN101364</t>
  </si>
  <si>
    <t>TXN102579</t>
  </si>
  <si>
    <t>TXN100855</t>
  </si>
  <si>
    <t>TXN100190</t>
  </si>
  <si>
    <t>TXN102750</t>
  </si>
  <si>
    <t>TXN100573</t>
  </si>
  <si>
    <t>TXN101344</t>
  </si>
  <si>
    <t>TXN100107</t>
  </si>
  <si>
    <t>TXN102026</t>
  </si>
  <si>
    <t>TXN102314</t>
  </si>
  <si>
    <t>TXN100830</t>
  </si>
  <si>
    <t>TXN102120</t>
  </si>
  <si>
    <t>TXN103412</t>
  </si>
  <si>
    <t>TXN103172</t>
  </si>
  <si>
    <t>TXN102352</t>
  </si>
  <si>
    <t>TXN100745</t>
  </si>
  <si>
    <t>TXN103129</t>
  </si>
  <si>
    <t>TXN103487</t>
  </si>
  <si>
    <t>TXN100948</t>
  </si>
  <si>
    <t>TXN101279</t>
  </si>
  <si>
    <t>TXN100885</t>
  </si>
  <si>
    <t>TXN102552</t>
  </si>
  <si>
    <t>TXN103476</t>
  </si>
  <si>
    <t>TXN102138</t>
  </si>
  <si>
    <t>TXN102290</t>
  </si>
  <si>
    <t>TXN100245</t>
  </si>
  <si>
    <t>TXN103010</t>
  </si>
  <si>
    <t>TXN100805</t>
  </si>
  <si>
    <t>TXN102177</t>
  </si>
  <si>
    <t>TXN100039</t>
  </si>
  <si>
    <t>TXN100917</t>
  </si>
  <si>
    <t>TXN103498</t>
  </si>
  <si>
    <t>TXN100957</t>
  </si>
  <si>
    <t>TXN100043</t>
  </si>
  <si>
    <t>TXN100418</t>
  </si>
  <si>
    <t>TXN102457</t>
  </si>
  <si>
    <t>TXN100161</t>
  </si>
  <si>
    <t>TXN100637</t>
  </si>
  <si>
    <t>TXN101922</t>
  </si>
  <si>
    <t>TXN102124</t>
  </si>
  <si>
    <t>TXN100579</t>
  </si>
  <si>
    <t>TXN100767</t>
  </si>
  <si>
    <t>TXN102726</t>
  </si>
  <si>
    <t>TXN100996</t>
  </si>
  <si>
    <t>TXN100288</t>
  </si>
  <si>
    <t>TXN103038</t>
  </si>
  <si>
    <t>TXN102834</t>
  </si>
  <si>
    <t>TXN101550</t>
  </si>
  <si>
    <t>TXN103266</t>
  </si>
  <si>
    <t>TXN102071</t>
  </si>
  <si>
    <t>TXN100399</t>
  </si>
  <si>
    <t>TXN100451</t>
  </si>
  <si>
    <t>TXN102745</t>
  </si>
  <si>
    <t>TXN100714</t>
  </si>
  <si>
    <t>TXN100183</t>
  </si>
  <si>
    <t>TXN100841</t>
  </si>
  <si>
    <t>TXN102816</t>
  </si>
  <si>
    <t>TXN101163</t>
  </si>
  <si>
    <t>TXN102867</t>
  </si>
  <si>
    <t>TXN100334</t>
  </si>
  <si>
    <t>TXN102996</t>
  </si>
  <si>
    <t>TXN100896</t>
  </si>
  <si>
    <t>TXN102717</t>
  </si>
  <si>
    <t>TXN100849</t>
  </si>
  <si>
    <t>TXN100460</t>
  </si>
  <si>
    <t>TXN100036</t>
  </si>
  <si>
    <t>TXN101903</t>
  </si>
  <si>
    <t>TXN102070</t>
  </si>
  <si>
    <t>TXN102529</t>
  </si>
  <si>
    <t>TXN103274</t>
  </si>
  <si>
    <t>TXN103171</t>
  </si>
  <si>
    <t>TXN102654</t>
  </si>
  <si>
    <t>TXN102473</t>
  </si>
  <si>
    <t>TXN101231</t>
  </si>
  <si>
    <t>TXN103230</t>
  </si>
  <si>
    <t>TXN101165</t>
  </si>
  <si>
    <t>TXN101508</t>
  </si>
  <si>
    <t>TXN102999</t>
  </si>
  <si>
    <t>TXN102128</t>
  </si>
  <si>
    <t>TXN102838</t>
  </si>
  <si>
    <t>TXN102469</t>
  </si>
  <si>
    <t>TXN101381</t>
  </si>
  <si>
    <t>TXN100859</t>
  </si>
  <si>
    <t>TXN100329</t>
  </si>
  <si>
    <t>TXN100707</t>
  </si>
  <si>
    <t>TXN100868</t>
  </si>
  <si>
    <t>TXN101321</t>
  </si>
  <si>
    <t>TXN101134</t>
  </si>
  <si>
    <t>TXN102322</t>
  </si>
  <si>
    <t>TXN101197</t>
  </si>
  <si>
    <t>TXN101891</t>
  </si>
  <si>
    <t>TXN102922</t>
  </si>
  <si>
    <t>TXN102647</t>
  </si>
  <si>
    <t>TXN102510</t>
  </si>
  <si>
    <t>TXN103080</t>
  </si>
  <si>
    <t>TXN100355</t>
  </si>
  <si>
    <t>TXN102394</t>
  </si>
  <si>
    <t>TXN101814</t>
  </si>
  <si>
    <t>TXN100033</t>
  </si>
  <si>
    <t>TXN102836</t>
  </si>
  <si>
    <t>TXN101347</t>
  </si>
  <si>
    <t>TXN102436</t>
  </si>
  <si>
    <t>TXN102514</t>
  </si>
  <si>
    <t>TXN101191</t>
  </si>
  <si>
    <t>TXN101900</t>
  </si>
  <si>
    <t>TXN100138</t>
  </si>
  <si>
    <t>TXN102521</t>
  </si>
  <si>
    <t>TXN101446</t>
  </si>
  <si>
    <t>TXN102857</t>
  </si>
  <si>
    <t>TXN101619</t>
  </si>
  <si>
    <t>TXN102016</t>
  </si>
  <si>
    <t>TXN100132</t>
  </si>
  <si>
    <t>TXN102252</t>
  </si>
  <si>
    <t>TXN102334</t>
  </si>
  <si>
    <t>TXN103444</t>
  </si>
  <si>
    <t>TXN100679</t>
  </si>
  <si>
    <t>TXN102709</t>
  </si>
  <si>
    <t>TXN101118</t>
  </si>
  <si>
    <t>TXN103158</t>
  </si>
  <si>
    <t>TXN103166</t>
  </si>
  <si>
    <t>TXN101097</t>
  </si>
  <si>
    <t>TXN101281</t>
  </si>
  <si>
    <t>TXN103327</t>
  </si>
  <si>
    <t>TXN101003</t>
  </si>
  <si>
    <t>TXN103091</t>
  </si>
  <si>
    <t>TXN100158</t>
  </si>
  <si>
    <t>TXN102137</t>
  </si>
  <si>
    <t>TXN102628</t>
  </si>
  <si>
    <t>TXN101071</t>
  </si>
  <si>
    <t>TXN103407</t>
  </si>
  <si>
    <t>TXN103390</t>
  </si>
  <si>
    <t>TXN102544</t>
  </si>
  <si>
    <t>TXN102006</t>
  </si>
  <si>
    <t>TXN102180</t>
  </si>
  <si>
    <t>TXN102828</t>
  </si>
  <si>
    <t>TXN102271</t>
  </si>
  <si>
    <t>TXN102461</t>
  </si>
  <si>
    <t>TXN102591</t>
  </si>
  <si>
    <t>TXN102555</t>
  </si>
  <si>
    <t>TXN100316</t>
  </si>
  <si>
    <t>TXN103202</t>
  </si>
  <si>
    <t>TXN101861</t>
  </si>
  <si>
    <t>TXN100793</t>
  </si>
  <si>
    <t>TXN100064</t>
  </si>
  <si>
    <t>TXN102268</t>
  </si>
  <si>
    <t>TXN101080</t>
  </si>
  <si>
    <t>TXN102000</t>
  </si>
  <si>
    <t>TXN100022</t>
  </si>
  <si>
    <t>TXN100634</t>
  </si>
  <si>
    <t>TXN102926</t>
  </si>
  <si>
    <t>TXN100953</t>
  </si>
  <si>
    <t>TXN100505</t>
  </si>
  <si>
    <t>TXN103449</t>
  </si>
  <si>
    <t>TXN101524</t>
  </si>
  <si>
    <t>TXN102356</t>
  </si>
  <si>
    <t>TXN102198</t>
  </si>
  <si>
    <t>TXN101523</t>
  </si>
  <si>
    <t>TXN101133</t>
  </si>
  <si>
    <t>TXN101241</t>
  </si>
  <si>
    <t>TXN102479</t>
  </si>
  <si>
    <t>TXN103490</t>
  </si>
  <si>
    <t>TXN103096</t>
  </si>
  <si>
    <t>TXN102467</t>
  </si>
  <si>
    <t>TXN102690</t>
  </si>
  <si>
    <t>TXN103247</t>
  </si>
  <si>
    <t>TXN102223</t>
  </si>
  <si>
    <t>TXN100929</t>
  </si>
  <si>
    <t>TXN102670</t>
  </si>
  <si>
    <t>TXN102633</t>
  </si>
  <si>
    <t>TXN101464</t>
  </si>
  <si>
    <t>TXN101721</t>
  </si>
  <si>
    <t>TXN100594</t>
  </si>
  <si>
    <t>TXN102506</t>
  </si>
  <si>
    <t>TXN101324</t>
  </si>
  <si>
    <t>TXN100586</t>
  </si>
  <si>
    <t>TXN102799</t>
  </si>
  <si>
    <t>TXN101048</t>
  </si>
  <si>
    <t>TXN101030</t>
  </si>
  <si>
    <t>TXN103348</t>
  </si>
  <si>
    <t>TXN102129</t>
  </si>
  <si>
    <t>TXN103398</t>
  </si>
  <si>
    <t>TXN101330</t>
  </si>
  <si>
    <t>TXN100977</t>
  </si>
  <si>
    <t>TXN100152</t>
  </si>
  <si>
    <t>TXN102056</t>
  </si>
  <si>
    <t>TXN102826</t>
  </si>
  <si>
    <t>TXN102204</t>
  </si>
  <si>
    <t>TXN103283</t>
  </si>
  <si>
    <t>TXN101262</t>
  </si>
  <si>
    <t>TXN101863</t>
  </si>
  <si>
    <t>TXN100985</t>
  </si>
  <si>
    <t>TXN100918</t>
  </si>
  <si>
    <t>TXN102581</t>
  </si>
  <si>
    <t>TXN101991</t>
  </si>
  <si>
    <t>TXN102133</t>
  </si>
  <si>
    <t>TXN102803</t>
  </si>
  <si>
    <t>TXN101836</t>
  </si>
  <si>
    <t>TXN102899</t>
  </si>
  <si>
    <t>TXN100812</t>
  </si>
  <si>
    <t>TXN103464</t>
  </si>
  <si>
    <t>TXN103231</t>
  </si>
  <si>
    <t>TXN102825</t>
  </si>
  <si>
    <t>TXN100740</t>
  </si>
  <si>
    <t>TXN102091</t>
  </si>
  <si>
    <t>TXN102716</t>
  </si>
  <si>
    <t>TXN101029</t>
  </si>
  <si>
    <t>TXN102351</t>
  </si>
  <si>
    <t>TXN103070</t>
  </si>
  <si>
    <t>TXN100384</t>
  </si>
  <si>
    <t>TXN102075</t>
  </si>
  <si>
    <t>TXN102228</t>
  </si>
  <si>
    <t>TXN102020</t>
  </si>
  <si>
    <t>TXN102028</t>
  </si>
  <si>
    <t>TXN102063</t>
  </si>
  <si>
    <t>TXN103365</t>
  </si>
  <si>
    <t>TXN100347</t>
  </si>
  <si>
    <t>TXN101180</t>
  </si>
  <si>
    <t>TXN101822</t>
  </si>
  <si>
    <t>TXN100170</t>
  </si>
  <si>
    <t>TXN102536</t>
  </si>
  <si>
    <t>TXN102170</t>
  </si>
  <si>
    <t>TXN100773</t>
  </si>
  <si>
    <t>TXN100293</t>
  </si>
  <si>
    <t>TXN100133</t>
  </si>
  <si>
    <t>TXN101411</t>
  </si>
  <si>
    <t>TXN101770</t>
  </si>
  <si>
    <t>TXN101702</t>
  </si>
  <si>
    <t>TXN100869</t>
  </si>
  <si>
    <t>TXN100582</t>
  </si>
  <si>
    <t>TXN100362</t>
  </si>
  <si>
    <t>TXN100119</t>
  </si>
  <si>
    <t>TXN102719</t>
  </si>
  <si>
    <t>TXN100304</t>
  </si>
  <si>
    <t>TXN100825</t>
  </si>
  <si>
    <t>TXN101957</t>
  </si>
  <si>
    <t>TXN103142</t>
  </si>
  <si>
    <t>TXN101570</t>
  </si>
  <si>
    <t>TXN103064</t>
  </si>
  <si>
    <t>TXN100583</t>
  </si>
  <si>
    <t>TXN102710</t>
  </si>
  <si>
    <t>TXN102764</t>
  </si>
  <si>
    <t xml:space="preserve"> Shopping</t>
  </si>
  <si>
    <t>TXN102486</t>
  </si>
  <si>
    <t>TXN101485</t>
  </si>
  <si>
    <t>TXN103371</t>
  </si>
  <si>
    <t>TXN100946</t>
  </si>
  <si>
    <t>TXN100620</t>
  </si>
  <si>
    <t>TXN100814</t>
  </si>
  <si>
    <t>TXN100150</t>
  </si>
  <si>
    <t>TXN102732</t>
  </si>
  <si>
    <t>TXN100964</t>
  </si>
  <si>
    <t>TXN103389</t>
  </si>
  <si>
    <t>TXN102802</t>
  </si>
  <si>
    <t>TXN101353</t>
  </si>
  <si>
    <t>TXN100156</t>
  </si>
  <si>
    <t>TXN101019</t>
  </si>
  <si>
    <t>TXN102913</t>
  </si>
  <si>
    <t>TXN102307</t>
  </si>
  <si>
    <t>TXN102724</t>
  </si>
  <si>
    <t>TXN101573</t>
  </si>
  <si>
    <t>TXN103272</t>
  </si>
  <si>
    <t>TXN100910</t>
  </si>
  <si>
    <t>TXN103271</t>
  </si>
  <si>
    <t>TXN101889</t>
  </si>
  <si>
    <t>TXN100135</t>
  </si>
  <si>
    <t>TXN101945</t>
  </si>
  <si>
    <t>TXN100632</t>
  </si>
  <si>
    <t>TXN103265</t>
  </si>
  <si>
    <t>TXN101791</t>
  </si>
  <si>
    <t>TXN100521</t>
  </si>
  <si>
    <t>TXN100598</t>
  </si>
  <si>
    <t>TXN102549</t>
  </si>
  <si>
    <t>TXN100913</t>
  </si>
  <si>
    <t xml:space="preserve"> Entertainment</t>
  </si>
  <si>
    <t>TXN102953</t>
  </si>
  <si>
    <t>TXN102861</t>
  </si>
  <si>
    <t>TXN102952</t>
  </si>
  <si>
    <t>TXN101493</t>
  </si>
  <si>
    <t>TXN100280</t>
  </si>
  <si>
    <t>TXN103290</t>
  </si>
  <si>
    <t>TXN103098</t>
  </si>
  <si>
    <t>TXN101966</t>
  </si>
  <si>
    <t>TXN102809</t>
  </si>
  <si>
    <t>TXN101184</t>
  </si>
  <si>
    <t>TXN101741</t>
  </si>
  <si>
    <t>TXN101349</t>
  </si>
  <si>
    <t>TXN103022</t>
  </si>
  <si>
    <t>TXN103205</t>
  </si>
  <si>
    <t>TXN100476</t>
  </si>
  <si>
    <t>TXN102255</t>
  </si>
  <si>
    <t>TXN103042</t>
  </si>
  <si>
    <t>TXN100906</t>
  </si>
  <si>
    <t>TXN100783</t>
  </si>
  <si>
    <t>TXN102934</t>
  </si>
  <si>
    <t>TXN100165</t>
  </si>
  <si>
    <t>TXN101537</t>
  </si>
  <si>
    <t>TXN103425</t>
  </si>
  <si>
    <t>TXN101879</t>
  </si>
  <si>
    <t>TXN100127</t>
  </si>
  <si>
    <t>TXN100938</t>
  </si>
  <si>
    <t>TXN103208</t>
  </si>
  <si>
    <t>TXN101783</t>
  </si>
  <si>
    <t>TXN102393</t>
  </si>
  <si>
    <t>TXN100420</t>
  </si>
  <si>
    <t>TXN101560</t>
  </si>
  <si>
    <t>TXN100113</t>
  </si>
  <si>
    <t>TXN100576</t>
  </si>
  <si>
    <t>TXN102224</t>
  </si>
  <si>
    <t>TXN101548</t>
  </si>
  <si>
    <t>TXN101422</t>
  </si>
  <si>
    <t>TXN101679</t>
  </si>
  <si>
    <t>TXN100737</t>
  </si>
  <si>
    <t>TXN101170</t>
  </si>
  <si>
    <t>TXN100549</t>
  </si>
  <si>
    <t>TXN102841</t>
  </si>
  <si>
    <t>TXN103126</t>
  </si>
  <si>
    <t>TXN102426</t>
  </si>
  <si>
    <t>TXN100202</t>
  </si>
  <si>
    <t>TXN100827</t>
  </si>
  <si>
    <t>TXN100686</t>
  </si>
  <si>
    <t>TXN103149</t>
  </si>
  <si>
    <t>TXN102266</t>
  </si>
  <si>
    <t>TXN103497</t>
  </si>
  <si>
    <t>TXN102484</t>
  </si>
  <si>
    <t>TXN101962</t>
  </si>
  <si>
    <t>TXN102824</t>
  </si>
  <si>
    <t>TXN100318</t>
  </si>
  <si>
    <t xml:space="preserve">Lidl </t>
  </si>
  <si>
    <t>TXN101489</t>
  </si>
  <si>
    <t>TXN102013</t>
  </si>
  <si>
    <t>TXN102616</t>
  </si>
  <si>
    <t>TXN102327</t>
  </si>
  <si>
    <t>TXN103056</t>
  </si>
  <si>
    <t>TXN100795</t>
  </si>
  <si>
    <t>TXN101676</t>
  </si>
  <si>
    <t>TXN100550</t>
  </si>
  <si>
    <t>TXN100687</t>
  </si>
  <si>
    <t>TXN101466</t>
  </si>
  <si>
    <t>TXN100931</t>
  </si>
  <si>
    <t>TXN101809</t>
  </si>
  <si>
    <t>TXN102451</t>
  </si>
  <si>
    <t>TXN101458</t>
  </si>
  <si>
    <t>TXN100357</t>
  </si>
  <si>
    <t>TXN100603</t>
  </si>
  <si>
    <t>TXN102742</t>
  </si>
  <si>
    <t>TXN100618</t>
  </si>
  <si>
    <t>TXN100117</t>
  </si>
  <si>
    <t>TXN101569</t>
  </si>
  <si>
    <t>TXN103104</t>
  </si>
  <si>
    <t>TXN100606</t>
  </si>
  <si>
    <t>TXN102595</t>
  </si>
  <si>
    <t>TXN100045</t>
  </si>
  <si>
    <t>TXN101150</t>
  </si>
  <si>
    <t>TXN102759</t>
  </si>
  <si>
    <t>TXN101674</t>
  </si>
  <si>
    <t>TXN102658</t>
  </si>
  <si>
    <t>TXN100093</t>
  </si>
  <si>
    <t>TXN102238</t>
  </si>
  <si>
    <t>TXN101638</t>
  </si>
  <si>
    <t>TXN100210</t>
  </si>
  <si>
    <t>TXN100801</t>
  </si>
  <si>
    <t>TXN101895</t>
  </si>
  <si>
    <t>TXN102598</t>
  </si>
  <si>
    <t>TXN102617</t>
  </si>
  <si>
    <t>TXN101008</t>
  </si>
  <si>
    <t>TXN100736</t>
  </si>
  <si>
    <t>TXN102345</t>
  </si>
  <si>
    <t>TXN102607</t>
  </si>
  <si>
    <t>TXN102874</t>
  </si>
  <si>
    <t>TXN101374</t>
  </si>
  <si>
    <t>TXN101454</t>
  </si>
  <si>
    <t>TXN100842</t>
  </si>
  <si>
    <t>TXN103006</t>
  </si>
  <si>
    <t>TXN102429</t>
  </si>
  <si>
    <t>TXN102104</t>
  </si>
  <si>
    <t>TXN100837</t>
  </si>
  <si>
    <t>TXN101447</t>
  </si>
  <si>
    <t>TXN103237</t>
  </si>
  <si>
    <t>TXN102718</t>
  </si>
  <si>
    <t>TXN102011</t>
  </si>
  <si>
    <t>TXN100481</t>
  </si>
  <si>
    <t>TXN101311</t>
  </si>
  <si>
    <t>TXN102017</t>
  </si>
  <si>
    <t>TXN100188</t>
  </si>
  <si>
    <t>TXN101927</t>
  </si>
  <si>
    <t>TXN102632</t>
  </si>
  <si>
    <t>TXN103469</t>
  </si>
  <si>
    <t>TXN101774</t>
  </si>
  <si>
    <t>TXN101310</t>
  </si>
  <si>
    <t>TXN103422</t>
  </si>
  <si>
    <t>TXN100237</t>
  </si>
  <si>
    <t>TXN101751</t>
  </si>
  <si>
    <t>TXN103253</t>
  </si>
  <si>
    <t>TXN101670</t>
  </si>
  <si>
    <t>TXN101827</t>
  </si>
  <si>
    <t>TXN101488</t>
  </si>
  <si>
    <t>TXN100341</t>
  </si>
  <si>
    <t>TXN101131</t>
  </si>
  <si>
    <t>TXN102897</t>
  </si>
  <si>
    <t>TXN102964</t>
  </si>
  <si>
    <t>TXN100081</t>
  </si>
  <si>
    <t>TXN101583</t>
  </si>
  <si>
    <t>TXN103424</t>
  </si>
  <si>
    <t>TXN100390</t>
  </si>
  <si>
    <t>TXN103196</t>
  </si>
  <si>
    <t>TXN100730</t>
  </si>
  <si>
    <t>TXN102039</t>
  </si>
  <si>
    <t>TXN101691</t>
  </si>
  <si>
    <t>TXN103222</t>
  </si>
  <si>
    <t>TXN100840</t>
  </si>
  <si>
    <t>TXN102880</t>
  </si>
  <si>
    <t>TXN103094</t>
  </si>
  <si>
    <t>TXN100454</t>
  </si>
  <si>
    <t>TXN101327</t>
  </si>
  <si>
    <t>TXN103192</t>
  </si>
  <si>
    <t>TXN100699</t>
  </si>
  <si>
    <t>TXN101217</t>
  </si>
  <si>
    <t>TXN102279</t>
  </si>
  <si>
    <t>TXN103190</t>
  </si>
  <si>
    <t>TXN102107</t>
  </si>
  <si>
    <t>TXN101698</t>
  </si>
  <si>
    <t>TXN102249</t>
  </si>
  <si>
    <t>TXN101305</t>
  </si>
  <si>
    <t>TXN100836</t>
  </si>
  <si>
    <t>TXN100652</t>
  </si>
  <si>
    <t>TXN103401</t>
  </si>
  <si>
    <t>TXN102532</t>
  </si>
  <si>
    <t>TXN103187</t>
  </si>
  <si>
    <t>TXN101690</t>
  </si>
  <si>
    <t>TXN101403</t>
  </si>
  <si>
    <t>TXN103337</t>
  </si>
  <si>
    <t>TXN100321</t>
  </si>
  <si>
    <t>TXN103077</t>
  </si>
  <si>
    <t>TXN100819</t>
  </si>
  <si>
    <t>TXN103189</t>
  </si>
  <si>
    <t>TXN101823</t>
  </si>
  <si>
    <t>TXN101216</t>
  </si>
  <si>
    <t>TXN102656</t>
  </si>
  <si>
    <t>TXN100060</t>
  </si>
  <si>
    <t>TXN101598</t>
  </si>
  <si>
    <t>TXN100980</t>
  </si>
  <si>
    <t>TXN102501</t>
  </si>
  <si>
    <t>TXN100350</t>
  </si>
  <si>
    <t>TXN101140</t>
  </si>
  <si>
    <t>TXN100443</t>
  </si>
  <si>
    <t>TXN100279</t>
  </si>
  <si>
    <t>TXN100675</t>
  </si>
  <si>
    <t>TXN101870</t>
  </si>
  <si>
    <t>TXN101821</t>
  </si>
  <si>
    <t>TXN102890</t>
  </si>
  <si>
    <t>TXN101997</t>
  </si>
  <si>
    <t>TXN101779</t>
  </si>
  <si>
    <t>TXN101687</t>
  </si>
  <si>
    <t>TXN103359</t>
  </si>
  <si>
    <t>TXN102845</t>
  </si>
  <si>
    <t>TXN100791</t>
  </si>
  <si>
    <t>TXN102172</t>
  </si>
  <si>
    <t>TXN101293</t>
  </si>
  <si>
    <t>TXN102323</t>
  </si>
  <si>
    <t>TXN103131</t>
  </si>
  <si>
    <t>TXN100792</t>
  </si>
  <si>
    <t>TXN102409</t>
  </si>
  <si>
    <t>TXN100164</t>
  </si>
  <si>
    <t>TXN103113</t>
  </si>
  <si>
    <t>TXN100487</t>
  </si>
  <si>
    <t>TXN101207</t>
  </si>
  <si>
    <t>TXN100048</t>
  </si>
  <si>
    <t>TXN100530</t>
  </si>
  <si>
    <t>TXN101689</t>
  </si>
  <si>
    <t>TXN102309</t>
  </si>
  <si>
    <t>TXN100971</t>
  </si>
  <si>
    <t>TXN101463</t>
  </si>
  <si>
    <t>TXN101086</t>
  </si>
  <si>
    <t>TXN102791</t>
  </si>
  <si>
    <t>TXN100671</t>
  </si>
  <si>
    <t>TXN100344</t>
  </si>
  <si>
    <t>TXN100238</t>
  </si>
  <si>
    <t>TXN101824</t>
  </si>
  <si>
    <t>TXN103282</t>
  </si>
  <si>
    <t>TXN102700</t>
  </si>
  <si>
    <t>TXN101631</t>
  </si>
  <si>
    <t>TXN103311</t>
  </si>
  <si>
    <t>TXN102397</t>
  </si>
  <si>
    <t>TXN100041</t>
  </si>
  <si>
    <t>TXN100764</t>
  </si>
  <si>
    <t>TXN102783</t>
  </si>
  <si>
    <t>TXN102805</t>
  </si>
  <si>
    <t>TXN101227</t>
  </si>
  <si>
    <t>TXN102810</t>
  </si>
  <si>
    <t>TXN102038</t>
  </si>
  <si>
    <t>TXN100208</t>
  </si>
  <si>
    <t>TXN101964</t>
  </si>
  <si>
    <t>TXN101813</t>
  </si>
  <si>
    <t>TXN102411</t>
  </si>
  <si>
    <t>TXN100831</t>
  </si>
  <si>
    <t>TXN101390</t>
  </si>
  <si>
    <t>TXN100013</t>
  </si>
  <si>
    <t>TXN102042</t>
  </si>
  <si>
    <t>TXN102353</t>
  </si>
  <si>
    <t>TXN101291</t>
  </si>
  <si>
    <t>TXN100439</t>
  </si>
  <si>
    <t>TXN100589</t>
  </si>
  <si>
    <t>TXN103112</t>
  </si>
  <si>
    <t>TXN100243</t>
  </si>
  <si>
    <t>TXN100194</t>
  </si>
  <si>
    <t>TXN100069</t>
  </si>
  <si>
    <t>TXN100585</t>
  </si>
  <si>
    <t>TXN101695</t>
  </si>
  <si>
    <t>TXN101664</t>
  </si>
  <si>
    <t>TXN100089</t>
  </si>
  <si>
    <t>TXN100071</t>
  </si>
  <si>
    <t xml:space="preserve"> Travel</t>
  </si>
  <si>
    <t>TXN101404</t>
  </si>
  <si>
    <t>TXN102864</t>
  </si>
  <si>
    <t>TXN103330</t>
  </si>
  <si>
    <t>TXN103015</t>
  </si>
  <si>
    <t>TXN102804</t>
  </si>
  <si>
    <t>TXN101474</t>
  </si>
  <si>
    <t>TXN100752</t>
  </si>
  <si>
    <t>TXN103128</t>
  </si>
  <si>
    <t>TXN100892</t>
  </si>
  <si>
    <t>TXN101599</t>
  </si>
  <si>
    <t>TXN102444</t>
  </si>
  <si>
    <t>TXN102835</t>
  </si>
  <si>
    <t>TXN100972</t>
  </si>
  <si>
    <t>TXN101802</t>
  </si>
  <si>
    <t>TXN100312</t>
  </si>
  <si>
    <t>TXN102412</t>
  </si>
  <si>
    <t>TXN103054</t>
  </si>
  <si>
    <t>TXN101142</t>
  </si>
  <si>
    <t>TXN102312</t>
  </si>
  <si>
    <t>TXN103416</t>
  </si>
  <si>
    <t>TXN103155</t>
  </si>
  <si>
    <t>TXN101129</t>
  </si>
  <si>
    <t>TXN101588</t>
  </si>
  <si>
    <t>TXN101078</t>
  </si>
  <si>
    <t>TXN101969</t>
  </si>
  <si>
    <t>TXN100501</t>
  </si>
  <si>
    <t>TXN100479</t>
  </si>
  <si>
    <t>TXN103004</t>
  </si>
  <si>
    <t>TXN100920</t>
  </si>
  <si>
    <t>TXN102118</t>
  </si>
  <si>
    <t>TXN100427</t>
  </si>
  <si>
    <t>TXN103333</t>
  </si>
  <si>
    <t>TXN103428</t>
  </si>
  <si>
    <t>TXN102495</t>
  </si>
  <si>
    <t>TXN100559</t>
  </si>
  <si>
    <t>TXN102318</t>
  </si>
  <si>
    <t>TXN100020</t>
  </si>
  <si>
    <t>TXN100065</t>
  </si>
  <si>
    <t>TXN100566</t>
  </si>
  <si>
    <t>TXN100191</t>
  </si>
  <si>
    <t>TXN102540</t>
  </si>
  <si>
    <t>TXN101857</t>
  </si>
  <si>
    <t>TXN103441</t>
  </si>
  <si>
    <t>TXN101014</t>
  </si>
  <si>
    <t>TXN100546</t>
  </si>
  <si>
    <t>TXN101710</t>
  </si>
  <si>
    <t>TXN100457</t>
  </si>
  <si>
    <t>TXN101501</t>
  </si>
  <si>
    <t>TXN100417</t>
  </si>
  <si>
    <t>TXN101287</t>
  </si>
  <si>
    <t>TXN100593</t>
  </si>
  <si>
    <t>TXN100758</t>
  </si>
  <si>
    <t>TXN101051</t>
  </si>
  <si>
    <t>TXN102438</t>
  </si>
  <si>
    <t>TXN101432</t>
  </si>
  <si>
    <t>TXN102186</t>
  </si>
  <si>
    <t>TXN101378</t>
  </si>
  <si>
    <t>TXN101185</t>
  </si>
  <si>
    <t>TXN102018</t>
  </si>
  <si>
    <t>TXN100455</t>
  </si>
  <si>
    <t>TXN102311</t>
  </si>
  <si>
    <t>TXN102569</t>
  </si>
  <si>
    <t>TXN101032</t>
  </si>
  <si>
    <t>TXN102064</t>
  </si>
  <si>
    <t>TXN100300</t>
  </si>
  <si>
    <t>TXN102459</t>
  </si>
  <si>
    <t>TXN101441</t>
  </si>
  <si>
    <t>TXN102542</t>
  </si>
  <si>
    <t>TXN100335</t>
  </si>
  <si>
    <t>TXN101450</t>
  </si>
  <si>
    <t>TXN101492</t>
  </si>
  <si>
    <t>TXN103350</t>
  </si>
  <si>
    <t>TXN102404</t>
  </si>
  <si>
    <t>TXN100776</t>
  </si>
  <si>
    <t>TXN102973</t>
  </si>
  <si>
    <t>TXN101582</t>
  </si>
  <si>
    <t>TXN101481</t>
  </si>
  <si>
    <t>TXN101021</t>
  </si>
  <si>
    <t>TXN101415</t>
  </si>
  <si>
    <t>TXN103151</t>
  </si>
  <si>
    <t>TXN102730</t>
  </si>
  <si>
    <t>TXN101361</t>
  </si>
  <si>
    <t>TXN101557</t>
  </si>
  <si>
    <t>TXN101058</t>
  </si>
  <si>
    <t>TXN100111</t>
  </si>
  <si>
    <t>TXN102974</t>
  </si>
  <si>
    <t>TXN101844</t>
  </si>
  <si>
    <t>TXN100563</t>
  </si>
  <si>
    <t>TXN102927</t>
  </si>
  <si>
    <t>TXN103235</t>
  </si>
  <si>
    <t>TXN102502</t>
  </si>
  <si>
    <t>TXN101504</t>
  </si>
  <si>
    <t>TXN100474</t>
  </si>
  <si>
    <t>TXN102151</t>
  </si>
  <si>
    <t>TXN102034</t>
  </si>
  <si>
    <t>TXN101574</t>
  </si>
  <si>
    <t>TXN102778</t>
  </si>
  <si>
    <t>TXN101646</t>
  </si>
  <si>
    <t>TXN102470</t>
  </si>
  <si>
    <t>TXN102821</t>
  </si>
  <si>
    <t>TXN101211</t>
  </si>
  <si>
    <t>TXN101605</t>
  </si>
  <si>
    <t>TXN102359</t>
  </si>
  <si>
    <t>TXN100833</t>
  </si>
  <si>
    <t>TXN103105</t>
  </si>
  <si>
    <t>TXN102830</t>
  </si>
  <si>
    <t>TXN103342</t>
  </si>
  <si>
    <t>TXN102282</t>
  </si>
  <si>
    <t>TXN101669</t>
  </si>
  <si>
    <t>TXN101933</t>
  </si>
  <si>
    <t>TXN102136</t>
  </si>
  <si>
    <t>TXN102962</t>
  </si>
  <si>
    <t>TXN101572</t>
  </si>
  <si>
    <t>TXN101483</t>
  </si>
  <si>
    <t>TXN102024</t>
  </si>
  <si>
    <t>TXN101935</t>
  </si>
  <si>
    <t>TXN101909</t>
  </si>
  <si>
    <t>TXN101851</t>
  </si>
  <si>
    <t>TXN101830</t>
  </si>
  <si>
    <t>TXN103083</t>
  </si>
  <si>
    <t>TXN101383</t>
  </si>
  <si>
    <t>TXN102496</t>
  </si>
  <si>
    <t>TXN100947</t>
  </si>
  <si>
    <t>TXN101759</t>
  </si>
  <si>
    <t>TXN102293</t>
  </si>
  <si>
    <t>TXN103047</t>
  </si>
  <si>
    <t>TXN101563</t>
  </si>
  <si>
    <t>TXN103085</t>
  </si>
  <si>
    <t>TXN100880</t>
  </si>
  <si>
    <t>TXN101127</t>
  </si>
  <si>
    <t>TXN101234</t>
  </si>
  <si>
    <t>TXN102236</t>
  </si>
  <si>
    <t>TXN101036</t>
  </si>
  <si>
    <t>TXN102237</t>
  </si>
  <si>
    <t>TXN101105</t>
  </si>
  <si>
    <t>TXN103182</t>
  </si>
  <si>
    <t>TXN101852</t>
  </si>
  <si>
    <t>TXN101589</t>
  </si>
  <si>
    <t>TXN102900</t>
  </si>
  <si>
    <t>TXN101516</t>
  </si>
  <si>
    <t>TXN102706</t>
  </si>
  <si>
    <t>TXN101045</t>
  </si>
  <si>
    <t>TXN101983</t>
  </si>
  <si>
    <t>TXN100975</t>
  </si>
  <si>
    <t>TXN101872</t>
  </si>
  <si>
    <t>TXN102362</t>
  </si>
  <si>
    <t>TXN100023</t>
  </si>
  <si>
    <t>TXN101720</t>
  </si>
  <si>
    <t>TXN100389</t>
  </si>
  <si>
    <t>TXN100960</t>
  </si>
  <si>
    <t>TXN103291</t>
  </si>
  <si>
    <t>TXN101387</t>
  </si>
  <si>
    <t>TXN101531</t>
  </si>
  <si>
    <t>TXN100282</t>
  </si>
  <si>
    <t>TXN101876</t>
  </si>
  <si>
    <t>TXN103310</t>
  </si>
  <si>
    <t>TXN103005</t>
  </si>
  <si>
    <t>TXN101380</t>
  </si>
  <si>
    <t>TXN102906</t>
  </si>
  <si>
    <t>TXN102504</t>
  </si>
  <si>
    <t>TXN103388</t>
  </si>
  <si>
    <t>TXN100249</t>
  </si>
  <si>
    <t>TXN102626</t>
  </si>
  <si>
    <t>TXN100388</t>
  </si>
  <si>
    <t>TXN101579</t>
  </si>
  <si>
    <t>TXN101389</t>
  </si>
  <si>
    <t>TXN103483</t>
  </si>
  <si>
    <t>TXN102363</t>
  </si>
  <si>
    <t>TXN102694</t>
  </si>
  <si>
    <t>TXN100924</t>
  </si>
  <si>
    <t>TXN100934</t>
  </si>
  <si>
    <t>TXN103177</t>
  </si>
  <si>
    <t>TXN101733</t>
  </si>
  <si>
    <t>TXN101435</t>
  </si>
  <si>
    <t>TXN103011</t>
  </si>
  <si>
    <t>TXN101726</t>
  </si>
  <si>
    <t>TXN100719</t>
  </si>
  <si>
    <t>TXN101847</t>
  </si>
  <si>
    <t>TXN101245</t>
  </si>
  <si>
    <t>TXN100625</t>
  </si>
  <si>
    <t>TXN101436</t>
  </si>
  <si>
    <t>TXN102959</t>
  </si>
  <si>
    <t>TXN102144</t>
  </si>
  <si>
    <t>TXN103033</t>
  </si>
  <si>
    <t>TXN102068</t>
  </si>
  <si>
    <t>TXN103204</t>
  </si>
  <si>
    <t>TXN100570</t>
  </si>
  <si>
    <t>TXN102384</t>
  </si>
  <si>
    <t>TXN100186</t>
  </si>
  <si>
    <t>TXN102125</t>
  </si>
  <si>
    <t>TXN103275</t>
  </si>
  <si>
    <t>TXN102896</t>
  </si>
  <si>
    <t>TXN101427</t>
  </si>
  <si>
    <t>TXN101520</t>
  </si>
  <si>
    <t>TXN101901</t>
  </si>
  <si>
    <t>TXN102246</t>
  </si>
  <si>
    <t>TXN101351</t>
  </si>
  <si>
    <t>TXN102655</t>
  </si>
  <si>
    <t>TXN100468</t>
  </si>
  <si>
    <t>TXN102977</t>
  </si>
  <si>
    <t>TXN101644</t>
  </si>
  <si>
    <t>TXN101610</t>
  </si>
  <si>
    <t>TXN100608</t>
  </si>
  <si>
    <t>TXN103321</t>
  </si>
  <si>
    <t>TXN101750</t>
  </si>
  <si>
    <t>TXN101233</t>
  </si>
  <si>
    <t>TXN100387</t>
  </si>
  <si>
    <t>TXN101358</t>
  </si>
  <si>
    <t>TXN103041</t>
  </si>
  <si>
    <t>TXN102619</t>
  </si>
  <si>
    <t>TXN102898</t>
  </si>
  <si>
    <t>TXN100415</t>
  </si>
  <si>
    <t>TXN102801</t>
  </si>
  <si>
    <t>TXN101918</t>
  </si>
  <si>
    <t>TXN103318</t>
  </si>
  <si>
    <t>TXN100874</t>
  </si>
  <si>
    <t>TXN100459</t>
  </si>
  <si>
    <t>TXN101013</t>
  </si>
  <si>
    <t>TXN102425</t>
  </si>
  <si>
    <t>TXN102635</t>
  </si>
  <si>
    <t>TXN102442</t>
  </si>
  <si>
    <t>TXN100128</t>
  </si>
  <si>
    <t>TXN100059</t>
  </si>
  <si>
    <t>TXN100680</t>
  </si>
  <si>
    <t>TXN100935</t>
  </si>
  <si>
    <t>TXN102683</t>
  </si>
  <si>
    <t>TXN102490</t>
  </si>
  <si>
    <t>TXN103020</t>
  </si>
  <si>
    <t>TXN102164</t>
  </si>
  <si>
    <t>TXN101221</t>
  </si>
  <si>
    <t>TXN103206</t>
  </si>
  <si>
    <t>TXN102627</t>
  </si>
  <si>
    <t>TXN102749</t>
  </si>
  <si>
    <t>TXN102435</t>
  </si>
  <si>
    <t>TXN100955</t>
  </si>
  <si>
    <t>TXN102373</t>
  </si>
  <si>
    <t>TXN101743</t>
  </si>
  <si>
    <t>TXN100958</t>
  </si>
  <si>
    <t>TXN100569</t>
  </si>
  <si>
    <t>TXN101496</t>
  </si>
  <si>
    <t>TXN102984</t>
  </si>
  <si>
    <t>TXN101260</t>
  </si>
  <si>
    <t>TXN100483</t>
  </si>
  <si>
    <t>TXN103314</t>
  </si>
  <si>
    <t>TXN103437</t>
  </si>
  <si>
    <t>TXN102090</t>
  </si>
  <si>
    <t>TXN101760</t>
  </si>
  <si>
    <t>TXN102331</t>
  </si>
  <si>
    <t>TXN102248</t>
  </si>
  <si>
    <t>TXN101671</t>
  </si>
  <si>
    <t>TXN102142</t>
  </si>
  <si>
    <t>TXN103188</t>
  </si>
  <si>
    <t>TXN101248</t>
  </si>
  <si>
    <t>TXN100613</t>
  </si>
  <si>
    <t>TXN100197</t>
  </si>
  <si>
    <t>TXN100533</t>
  </si>
  <si>
    <t>TXN100032</t>
  </si>
  <si>
    <t>TXN100721</t>
  </si>
  <si>
    <t>TXN103315</t>
  </si>
  <si>
    <t>TXN100685</t>
  </si>
  <si>
    <t>TXN102354</t>
  </si>
  <si>
    <t>TXN102358</t>
  </si>
  <si>
    <t>TXN102975</t>
  </si>
  <si>
    <t>TXN101500</t>
  </si>
  <si>
    <t>TXN102958</t>
  </si>
  <si>
    <t>TXN102525</t>
  </si>
  <si>
    <t>TXN100309</t>
  </si>
  <si>
    <t>TXN101816</t>
  </si>
  <si>
    <t>TXN102870</t>
  </si>
  <si>
    <t>TXN101784</t>
  </si>
  <si>
    <t>TXN100372</t>
  </si>
  <si>
    <t>TXN100327</t>
  </si>
  <si>
    <t>TXN101456</t>
  </si>
  <si>
    <t>TXN103079</t>
  </si>
  <si>
    <t>TXN102601</t>
  </si>
  <si>
    <t>TXN101218</t>
  </si>
  <si>
    <t>TXN101487</t>
  </si>
  <si>
    <t>TXN100963</t>
  </si>
  <si>
    <t>TXN102736</t>
  </si>
  <si>
    <t>TXN102110</t>
  </si>
  <si>
    <t>TXN101157</t>
  </si>
  <si>
    <t>TXN100046</t>
  </si>
  <si>
    <t>TXN102403</t>
  </si>
  <si>
    <t>TXN103376</t>
  </si>
  <si>
    <t>TXN100207</t>
  </si>
  <si>
    <t>TXN103332</t>
  </si>
  <si>
    <t>TXN100994</t>
  </si>
  <si>
    <t>TXN101737</t>
  </si>
  <si>
    <t>TXN102286</t>
  </si>
  <si>
    <t>TXN102572</t>
  </si>
  <si>
    <t>TXN101334</t>
  </si>
  <si>
    <t>TXN102518</t>
  </si>
  <si>
    <t>TXN100651</t>
  </si>
  <si>
    <t>TXN103035</t>
  </si>
  <si>
    <t>TXN100520</t>
  </si>
  <si>
    <t>TXN102577</t>
  </si>
  <si>
    <t>TXN102080</t>
  </si>
  <si>
    <t>TXN103402</t>
  </si>
  <si>
    <t>TXN102757</t>
  </si>
  <si>
    <t>TXN101113</t>
  </si>
  <si>
    <t>TXN101469</t>
  </si>
  <si>
    <t>TXN100886</t>
  </si>
  <si>
    <t>TXN103303</t>
  </si>
  <si>
    <t>TXN102219</t>
  </si>
  <si>
    <t>TXN101126</t>
  </si>
  <si>
    <t>TXN100816</t>
  </si>
  <si>
    <t>TXN100778</t>
  </si>
  <si>
    <t>TXN101284</t>
  </si>
  <si>
    <t>TXN102943</t>
  </si>
  <si>
    <t>TXN101122</t>
  </si>
  <si>
    <t>TXN103031</t>
  </si>
  <si>
    <t>TXN100333</t>
  </si>
  <si>
    <t>TXN102428</t>
  </si>
  <si>
    <t>TXN101271</t>
  </si>
  <si>
    <t>TXN103092</t>
  </si>
  <si>
    <t>TXN101565</t>
  </si>
  <si>
    <t>TXN101663</t>
  </si>
  <si>
    <t>TXN100901</t>
  </si>
  <si>
    <t>TXN101656</t>
  </si>
  <si>
    <t>TXN100820</t>
  </si>
  <si>
    <t>TXN102894</t>
  </si>
  <si>
    <t>TXN101541</t>
  </si>
  <si>
    <t>TXN103144</t>
  </si>
  <si>
    <t>TXN102381</t>
  </si>
  <si>
    <t>TXN101509</t>
  </si>
  <si>
    <t>TXN100394</t>
  </si>
  <si>
    <t>TXN102665</t>
  </si>
  <si>
    <t>TXN103478</t>
  </si>
  <si>
    <t>TXN100556</t>
  </si>
  <si>
    <t>TXN102858</t>
  </si>
  <si>
    <t>TXN101948</t>
  </si>
  <si>
    <t>TXN101168</t>
  </si>
  <si>
    <t>TXN101713</t>
  </si>
  <si>
    <t>TXN103500</t>
  </si>
  <si>
    <t>TXN100319</t>
  </si>
  <si>
    <t>TXN101377</t>
  </si>
  <si>
    <t>TXN101460</t>
  </si>
  <si>
    <t>TXN101317</t>
  </si>
  <si>
    <t>TXN101337</t>
  </si>
  <si>
    <t>TXN103254</t>
  </si>
  <si>
    <t>TXN102109</t>
  </si>
  <si>
    <t>TXN100912</t>
  </si>
  <si>
    <t>TXN102528</t>
  </si>
  <si>
    <t>TXN102462</t>
  </si>
  <si>
    <t>TXN102401</t>
  </si>
  <si>
    <t>TXN102770</t>
  </si>
  <si>
    <t>TXN101972</t>
  </si>
  <si>
    <t>TXN103261</t>
  </si>
  <si>
    <t>TXN103404</t>
  </si>
  <si>
    <t>TXN103344</t>
  </si>
  <si>
    <t>TXN103430</t>
  </si>
  <si>
    <t>TXN102195</t>
  </si>
  <si>
    <t>TXN100728</t>
  </si>
  <si>
    <t>TXN102057</t>
  </si>
  <si>
    <t>TXN101806</t>
  </si>
  <si>
    <t>TXN100074</t>
  </si>
  <si>
    <t>TXN101667</t>
  </si>
  <si>
    <t>TXN103411</t>
  </si>
  <si>
    <t>TXN101172</t>
  </si>
  <si>
    <t>TXN100031</t>
  </si>
  <si>
    <t>TXN100537</t>
  </si>
  <si>
    <t>TXN102121</t>
  </si>
  <si>
    <t>TXN103236</t>
  </si>
  <si>
    <t>TXN100263</t>
  </si>
  <si>
    <t>TXN101886</t>
  </si>
  <si>
    <t>TXN101777</t>
  </si>
  <si>
    <t>TXN100251</t>
  </si>
  <si>
    <t>TXN103052</t>
  </si>
  <si>
    <t>TXN101444</t>
  </si>
  <si>
    <t>TXN102509</t>
  </si>
  <si>
    <t>TXN102831</t>
  </si>
  <si>
    <t>TXN102434</t>
  </si>
  <si>
    <t>TXN101167</t>
  </si>
  <si>
    <t>TXN100052</t>
  </si>
  <si>
    <t>TXN102755</t>
  </si>
  <si>
    <t>TXN101017</t>
  </si>
  <si>
    <t>TXN101517</t>
  </si>
  <si>
    <t>TXN101649</t>
  </si>
  <si>
    <t>TXN100991</t>
  </si>
  <si>
    <t>TXN102209</t>
  </si>
  <si>
    <t>TXN103002</t>
  </si>
  <si>
    <t>TXN102341</t>
  </si>
  <si>
    <t>TXN103082</t>
  </si>
  <si>
    <t>TXN100136</t>
  </si>
  <si>
    <t>TXN103375</t>
  </si>
  <si>
    <t>TXN103051</t>
  </si>
  <si>
    <t>TXN103463</t>
  </si>
  <si>
    <t>TXN101266</t>
  </si>
  <si>
    <t>TXN101934</t>
  </si>
  <si>
    <t>TXN102283</t>
  </si>
  <si>
    <t>TXN101788</t>
  </si>
  <si>
    <t>TXN103369</t>
  </si>
  <si>
    <t>TXN100486</t>
  </si>
  <si>
    <t>TXN101503</t>
  </si>
  <si>
    <t>TXN102933</t>
  </si>
  <si>
    <t>TXN103076</t>
  </si>
  <si>
    <t>TXN102914</t>
  </si>
  <si>
    <t>TXN102631</t>
  </si>
  <si>
    <t>TXN102253</t>
  </si>
  <si>
    <t>TXN101914</t>
  </si>
  <si>
    <t>TXN100558</t>
  </si>
  <si>
    <t>TXN101877</t>
  </si>
  <si>
    <t>TXN100291</t>
  </si>
  <si>
    <t>TXN101194</t>
  </si>
  <si>
    <t>TXN103329</t>
  </si>
  <si>
    <t>TXN100961</t>
  </si>
  <si>
    <t>TXN101331</t>
  </si>
  <si>
    <t>TXN102405</t>
  </si>
  <si>
    <t>TXN100305</t>
  </si>
  <si>
    <t>TXN101817</t>
  </si>
  <si>
    <t>TXN101225</t>
  </si>
  <si>
    <t>TXN102812</t>
  </si>
  <si>
    <t>TXN103308</t>
  </si>
  <si>
    <t>TXN100184</t>
  </si>
  <si>
    <t>TXN102010</t>
  </si>
  <si>
    <t>TXN100438</t>
  </si>
  <si>
    <t>TXN100893</t>
  </si>
  <si>
    <t>TXN100283</t>
  </si>
  <si>
    <t>TXN101917</t>
  </si>
  <si>
    <t>TXN102088</t>
  </si>
  <si>
    <t>TXN102729</t>
  </si>
  <si>
    <t>TXN101930</t>
  </si>
  <si>
    <t>TXN103288</t>
  </si>
  <si>
    <t>TXN101075</t>
  </si>
  <si>
    <t>TXN100693</t>
  </si>
  <si>
    <t>TXN102852</t>
  </si>
  <si>
    <t>TXN100800</t>
  </si>
  <si>
    <t>TXN102261</t>
  </si>
  <si>
    <t>TXN101277</t>
  </si>
  <si>
    <t>TXN102320</t>
  </si>
  <si>
    <t>TXN103164</t>
  </si>
  <si>
    <t>TXN103301</t>
  </si>
  <si>
    <t>TXN102765</t>
  </si>
  <si>
    <t>TXN101382</t>
  </si>
  <si>
    <t>TXN101360</t>
  </si>
  <si>
    <t>TXN100407</t>
  </si>
  <si>
    <t>TXN103420</t>
  </si>
  <si>
    <t>TXN102410</t>
  </si>
  <si>
    <t>TXN103415</t>
  </si>
  <si>
    <t>TXN101385</t>
  </si>
  <si>
    <t>TXN102691</t>
  </si>
  <si>
    <t>TXN103034</t>
  </si>
  <si>
    <t>TXN101677</t>
  </si>
  <si>
    <t>TXN102924</t>
  </si>
  <si>
    <t>TXN101188</t>
  </si>
  <si>
    <t>TXN101326</t>
  </si>
  <si>
    <t>TXN102052</t>
  </si>
  <si>
    <t>TXN101394</t>
  </si>
  <si>
    <t>TXN103124</t>
  </si>
  <si>
    <t>TXN100662</t>
  </si>
  <si>
    <t>TXN101286</t>
  </si>
  <si>
    <t>TXN102947</t>
  </si>
  <si>
    <t>TXN103245</t>
  </si>
  <si>
    <t>TXN101430</t>
  </si>
  <si>
    <t>TXN100667</t>
  </si>
  <si>
    <t>TXN101201</t>
  </si>
  <si>
    <t>TXN101716</t>
  </si>
  <si>
    <t>TXN101868</t>
  </si>
  <si>
    <t>TXN100363</t>
  </si>
  <si>
    <t>TXN103293</t>
  </si>
  <si>
    <t>TXN102313</t>
  </si>
  <si>
    <t>TXN102419</t>
  </si>
  <si>
    <t>TXN102247</t>
  </si>
  <si>
    <t>TXN102371</t>
  </si>
  <si>
    <t>TXN102364</t>
  </si>
  <si>
    <t>TXN102639</t>
  </si>
  <si>
    <t>TXN100523</t>
  </si>
  <si>
    <t>TXN102590</t>
  </si>
  <si>
    <t>TXN103427</t>
  </si>
  <si>
    <t>TXN102915</t>
  </si>
  <si>
    <t>TXN102084</t>
  </si>
  <si>
    <t>TXN101609</t>
  </si>
  <si>
    <t>TXN100391</t>
  </si>
  <si>
    <t>TXN101853</t>
  </si>
  <si>
    <t>TXN100433</t>
  </si>
  <si>
    <t>TXN103457</t>
  </si>
  <si>
    <t>TXN100890</t>
  </si>
  <si>
    <t>TXN102019</t>
  </si>
  <si>
    <t>TXN102089</t>
  </si>
  <si>
    <t>TXN100544</t>
  </si>
  <si>
    <t>TXN103057</t>
  </si>
  <si>
    <t>TXN102306</t>
  </si>
  <si>
    <t xml:space="preserve"> Transport</t>
  </si>
  <si>
    <t>TXN100453</t>
  </si>
  <si>
    <t>TXN102328</t>
  </si>
  <si>
    <t>TXN100839</t>
  </si>
  <si>
    <t>TXN101409</t>
  </si>
  <si>
    <t>TXN102342</t>
  </si>
  <si>
    <t>TXN102399</t>
  </si>
  <si>
    <t>TXN102472</t>
  </si>
  <si>
    <t>TXN102527</t>
  </si>
  <si>
    <t>TXN103377</t>
  </si>
  <si>
    <t>TXN100050</t>
  </si>
  <si>
    <t>TXN102143</t>
  </si>
  <si>
    <t>TXN102244</t>
  </si>
  <si>
    <t>TXN102995</t>
  </si>
  <si>
    <t>TXN101037</t>
  </si>
  <si>
    <t>TXN102511</t>
  </si>
  <si>
    <t>TXN100118</t>
  </si>
  <si>
    <t>TXN102882</t>
  </si>
  <si>
    <t>TXN100035</t>
  </si>
  <si>
    <t>TXN100125</t>
  </si>
  <si>
    <t>TXN101810</t>
  </si>
  <si>
    <t>TXN101300</t>
  </si>
  <si>
    <t>TXN102161</t>
  </si>
  <si>
    <t>TXN102458</t>
  </si>
  <si>
    <t xml:space="preserve">Spotify </t>
  </si>
  <si>
    <t>TXN101996</t>
  </si>
  <si>
    <t>TXN101254</t>
  </si>
  <si>
    <t>TXN100072</t>
  </si>
  <si>
    <t>TXN100968</t>
  </si>
  <si>
    <t>TXN103101</t>
  </si>
  <si>
    <t>TXN100146</t>
  </si>
  <si>
    <t>TXN103040</t>
  </si>
  <si>
    <t>TXN102221</t>
  </si>
  <si>
    <t>TXN102077</t>
  </si>
  <si>
    <t>TXN101848</t>
  </si>
  <si>
    <t>TXN103406</t>
  </si>
  <si>
    <t>TXN101186</t>
  </si>
  <si>
    <t>TXN100722</t>
  </si>
  <si>
    <t>TXN102688</t>
  </si>
  <si>
    <t>TXN100440</t>
  </si>
  <si>
    <t>TXN100959</t>
  </si>
  <si>
    <t>TXN100359</t>
  </si>
  <si>
    <t>TXN102737</t>
  </si>
  <si>
    <t>TXN100518</t>
  </si>
  <si>
    <t>TXN101439</t>
  </si>
  <si>
    <t>TXN101976</t>
  </si>
  <si>
    <t>TXN103475</t>
  </si>
  <si>
    <t>TXN100774</t>
  </si>
  <si>
    <t>TXN101294</t>
  </si>
  <si>
    <t>TXN103361</t>
  </si>
  <si>
    <t>TXN100672</t>
  </si>
  <si>
    <t>TXN102105</t>
  </si>
  <si>
    <t>TXN100185</t>
  </si>
  <si>
    <t>TXN103485</t>
  </si>
  <si>
    <t>TXN100338</t>
  </si>
  <si>
    <t>TXN102245</t>
  </si>
  <si>
    <t>TXN101781</t>
  </si>
  <si>
    <t>TXN100314</t>
  </si>
  <si>
    <t>TXN101007</t>
  </si>
  <si>
    <t>TXN102866</t>
  </si>
  <si>
    <t>TXN103143</t>
  </si>
  <si>
    <t>TXN102369</t>
  </si>
  <si>
    <t>TXN102753</t>
  </si>
  <si>
    <t>TXN101395</t>
  </si>
  <si>
    <t>TXN103157</t>
  </si>
  <si>
    <t>TXN102963</t>
  </si>
  <si>
    <t>TXN101888</t>
  </si>
  <si>
    <t>TXN102047</t>
  </si>
  <si>
    <t>TXN102207</t>
  </si>
  <si>
    <t>TXN102014</t>
  </si>
  <si>
    <t>TXN102823</t>
  </si>
  <si>
    <t>TXN103258</t>
  </si>
  <si>
    <t>TXN101790</t>
  </si>
  <si>
    <t>TXN102456</t>
  </si>
  <si>
    <t>TXN102199</t>
  </si>
  <si>
    <t>TXN101004</t>
  </si>
  <si>
    <t>TXN102475</t>
  </si>
  <si>
    <t>TXN101697</t>
  </si>
  <si>
    <t>TXN103386</t>
  </si>
  <si>
    <t>TXN100369</t>
  </si>
  <si>
    <t>TXN100444</t>
  </si>
  <si>
    <t>TXN101838</t>
  </si>
  <si>
    <t>TXN102276</t>
  </si>
  <si>
    <t>TXN101177</t>
  </si>
  <si>
    <t>TXN102154</t>
  </si>
  <si>
    <t>TXN102083</t>
  </si>
  <si>
    <t>TXN100799</t>
  </si>
  <si>
    <t>TXN102676</t>
  </si>
  <si>
    <t>TXN100284</t>
  </si>
  <si>
    <t>TXN102793</t>
  </si>
  <si>
    <t>TXN100141</t>
  </si>
  <si>
    <t>TXN100567</t>
  </si>
  <si>
    <t>TXN101762</t>
  </si>
  <si>
    <t>TXN102149</t>
  </si>
  <si>
    <t>TXN102650</t>
  </si>
  <si>
    <t>TXN101026</t>
  </si>
  <si>
    <t>TXN100983</t>
  </si>
  <si>
    <t>TXN100621</t>
  </si>
  <si>
    <t>TXN101539</t>
  </si>
  <si>
    <t>TXN103122</t>
  </si>
  <si>
    <t>TXN100932</t>
  </si>
  <si>
    <t>TXN101405</t>
  </si>
  <si>
    <t>TXN102733</t>
  </si>
  <si>
    <t xml:space="preserve">Vodafone </t>
  </si>
  <si>
    <t>TXN101147</t>
  </si>
  <si>
    <t>TXN101749</t>
  </si>
  <si>
    <t>TXN101527</t>
  </si>
  <si>
    <t>TXN101961</t>
  </si>
  <si>
    <t>TXN101059</t>
  </si>
  <si>
    <t>TXN102853</t>
  </si>
  <si>
    <t>TXN101974</t>
  </si>
  <si>
    <t>TXN100572</t>
  </si>
  <si>
    <t>TXN101971</t>
  </si>
  <si>
    <t>TXN103215</t>
  </si>
  <si>
    <t>TXN101288</t>
  </si>
  <si>
    <t>TXN100259</t>
  </si>
  <si>
    <t>TXN100696</t>
  </si>
  <si>
    <t>TXN101608</t>
  </si>
  <si>
    <t>TXN101247</t>
  </si>
  <si>
    <t>TXN102250</t>
  </si>
  <si>
    <t>TXN102386</t>
  </si>
  <si>
    <t>TXN102055</t>
  </si>
  <si>
    <t>TXN103102</t>
  </si>
  <si>
    <t>TXN100660</t>
  </si>
  <si>
    <t>TXN101874</t>
  </si>
  <si>
    <t>TXN103053</t>
  </si>
  <si>
    <t>TXN101681</t>
  </si>
  <si>
    <t>TXN101956</t>
  </si>
  <si>
    <t>TXN101138</t>
  </si>
  <si>
    <t>TXN102782</t>
  </si>
  <si>
    <t>TXN100543</t>
  </si>
  <si>
    <t>TXN103362</t>
  </si>
  <si>
    <t>TXN102948</t>
  </si>
  <si>
    <t>TXN102558</t>
  </si>
  <si>
    <t>TXN102888</t>
  </si>
  <si>
    <t>TXN102335</t>
  </si>
  <si>
    <t>TXN101804</t>
  </si>
  <si>
    <t>TXN100663</t>
  </si>
  <si>
    <t>TXN101992</t>
  </si>
  <si>
    <t>TXN101632</t>
  </si>
  <si>
    <t>TXN100008</t>
  </si>
  <si>
    <t>TXN102664</t>
  </si>
  <si>
    <t>TXN102725</t>
  </si>
  <si>
    <t>TXN103019</t>
  </si>
  <si>
    <t>TXN100937</t>
  </si>
  <si>
    <t>TXN102652</t>
  </si>
  <si>
    <t>TXN101190</t>
  </si>
  <si>
    <t>TXN100103</t>
  </si>
  <si>
    <t>TXN101575</t>
  </si>
  <si>
    <t>TXN100342</t>
  </si>
  <si>
    <t>TXN102738</t>
  </si>
  <si>
    <t>TXN100124</t>
  </si>
  <si>
    <t>TXN101478</t>
  </si>
  <si>
    <t>TXN102790</t>
  </si>
  <si>
    <t>TXN103322</t>
  </si>
  <si>
    <t>TXN101923</t>
  </si>
  <si>
    <t>TXN100492</t>
  </si>
  <si>
    <t>TXN101754</t>
  </si>
  <si>
    <t>TXN100866</t>
  </si>
  <si>
    <t>TXN102865</t>
  </si>
  <si>
    <t>TXN100856</t>
  </si>
  <si>
    <t>TXN100315</t>
  </si>
  <si>
    <t>TXN102761</t>
  </si>
  <si>
    <t>TXN100712</t>
  </si>
  <si>
    <t>TXN100204</t>
  </si>
  <si>
    <t>TXN100751</t>
  </si>
  <si>
    <t>TXN100898</t>
  </si>
  <si>
    <t>TXN101066</t>
  </si>
  <si>
    <t>TXN101556</t>
  </si>
  <si>
    <t>TXN101412</t>
  </si>
  <si>
    <t>TXN102111</t>
  </si>
  <si>
    <t>TXN103351</t>
  </si>
  <si>
    <t>TXN102449</t>
  </si>
  <si>
    <t>TXN100273</t>
  </si>
  <si>
    <t xml:space="preserve"> Income</t>
  </si>
  <si>
    <t>TXN102324</t>
  </si>
  <si>
    <t>TXN101085</t>
  </si>
  <si>
    <t>TXN101278</t>
  </si>
  <si>
    <t>TXN102728</t>
  </si>
  <si>
    <t>TXN102433</t>
  </si>
  <si>
    <t>TXN102846</t>
  </si>
  <si>
    <t>TXN101815</t>
  </si>
  <si>
    <t>TXN101289</t>
  </si>
  <si>
    <t>TXN101301</t>
  </si>
  <si>
    <t>TXN103225</t>
  </si>
  <si>
    <t>TXN101346</t>
  </si>
  <si>
    <t>TXN100085</t>
  </si>
  <si>
    <t>TXN102600</t>
  </si>
  <si>
    <t>TXN100325</t>
  </si>
  <si>
    <t>TXN100360</t>
  </si>
  <si>
    <t>TXN103304</t>
  </si>
  <si>
    <t>TXN100847</t>
  </si>
  <si>
    <t>TXN101204</t>
  </si>
  <si>
    <t>TXN101125</t>
  </si>
  <si>
    <t>TXN101722</t>
  </si>
  <si>
    <t>TXN100061</t>
  </si>
  <si>
    <t>TXN101661</t>
  </si>
  <si>
    <t>TXN100171</t>
  </si>
  <si>
    <t>TXN102231</t>
  </si>
  <si>
    <t>TXN101417</t>
  </si>
  <si>
    <t>TXN102800</t>
  </si>
  <si>
    <t>TXN102498</t>
  </si>
  <si>
    <t>TXN102348</t>
  </si>
  <si>
    <t>TXN102951</t>
  </si>
  <si>
    <t>TXN100619</t>
  </si>
  <si>
    <t>TXN100027</t>
  </si>
  <si>
    <t>TXN101449</t>
  </si>
  <si>
    <t>TXN100943</t>
  </si>
  <si>
    <t>TXN101768</t>
  </si>
  <si>
    <t>TXN102222</t>
  </si>
  <si>
    <t>TXN103255</t>
  </si>
  <si>
    <t>TXN101012</t>
  </si>
  <si>
    <t>TXN100726</t>
  </si>
  <si>
    <t>TXN100346</t>
  </si>
  <si>
    <t>TXN100140</t>
  </si>
  <si>
    <t>TXN102512</t>
  </si>
  <si>
    <t>TXN100798</t>
  </si>
  <si>
    <t>TXN101915</t>
  </si>
  <si>
    <t>TXN101249</t>
  </si>
  <si>
    <t>TXN100423</t>
  </si>
  <si>
    <t>TXN102712</t>
  </si>
  <si>
    <t>TXN103233</t>
  </si>
  <si>
    <t>TXN100094</t>
  </si>
  <si>
    <t>TXN100212</t>
  </si>
  <si>
    <t>TXN100195</t>
  </si>
  <si>
    <t>TXN102420</t>
  </si>
  <si>
    <t>TXN101953</t>
  </si>
  <si>
    <t>TXN102076</t>
  </si>
  <si>
    <t>TXN102807</t>
  </si>
  <si>
    <t>TXN103356</t>
  </si>
  <si>
    <t>TXN102092</t>
  </si>
  <si>
    <t>TXN101114</t>
  </si>
  <si>
    <t>TXN101132</t>
  </si>
  <si>
    <t>TXN101108</t>
  </si>
  <si>
    <t>TXN102004</t>
  </si>
  <si>
    <t>TXN100970</t>
  </si>
  <si>
    <t>TXN102326</t>
  </si>
  <si>
    <t>TXN102781</t>
  </si>
  <si>
    <t>TXN102780</t>
  </si>
  <si>
    <t>TXN102567</t>
  </si>
  <si>
    <t>TXN103292</t>
  </si>
  <si>
    <t>TXN102516</t>
  </si>
  <si>
    <t>TXN102677</t>
  </si>
  <si>
    <t>TXN101244</t>
  </si>
  <si>
    <t>TXN100846</t>
  </si>
  <si>
    <t>TXN100297</t>
  </si>
  <si>
    <t>TXN103009</t>
  </si>
  <si>
    <t>TXN100408</t>
  </si>
  <si>
    <t>TXN101091</t>
  </si>
  <si>
    <t>TXN102758</t>
  </si>
  <si>
    <t>TXN100708</t>
  </si>
  <si>
    <t>TXN100437</t>
  </si>
  <si>
    <t>TXN100078</t>
  </si>
  <si>
    <t>TXN102682</t>
  </si>
  <si>
    <t>TXN103075</t>
  </si>
  <si>
    <t>TXN101309</t>
  </si>
  <si>
    <t>TXN102970</t>
  </si>
  <si>
    <t>TXN102295</t>
  </si>
  <si>
    <t>TXN102483</t>
  </si>
  <si>
    <t>TXN101758</t>
  </si>
  <si>
    <t>TXN103228</t>
  </si>
  <si>
    <t>TXN102891</t>
  </si>
  <si>
    <t>TXN100604</t>
  </si>
  <si>
    <t>TXN100134</t>
  </si>
  <si>
    <t>TXN103176</t>
  </si>
  <si>
    <t>TXN102787</t>
  </si>
  <si>
    <t>TXN101135</t>
  </si>
  <si>
    <t>TXN103363</t>
  </si>
  <si>
    <t>TXN101457</t>
  </si>
  <si>
    <t>TXN100351</t>
  </si>
  <si>
    <t>TXN101115</t>
  </si>
  <si>
    <t>TXN100289</t>
  </si>
  <si>
    <t>TXN101724</t>
  </si>
  <si>
    <t>TXN100742</t>
  </si>
  <si>
    <t>TXN102968</t>
  </si>
  <si>
    <t>TXN102523</t>
  </si>
  <si>
    <t>TXN102651</t>
  </si>
  <si>
    <t>TXN102777</t>
  </si>
  <si>
    <t>TXN102935</t>
  </si>
  <si>
    <t>TXN100925</t>
  </si>
  <si>
    <t>TXN102585</t>
  </si>
  <si>
    <t>TXN103410</t>
  </si>
  <si>
    <t>TXN103234</t>
  </si>
  <si>
    <t>TXN102208</t>
  </si>
  <si>
    <t>TXN102674</t>
  </si>
  <si>
    <t>TXN100768</t>
  </si>
  <si>
    <t>TXN102272</t>
  </si>
  <si>
    <t>TXN103477</t>
  </si>
  <si>
    <t>TXN100529</t>
  </si>
  <si>
    <t>TXN101735</t>
  </si>
  <si>
    <t>TXN102520</t>
  </si>
  <si>
    <t>TXN101684</t>
  </si>
  <si>
    <t>TXN100228</t>
  </si>
  <si>
    <t>TXN101495</t>
  </si>
  <si>
    <t>TXN101611</t>
  </si>
  <si>
    <t>TXN102242</t>
  </si>
  <si>
    <t>TXN102178</t>
  </si>
  <si>
    <t>TXN101425</t>
  </si>
  <si>
    <t>TXN101512</t>
  </si>
  <si>
    <t>TXN100815</t>
  </si>
  <si>
    <t>TXN100611</t>
  </si>
  <si>
    <t>TXN103030</t>
  </si>
  <si>
    <t>TXN102960</t>
  </si>
  <si>
    <t>TXN101438</t>
  </si>
  <si>
    <t>TXN103364</t>
  </si>
  <si>
    <t>TXN101643</t>
  </si>
  <si>
    <t>TXN101981</t>
  </si>
  <si>
    <t>TXN100044</t>
  </si>
  <si>
    <t>TXN101530</t>
  </si>
  <si>
    <t>TXN101046</t>
  </si>
  <si>
    <t>TXN101023</t>
  </si>
  <si>
    <t>TXN103073</t>
  </si>
  <si>
    <t>TXN100062</t>
  </si>
  <si>
    <t>TXN103106</t>
  </si>
  <si>
    <t>TXN102147</t>
  </si>
  <si>
    <t>TXN100004</t>
  </si>
  <si>
    <t>TXN101942</t>
  </si>
  <si>
    <t>TXN103199</t>
  </si>
  <si>
    <t>TXN100936</t>
  </si>
  <si>
    <t>TXN103467</t>
  </si>
  <si>
    <t>TXN102361</t>
  </si>
  <si>
    <t>TXN101846</t>
  </si>
  <si>
    <t>TXN103138</t>
  </si>
  <si>
    <t>TXN102165</t>
  </si>
  <si>
    <t>TXN102302</t>
  </si>
  <si>
    <t>TXN102112</t>
  </si>
  <si>
    <t>TXN100367</t>
  </si>
  <si>
    <t>TXN101755</t>
  </si>
  <si>
    <t>TXN101911</t>
  </si>
  <si>
    <t>TXN100706</t>
  </si>
  <si>
    <t>TXN102482</t>
  </si>
  <si>
    <t>TXN103168</t>
  </si>
  <si>
    <t>TXN100552</t>
  </si>
  <si>
    <t>TXN102978</t>
  </si>
  <si>
    <t>TXN102303</t>
  </si>
  <si>
    <t>TXN100292</t>
  </si>
  <si>
    <t>TXN101925</t>
  </si>
  <si>
    <t>TXN102187</t>
  </si>
  <si>
    <t>TXN100496</t>
  </si>
  <si>
    <t>TXN101528</t>
  </si>
  <si>
    <t>TXN102050</t>
  </si>
  <si>
    <t>TXN103048</t>
  </si>
  <si>
    <t>TXN100122</t>
  </si>
  <si>
    <t>TXN102206</t>
  </si>
  <si>
    <t>TXN102330</t>
  </si>
  <si>
    <t>TXN100242</t>
  </si>
  <si>
    <t>TXN100763</t>
  </si>
  <si>
    <t>TXN100149</t>
  </si>
  <si>
    <t>TXN101400</t>
  </si>
  <si>
    <t>TXN103470</t>
  </si>
  <si>
    <t>TXN100024</t>
  </si>
  <si>
    <t>TXN101468</t>
  </si>
  <si>
    <t>TXN100876</t>
  </si>
  <si>
    <t>TXN101333</t>
  </si>
  <si>
    <t>TXN101467</t>
  </si>
  <si>
    <t>TXN102815</t>
  </si>
  <si>
    <t>TXN100396</t>
  </si>
  <si>
    <t>TXN103223</t>
  </si>
  <si>
    <t>TXN100510</t>
  </si>
  <si>
    <t>TXN100254</t>
  </si>
  <si>
    <t>TXN101106</t>
  </si>
  <si>
    <t>TXN101555</t>
  </si>
  <si>
    <t>TXN103039</t>
  </si>
  <si>
    <t>TXN103153</t>
  </si>
  <si>
    <t>TXN100226</t>
  </si>
  <si>
    <t>TXN102553</t>
  </si>
  <si>
    <t>TXN101811</t>
  </si>
  <si>
    <t>TXN101297</t>
  </si>
  <si>
    <t>TXN103313</t>
  </si>
  <si>
    <t>TXN100376</t>
  </si>
  <si>
    <t>TXN101578</t>
  </si>
  <si>
    <t>TXN101322</t>
  </si>
  <si>
    <t>TXN100635</t>
  </si>
  <si>
    <t>TXN103278</t>
  </si>
  <si>
    <t>TXN100393</t>
  </si>
  <si>
    <t>TXN102278</t>
  </si>
  <si>
    <t>TXN102447</t>
  </si>
  <si>
    <t>TXN102086</t>
  </si>
  <si>
    <t>TXN101268</t>
  </si>
  <si>
    <t>TXN101356</t>
  </si>
  <si>
    <t>TXN102367</t>
  </si>
  <si>
    <t>TXN102179</t>
  </si>
  <si>
    <t>TXN100068</t>
  </si>
  <si>
    <t>TXN102713</t>
  </si>
  <si>
    <t>TXN101937</t>
  </si>
  <si>
    <t>TXN102025</t>
  </si>
  <si>
    <t>TXN101595</t>
  </si>
  <si>
    <t>TXN101264</t>
  </si>
  <si>
    <t>TXN103160</t>
  </si>
  <si>
    <t>TXN101434</t>
  </si>
  <si>
    <t>TXN101772</t>
  </si>
  <si>
    <t>TXN102707</t>
  </si>
  <si>
    <t>TXN100591</t>
  </si>
  <si>
    <t>TXN101637</t>
  </si>
  <si>
    <t>TXN101709</t>
  </si>
  <si>
    <t>TXN101308</t>
  </si>
  <si>
    <t>TXN101580</t>
  </si>
  <si>
    <t>TXN102754</t>
  </si>
  <si>
    <t>TXN100115</t>
  </si>
  <si>
    <t>TXN101205</t>
  </si>
  <si>
    <t>TXN101121</t>
  </si>
  <si>
    <t>TXN101178</t>
  </si>
  <si>
    <t>TXN100683</t>
  </si>
  <si>
    <t>TXN100246</t>
  </si>
  <si>
    <t>TXN100234</t>
  </si>
  <si>
    <t>TXN101232</t>
  </si>
  <si>
    <t>TXN103432</t>
  </si>
  <si>
    <t>TXN103216</t>
  </si>
  <si>
    <t>TXN101465</t>
  </si>
  <si>
    <t>TXN102946</t>
  </si>
  <si>
    <t>TXN100738</t>
  </si>
  <si>
    <t>TXN101910</t>
  </si>
  <si>
    <t>TXN100513</t>
  </si>
  <si>
    <t>TXN103007</t>
  </si>
  <si>
    <t>TXN102119</t>
  </si>
  <si>
    <t>TXN100921</t>
  </si>
  <si>
    <t>TXN102972</t>
  </si>
  <si>
    <t>TXN100385</t>
  </si>
  <si>
    <t>TXN101878</t>
  </si>
  <si>
    <t>TXN103167</t>
  </si>
  <si>
    <t>TXN101318</t>
  </si>
  <si>
    <t>TXN102074</t>
  </si>
  <si>
    <t xml:space="preserve">Freelance Client </t>
  </si>
  <si>
    <t>TXN101445</t>
  </si>
  <si>
    <t>TXN102141</t>
  </si>
  <si>
    <t>TXN100148</t>
  </si>
  <si>
    <t>TXN100091</t>
  </si>
  <si>
    <t>TXN101354</t>
  </si>
  <si>
    <t>TXN102287</t>
  </si>
  <si>
    <t>TXN101628</t>
  </si>
  <si>
    <t>TXN101939</t>
  </si>
  <si>
    <t>TXN100104</t>
  </si>
  <si>
    <t>TXN102445</t>
  </si>
  <si>
    <t>TXN102668</t>
  </si>
  <si>
    <t>TXN100916</t>
  </si>
  <si>
    <t>TXN101707</t>
  </si>
  <si>
    <t>TXN100139</t>
  </si>
  <si>
    <t>TXN100260</t>
  </si>
  <si>
    <t>TXN101642</t>
  </si>
  <si>
    <t>TXN103088</t>
  </si>
  <si>
    <t>TXN102285</t>
  </si>
  <si>
    <t>TXN101678</t>
  </si>
  <si>
    <t>TXN100287</t>
  </si>
  <si>
    <t>TXN100285</t>
  </si>
  <si>
    <t>TXN101731</t>
  </si>
  <si>
    <t>TXN102746</t>
  </si>
  <si>
    <t>TXN100542</t>
  </si>
  <si>
    <t>TXN103062</t>
  </si>
  <si>
    <t>TXN101368</t>
  </si>
  <si>
    <t>TXN103280</t>
  </si>
  <si>
    <t>TXN102194</t>
  </si>
  <si>
    <t>TXN102573</t>
  </si>
  <si>
    <t>TXN102667</t>
  </si>
  <si>
    <t>TXN101336</t>
  </si>
  <si>
    <t>TXN102380</t>
  </si>
  <si>
    <t>TXN101894</t>
  </si>
  <si>
    <t>TXN103325</t>
  </si>
  <si>
    <t>TXN100278</t>
  </si>
  <si>
    <t>TXN101117</t>
  </si>
  <si>
    <t>TXN100105</t>
  </si>
  <si>
    <t>TXN102044</t>
  </si>
  <si>
    <t>TXN103067</t>
  </si>
  <si>
    <t>TXN102876</t>
  </si>
  <si>
    <t>TXN101130</t>
  </si>
  <si>
    <t>TXN102869</t>
  </si>
  <si>
    <t>TXN101486</t>
  </si>
  <si>
    <t>TXN102620</t>
  </si>
  <si>
    <t>TXN100381</t>
  </si>
  <si>
    <t>TXN101795</t>
  </si>
  <si>
    <t>TXN103323</t>
  </si>
  <si>
    <t>TXN100445</t>
  </si>
  <si>
    <t>TXN100657</t>
  </si>
  <si>
    <t>TXN100624</t>
  </si>
  <si>
    <t>TXN100340</t>
  </si>
  <si>
    <t>TXN103003</t>
  </si>
  <si>
    <t>TXN102235</t>
  </si>
  <si>
    <t>TXN100633</t>
  </si>
  <si>
    <t>TXN100782</t>
  </si>
  <si>
    <t>TXN102375</t>
  </si>
  <si>
    <t>TXN100545</t>
  </si>
  <si>
    <t>TXN103016</t>
  </si>
  <si>
    <t>TXN102903</t>
  </si>
  <si>
    <t>TXN100477</t>
  </si>
  <si>
    <t>TXN100491</t>
  </si>
  <si>
    <t>TXN101700</t>
  </si>
  <si>
    <t>TXN100605</t>
  </si>
  <si>
    <t>TXN100075</t>
  </si>
  <si>
    <t>TXN102191</t>
  </si>
  <si>
    <t>TXN101801</t>
  </si>
  <si>
    <t>TXN101960</t>
  </si>
  <si>
    <t>TXN100650</t>
  </si>
  <si>
    <t>TXN100928</t>
  </si>
  <si>
    <t>TXN100760</t>
  </si>
  <si>
    <t>TXN102983</t>
  </si>
  <si>
    <t>TXN102881</t>
  </si>
  <si>
    <t>TXN102066</t>
  </si>
  <si>
    <t>TXN100648</t>
  </si>
  <si>
    <t>TXN101666</t>
  </si>
  <si>
    <t>TXN102603</t>
  </si>
  <si>
    <t>TXN100167</t>
  </si>
  <si>
    <t>TXN102722</t>
  </si>
  <si>
    <t>TXN101597</t>
  </si>
  <si>
    <t>TXN102563</t>
  </si>
  <si>
    <t>TXN100106</t>
  </si>
  <si>
    <t>TXN101042</t>
  </si>
  <si>
    <t>TXN102374</t>
  </si>
  <si>
    <t>TXN103139</t>
  </si>
  <si>
    <t>TXN100247</t>
  </si>
  <si>
    <t>TXN102398</t>
  </si>
  <si>
    <t>TXN101636</t>
  </si>
  <si>
    <t>TXN100070</t>
  </si>
  <si>
    <t>TXN102059</t>
  </si>
  <si>
    <t>TXN102827</t>
  </si>
  <si>
    <t>TXN101723</t>
  </si>
  <si>
    <t>TXN102100</t>
  </si>
  <si>
    <t>TXN103115</t>
  </si>
  <si>
    <t>TXN102771</t>
  </si>
  <si>
    <t>TXN101069</t>
  </si>
  <si>
    <t>TXN100090</t>
  </si>
  <si>
    <t>TXN103492</t>
  </si>
  <si>
    <t>TXN102546</t>
  </si>
  <si>
    <t>TXN101315</t>
  </si>
  <si>
    <t>TXN102443</t>
  </si>
  <si>
    <t>TXN100709</t>
  </si>
  <si>
    <t>TXN100264</t>
  </si>
  <si>
    <t>TXN103209</t>
  </si>
  <si>
    <t>TXN100088</t>
  </si>
  <si>
    <t>TXN102560</t>
  </si>
  <si>
    <t>TXN102721</t>
  </si>
  <si>
    <t>TXN103032</t>
  </si>
  <si>
    <t>TXN101339</t>
  </si>
  <si>
    <t>TXN102085</t>
  </si>
  <si>
    <t>TXN102270</t>
  </si>
  <si>
    <t>TXN101273</t>
  </si>
  <si>
    <t>TXN100821</t>
  </si>
  <si>
    <t>TXN100514</t>
  </si>
  <si>
    <t>TXN101873</t>
  </si>
  <si>
    <t>TXN103447</t>
  </si>
  <si>
    <t>TXN103417</t>
  </si>
  <si>
    <t>TXN101179</t>
  </si>
  <si>
    <t>TXN102731</t>
  </si>
  <si>
    <t>TXN100969</t>
  </si>
  <si>
    <t>TXN100777</t>
  </si>
  <si>
    <t>TXN100532</t>
  </si>
  <si>
    <t>TXN102556</t>
  </si>
  <si>
    <t>TXN103213</t>
  </si>
  <si>
    <t>TXN100402</t>
  </si>
  <si>
    <t>TXN100473</t>
  </si>
  <si>
    <t>TXN103116</t>
  </si>
  <si>
    <t>TXN101627</t>
  </si>
  <si>
    <t>TXN103267</t>
  </si>
  <si>
    <t>TXN101016</t>
  </si>
  <si>
    <t>TXN101800</t>
  </si>
  <si>
    <t>TXN102031</t>
  </si>
  <si>
    <t>TXN102003</t>
  </si>
  <si>
    <t>TXN102233</t>
  </si>
  <si>
    <t>TXN102547</t>
  </si>
  <si>
    <t>TXN102117</t>
  </si>
  <si>
    <t>TXN101818</t>
  </si>
  <si>
    <t>TXN101860</t>
  </si>
  <si>
    <t>TXN101680</t>
  </si>
  <si>
    <t>TXN103232</t>
  </si>
  <si>
    <t>TXN102762</t>
  </si>
  <si>
    <t>TXN101072</t>
  </si>
  <si>
    <t>TXN101635</t>
  </si>
  <si>
    <t>TXN102856</t>
  </si>
  <si>
    <t>TXN102847</t>
  </si>
  <si>
    <t>TXN100414</t>
  </si>
  <si>
    <t>TXN100887</t>
  </si>
  <si>
    <t>TXN103460</t>
  </si>
  <si>
    <t>TXN100844</t>
  </si>
  <si>
    <t>TXN101865</t>
  </si>
  <si>
    <t>TXN102499</t>
  </si>
  <si>
    <t>TXN102210</t>
  </si>
  <si>
    <t>TXN103181</t>
  </si>
  <si>
    <t>TXN101371</t>
  </si>
  <si>
    <t>TXN100789</t>
  </si>
  <si>
    <t>TXN102625</t>
  </si>
  <si>
    <t>TXN102878</t>
  </si>
  <si>
    <t>TXN103486</t>
  </si>
  <si>
    <t>TXN100331</t>
  </si>
  <si>
    <t>TXN101090</t>
  </si>
  <si>
    <t>TXN102281</t>
  </si>
  <si>
    <t>TXN102640</t>
  </si>
  <si>
    <t>TXN103159</t>
  </si>
  <si>
    <t>TXN100199</t>
  </si>
  <si>
    <t>TXN101210</t>
  </si>
  <si>
    <t>TXN101875</t>
  </si>
  <si>
    <t>TXN101472</t>
  </si>
  <si>
    <t>TXN102863</t>
  </si>
  <si>
    <t>TXN102893</t>
  </si>
  <si>
    <t>TXN101793</t>
  </si>
  <si>
    <t>TXN100607</t>
  </si>
  <si>
    <t>TXN100765</t>
  </si>
  <si>
    <t>TXN103281</t>
  </si>
  <si>
    <t>TXN102889</t>
  </si>
  <si>
    <t>TXN101651</t>
  </si>
  <si>
    <t>TXN102263</t>
  </si>
  <si>
    <t>TXN102304</t>
  </si>
  <si>
    <t>TXN102478</t>
  </si>
  <si>
    <t>TXN100715</t>
  </si>
  <si>
    <t>TXN100851</t>
  </si>
  <si>
    <t>TXN103086</t>
  </si>
  <si>
    <t>TXN100509</t>
  </si>
  <si>
    <t>TXN100965</t>
  </si>
  <si>
    <t>TXN102954</t>
  </si>
  <si>
    <t>TXN103037</t>
  </si>
  <si>
    <t>TXN103200</t>
  </si>
  <si>
    <t>TXN101154</t>
  </si>
  <si>
    <t>TXN100665</t>
  </si>
  <si>
    <t>TXN102051</t>
  </si>
  <si>
    <t>TXN102054</t>
  </si>
  <si>
    <t>TXN101952</t>
  </si>
  <si>
    <t>TXN103024</t>
  </si>
  <si>
    <t>TXN103063</t>
  </si>
  <si>
    <t>TXN101239</t>
  </si>
  <si>
    <t>TXN101505</t>
  </si>
  <si>
    <t>TXN101782</t>
  </si>
  <si>
    <t>TXN100666</t>
  </si>
  <si>
    <t>TXN103347</t>
  </si>
  <si>
    <t>TXN101015</t>
  </si>
  <si>
    <t>TXN101087</t>
  </si>
  <si>
    <t>TXN102182</t>
  </si>
  <si>
    <t>TXN102400</t>
  </si>
  <si>
    <t>TXN101652</t>
  </si>
  <si>
    <t>TXN103212</t>
  </si>
  <si>
    <t>TXN102220</t>
  </si>
  <si>
    <t>TXN103197</t>
  </si>
  <si>
    <t>TXN103227</t>
  </si>
  <si>
    <t>TXN102226</t>
  </si>
  <si>
    <t>TXN100354</t>
  </si>
  <si>
    <t>TXN101584</t>
  </si>
  <si>
    <t>TXN100131</t>
  </si>
  <si>
    <t>TXN100741</t>
  </si>
  <si>
    <t>TXN101798</t>
  </si>
  <si>
    <t>TXN101701</t>
  </si>
  <si>
    <t>TXN101630</t>
  </si>
  <si>
    <t>TXN101592</t>
  </si>
  <si>
    <t>TXN103423</t>
  </si>
  <si>
    <t>TXN102072</t>
  </si>
  <si>
    <t>TXN100597</t>
  </si>
  <si>
    <t>TXN101055</t>
  </si>
  <si>
    <t>TXN103026</t>
  </si>
  <si>
    <t>TXN101694</t>
  </si>
  <si>
    <t>TXN101137</t>
  </si>
  <si>
    <t>TXN100689</t>
  </si>
  <si>
    <t>TXN102430</t>
  </si>
  <si>
    <t>TXN101803</t>
  </si>
  <si>
    <t>TXN103268</t>
  </si>
  <si>
    <t>TXN103090</t>
  </si>
  <si>
    <t>TXN101251</t>
  </si>
  <si>
    <t>TXN100592</t>
  </si>
  <si>
    <t>TXN102851</t>
  </si>
  <si>
    <t>TXN100430</t>
  </si>
  <si>
    <t>TXN102884</t>
  </si>
  <si>
    <t>TXN102594</t>
  </si>
  <si>
    <t>TXN102562</t>
  </si>
  <si>
    <t>TXN100578</t>
  </si>
  <si>
    <t>TXN101864</t>
  </si>
  <si>
    <t>TXN100153</t>
  </si>
  <si>
    <t>TXN101070</t>
  </si>
  <si>
    <t>TXN100253</t>
  </si>
  <si>
    <t>TXN102642</t>
  </si>
  <si>
    <t>TXN100424</t>
  </si>
  <si>
    <t>TXN101269</t>
  </si>
  <si>
    <t>TXN101938</t>
  </si>
  <si>
    <t>TXN100012</t>
  </si>
  <si>
    <t>TXN100026</t>
  </si>
  <si>
    <t>TXN102833</t>
  </si>
  <si>
    <t>TXN102936</t>
  </si>
  <si>
    <t>TXN101764</t>
  </si>
  <si>
    <t>TXN100990</t>
  </si>
  <si>
    <t>TXN101949</t>
  </si>
  <si>
    <t>TXN102660</t>
  </si>
  <si>
    <t>TXN102053</t>
  </si>
  <si>
    <t>TXN101862</t>
  </si>
  <si>
    <t>TXN102976</t>
  </si>
  <si>
    <t>TXN102431</t>
  </si>
  <si>
    <t>TXN102061</t>
  </si>
  <si>
    <t>TXN102797</t>
  </si>
  <si>
    <t>TXN100631</t>
  </si>
  <si>
    <t>TXN101237</t>
  </si>
  <si>
    <t>TXN102813</t>
  </si>
  <si>
    <t>TXN100630</t>
  </si>
  <si>
    <t>TXN102093</t>
  </si>
  <si>
    <t>TXN102158</t>
  </si>
  <si>
    <t>TXN102370</t>
  </si>
  <si>
    <t>TXN102646</t>
  </si>
  <si>
    <t>TXN100213</t>
  </si>
  <si>
    <t>TXN101871</t>
  </si>
  <si>
    <t>TXN100223</t>
  </si>
  <si>
    <t>TXN101123</t>
  </si>
  <si>
    <t>TXN102114</t>
  </si>
  <si>
    <t>TXN100614</t>
  </si>
  <si>
    <t>TXN100810</t>
  </si>
  <si>
    <t>TXN101209</t>
  </si>
  <si>
    <t>TXN102941</t>
  </si>
  <si>
    <t>TXN101727</t>
  </si>
  <si>
    <t>TXN102988</t>
  </si>
  <si>
    <t>TXN101931</t>
  </si>
  <si>
    <t>TXN102645</t>
  </si>
  <si>
    <t>TXN103186</t>
  </si>
  <si>
    <t>TXN102159</t>
  </si>
  <si>
    <t>TXN101437</t>
  </si>
  <si>
    <t>TXN100422</t>
  </si>
  <si>
    <t>TXN100225</t>
  </si>
  <si>
    <t>TXN101340</t>
  </si>
  <si>
    <t>TXN103409</t>
  </si>
  <si>
    <t>TXN101660</t>
  </si>
  <si>
    <t>TXN102661</t>
  </si>
  <si>
    <t>TXN101473</t>
  </si>
  <si>
    <t>TXN101799</t>
  </si>
  <si>
    <t>TXN100096</t>
  </si>
  <si>
    <t>TXN103387</t>
  </si>
  <si>
    <t>TXN102452</t>
  </si>
  <si>
    <t>TXN102485</t>
  </si>
  <si>
    <t>TXN102574</t>
  </si>
  <si>
    <t>TXN100366</t>
  </si>
  <si>
    <t>TXN101613</t>
  </si>
  <si>
    <t>TXN100654</t>
  </si>
  <si>
    <t>TXN101549</t>
  </si>
  <si>
    <t>TXN100250</t>
  </si>
  <si>
    <t>TXN101345</t>
  </si>
  <si>
    <t>TXN101187</t>
  </si>
  <si>
    <t>TXN102602</t>
  </si>
  <si>
    <t>TXN100507</t>
  </si>
  <si>
    <t>TXN101099</t>
  </si>
  <si>
    <t>TXN103328</t>
  </si>
  <si>
    <t>TXN101050</t>
  </si>
  <si>
    <t>TXN100155</t>
  </si>
  <si>
    <t>TXN100434</t>
  </si>
  <si>
    <t>TXN102392</t>
  </si>
  <si>
    <t>TXN101789</t>
  </si>
  <si>
    <t>TXN102315</t>
  </si>
  <si>
    <t>TXN102580</t>
  </si>
  <si>
    <t>TXN100336</t>
  </si>
  <si>
    <t>TXN101518</t>
  </si>
  <si>
    <t>TXN102145</t>
  </si>
  <si>
    <t>TXN102402</t>
  </si>
  <si>
    <t>TXN100421</t>
  </si>
  <si>
    <t>TXN102234</t>
  </si>
  <si>
    <t>TXN100864</t>
  </si>
  <si>
    <t>TXN101313</t>
  </si>
  <si>
    <t>TXN101845</t>
  </si>
  <si>
    <t>TXN100522</t>
  </si>
  <si>
    <t>TXN101603</t>
  </si>
  <si>
    <t>TXN103354</t>
  </si>
  <si>
    <t>TXN101757</t>
  </si>
  <si>
    <t>TXN101893</t>
  </si>
  <si>
    <t>TXN101606</t>
  </si>
  <si>
    <t>TXN101320</t>
  </si>
  <si>
    <t>TXN101734</t>
  </si>
  <si>
    <t>TXN103352</t>
  </si>
  <si>
    <t>TXN100028</t>
  </si>
  <si>
    <t>TXN103346</t>
  </si>
  <si>
    <t>TXN100731</t>
  </si>
  <si>
    <t>TXN101455</t>
  </si>
  <si>
    <t>TXN101452</t>
  </si>
  <si>
    <t>TXN100083</t>
  </si>
  <si>
    <t>TXN101302</t>
  </si>
  <si>
    <t>TXN100290</t>
  </si>
  <si>
    <t>TXN100294</t>
  </si>
  <si>
    <t>TXN103479</t>
  </si>
  <si>
    <t>TXN102346</t>
  </si>
  <si>
    <t>TXN101594</t>
  </si>
  <si>
    <t>TXN102336</t>
  </si>
  <si>
    <t>TXN101778</t>
  </si>
  <si>
    <t>TXN102697</t>
  </si>
  <si>
    <t>TXN100130</t>
  </si>
  <si>
    <t>TXN100205</t>
  </si>
  <si>
    <t>TXN103061</t>
  </si>
  <si>
    <t>TXN100252</t>
  </si>
  <si>
    <t>TXN101706</t>
  </si>
  <si>
    <t>TXN101773</t>
  </si>
  <si>
    <t>TXN102337</t>
  </si>
  <si>
    <t>TXN101907</t>
  </si>
  <si>
    <t>TXN101171</t>
  </si>
  <si>
    <t>TXN101043</t>
  </si>
  <si>
    <t>TXN102517</t>
  </si>
  <si>
    <t>TXN100037</t>
  </si>
  <si>
    <t>TXN100157</t>
  </si>
  <si>
    <t>TXN100694</t>
  </si>
  <si>
    <t>TXN103394</t>
  </si>
  <si>
    <t>TXN101654</t>
  </si>
  <si>
    <t>TXN100055</t>
  </si>
  <si>
    <t>TXN100870</t>
  </si>
  <si>
    <t>TXN100843</t>
  </si>
  <si>
    <t>TXN102966</t>
  </si>
  <si>
    <t>TXN102157</t>
  </si>
  <si>
    <t>TXN100497</t>
  </si>
  <si>
    <t>TXN102388</t>
  </si>
  <si>
    <t>TXN102108</t>
  </si>
  <si>
    <t>TXN100824</t>
  </si>
  <si>
    <t>TXN100353</t>
  </si>
  <si>
    <t>TXN101616</t>
  </si>
  <si>
    <t>TXN103169</t>
  </si>
  <si>
    <t>TXN100162</t>
  </si>
  <si>
    <t>TXN103244</t>
  </si>
  <si>
    <t>TXN102197</t>
  </si>
  <si>
    <t>TXN100553</t>
  </si>
  <si>
    <t>TXN101535</t>
  </si>
  <si>
    <t>TXN100337</t>
  </si>
  <si>
    <t>TXN100403</t>
  </si>
  <si>
    <t>TXN102990</t>
  </si>
  <si>
    <t>TXN101181</t>
  </si>
  <si>
    <t>TXN102153</t>
  </si>
  <si>
    <t>TXN100822</t>
  </si>
  <si>
    <t>TXN100401</t>
  </si>
  <si>
    <t>TXN100200</t>
  </si>
  <si>
    <t>TXN101963</t>
  </si>
  <si>
    <t>TXN102463</t>
  </si>
  <si>
    <t>TXN102575</t>
  </si>
  <si>
    <t>TXN100787</t>
  </si>
  <si>
    <t>TXN102097</t>
  </si>
  <si>
    <t>TXN100049</t>
  </si>
  <si>
    <t>TXN101776</t>
  </si>
  <si>
    <t>TXN102912</t>
  </si>
  <si>
    <t>TXN101944</t>
  </si>
  <si>
    <t>TXN101363</t>
  </si>
  <si>
    <t>TXN101647</t>
  </si>
  <si>
    <t>TXN102629</t>
  </si>
  <si>
    <t>TXN101600</t>
  </si>
  <si>
    <t>Transaction ID</t>
  </si>
  <si>
    <t>Payment Method</t>
  </si>
  <si>
    <t>Personal Finance — KPI Analysis</t>
  </si>
  <si>
    <t>Total Income</t>
  </si>
  <si>
    <t>Total Expenses</t>
  </si>
  <si>
    <t>Net Savings</t>
  </si>
  <si>
    <t>Savings Rate</t>
  </si>
  <si>
    <t>Total Transactions</t>
  </si>
  <si>
    <t>Average Expense</t>
  </si>
  <si>
    <t>Highest Expense</t>
  </si>
  <si>
    <t>Total Expense Categories</t>
  </si>
  <si>
    <t>Row Labels</t>
  </si>
  <si>
    <t>Grand Total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</si>
  <si>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</si>
  <si>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</si>
  <si>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</si>
  <si>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</si>
  <si>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</si>
  <si>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</si>
  <si>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</si>
  <si>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</si>
  <si>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</si>
  <si>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</si>
  <si>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</si>
  <si>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</si>
  <si>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</si>
  <si>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</si>
  <si>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</si>
  <si>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Sum of Amount</t>
  </si>
  <si>
    <t>1. Which month had the highest income?</t>
  </si>
  <si>
    <t>2. Which month had the highest expenses?</t>
  </si>
  <si>
    <t>3. Which month had the highest net savings?</t>
  </si>
  <si>
    <t>4. Which month had the lowest savings rate?</t>
  </si>
  <si>
    <t>August 2025 recorded the highest monthly income in 2025 ($54,924), while April 2026 led the available 2026 months ($60,915).</t>
  </si>
  <si>
    <t>May 2025 had the highest expenses in 2025 ($23,432), while August 2026 had the highest expenses among the available 2026 months ($22,916).</t>
  </si>
  <si>
    <t>August 2025 led 2025 ($36,633), while April 2026 led the available 2026 months ($41,619).</t>
  </si>
  <si>
    <t>October 2025 had the lowest monthly savings rate in 2025 (35.15%), while September 2026 was lowest among the available 2026 months (37.05%).</t>
  </si>
  <si>
    <t>Expense Share</t>
  </si>
  <si>
    <t>Income Share</t>
  </si>
  <si>
    <t>Income-to-Expense Ratio</t>
  </si>
  <si>
    <t>Personal Finance Analytics Dashboard</t>
  </si>
  <si>
    <t>Income, Expenses &amp; Savings Overview | 2025–2026</t>
  </si>
  <si>
    <t>Income / Expense Ratio</t>
  </si>
  <si>
    <t>Expenses</t>
  </si>
  <si>
    <t>Month-Year</t>
  </si>
  <si>
    <t>- Salary provides 69.5% of total income.</t>
  </si>
  <si>
    <t>- Housing accounts for 35.8% of expenses.</t>
  </si>
  <si>
    <t>- Net savings are $448,241, with a savings rate of 54.85%</t>
  </si>
  <si>
    <t>Key Insights</t>
  </si>
  <si>
    <t>Total</t>
  </si>
  <si>
    <t>Expense Amount</t>
  </si>
  <si>
    <t>Sub-Categories</t>
  </si>
  <si>
    <t>Categories</t>
  </si>
  <si>
    <t>Sub-Categories Amount</t>
  </si>
  <si>
    <t>Years/Months</t>
  </si>
  <si>
    <t>Monthly Amount</t>
  </si>
  <si>
    <t>Value</t>
  </si>
  <si>
    <t>What it measures</t>
  </si>
  <si>
    <t>All income transactions</t>
  </si>
  <si>
    <t>All expense transactions</t>
  </si>
  <si>
    <t>Income minus expenses</t>
  </si>
  <si>
    <t>Savings as a share of income</t>
  </si>
  <si>
    <t>Number of transactions</t>
  </si>
  <si>
    <t>Average expense transaction</t>
  </si>
  <si>
    <t>Largest expense transaction</t>
  </si>
  <si>
    <t>Distinct expense categories</t>
  </si>
  <si>
    <t>Income per $1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</si>
</sst>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\ hh:mm:ss"/>
    <numFmt numFmtId="165" formatCode="0.0%"/>
    <numFmt numFmtId="166" formatCode="_(&quot;$&quot;* #,##0_);_(&quot;$&quot;* \(#,##0\);_(&quot;$&quot;* &quot;-&quot;??_);_(@_)"/>
    <numFmt numFmtId="167" formatCode="&quot;$&quot;#,##0"/>
    <numFmt numFmtId="168" formatCode="&quot;$&quot;#,##0.00"/>
    <numFmt numFmtId="169" formatCode="_(* #,##0_);_(* \(#,##0\);_(* &quot;-&quot;??_);_(@_)"/>
    <numFmt numFmtId="176" formatCode="0.00&quot;:1&quot;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2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3" fillId="0" borderId="1" xfId="0" applyNumberFormat="1" applyFont="1" applyBorder="1"/>
    <xf numFmtId="10" fontId="3" fillId="0" borderId="1" xfId="0" applyNumberFormat="1" applyFont="1" applyBorder="1"/>
    <xf numFmtId="0" fontId="4" fillId="2" borderId="0" xfId="0" applyFont="1" applyFill="1" applyAlignment="1">
      <alignment horizontal="center"/>
    </xf>
    <xf numFmtId="0" fontId="5" fillId="0" borderId="0" xfId="0" applyFont="1"/>
    <xf numFmtId="14" fontId="0" fillId="0" borderId="0" xfId="0" applyNumberFormat="1"/>
    <xf numFmtId="167" fontId="0" fillId="0" borderId="1" xfId="0" applyNumberFormat="1" applyBorder="1"/>
    <xf numFmtId="168" fontId="0" fillId="0" borderId="0" xfId="0" applyNumberFormat="1"/>
    <xf numFmtId="0" fontId="0" fillId="2" borderId="0" xfId="0" applyFill="1"/>
    <xf numFmtId="0" fontId="6" fillId="2" borderId="0" xfId="0" applyFont="1" applyFill="1"/>
    <xf numFmtId="167" fontId="6" fillId="2" borderId="0" xfId="0" applyNumberFormat="1" applyFont="1" applyFill="1"/>
    <xf numFmtId="165" fontId="0" fillId="0" borderId="1" xfId="2" applyNumberFormat="1" applyFont="1" applyBorder="1"/>
    <xf numFmtId="0" fontId="7" fillId="2" borderId="0" xfId="0" applyFont="1" applyFill="1"/>
    <xf numFmtId="0" fontId="4" fillId="2" borderId="0" xfId="0" applyFont="1" applyFill="1"/>
    <xf numFmtId="0" fontId="6" fillId="2" borderId="3" xfId="0" applyFont="1" applyFill="1" applyBorder="1"/>
    <xf numFmtId="167" fontId="3" fillId="0" borderId="1" xfId="0" applyNumberFormat="1" applyFont="1" applyBorder="1"/>
    <xf numFmtId="167" fontId="3" fillId="0" borderId="4" xfId="0" applyNumberFormat="1" applyFont="1" applyBorder="1"/>
    <xf numFmtId="167" fontId="3" fillId="0" borderId="0" xfId="0" applyNumberFormat="1" applyFont="1"/>
    <xf numFmtId="17" fontId="3" fillId="0" borderId="0" xfId="0" applyNumberFormat="1" applyFont="1" applyAlignment="1">
      <alignment horizontal="left" indent="1"/>
    </xf>
    <xf numFmtId="10" fontId="6" fillId="2" borderId="0" xfId="2" applyNumberFormat="1" applyFont="1" applyFill="1"/>
    <xf numFmtId="0" fontId="9" fillId="0" borderId="1" xfId="0" applyFont="1" applyBorder="1" applyAlignment="1">
      <alignment horizontal="center"/>
    </xf>
    <xf numFmtId="10" fontId="9" fillId="0" borderId="1" xfId="2" applyNumberFormat="1" applyFont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8" fillId="3" borderId="0" xfId="0" quotePrefix="1" applyFont="1" applyFill="1"/>
    <xf numFmtId="0" fontId="8" fillId="3" borderId="0" xfId="0" applyFont="1" applyFill="1"/>
    <xf numFmtId="167" fontId="6" fillId="2" borderId="0" xfId="0" applyNumberFormat="1" applyFont="1" applyFill="1" applyAlignment="1"/>
    <xf numFmtId="0" fontId="6" fillId="2" borderId="0" xfId="0" applyFont="1" applyFill="1" applyAlignment="1"/>
    <xf numFmtId="168" fontId="10" fillId="4" borderId="0" xfId="1" applyNumberFormat="1" applyFont="1" applyFill="1"/>
    <xf numFmtId="0" fontId="10" fillId="4" borderId="0" xfId="0" applyFont="1" applyFill="1" applyAlignment="1">
      <alignment horizontal="right"/>
    </xf>
    <xf numFmtId="0" fontId="10" fillId="4" borderId="0" xfId="0" applyFont="1" applyFill="1"/>
    <xf numFmtId="165" fontId="10" fillId="4" borderId="0" xfId="2" applyNumberFormat="1" applyFont="1" applyFill="1"/>
    <xf numFmtId="169" fontId="10" fillId="4" borderId="0" xfId="3" applyNumberFormat="1" applyFont="1" applyFill="1"/>
    <xf numFmtId="176" fontId="9" fillId="0" borderId="1" xfId="0" applyNumberFormat="1" applyFont="1" applyBorder="1" applyAlignment="1">
      <alignment horizontal="center"/>
    </xf>
    <xf numFmtId="176" fontId="10" fillId="4" borderId="0" xfId="0" applyNumberFormat="1" applyFont="1" applyFill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303"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sz val="12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2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$&quot;#,##0"/>
    </dxf>
    <dxf>
      <font>
        <sz val="14"/>
      </font>
    </dxf>
    <dxf>
      <font>
        <sz val="14"/>
      </font>
    </dxf>
    <dxf>
      <numFmt numFmtId="167" formatCode="&quot;$&quot;#,##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sz val="12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2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$&quot;#,##0"/>
    </dxf>
    <dxf>
      <font>
        <sz val="14"/>
      </font>
    </dxf>
    <dxf>
      <font>
        <sz val="14"/>
      </font>
    </dxf>
    <dxf>
      <numFmt numFmtId="167" formatCode="&quot;$&quot;#,##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sz val="12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2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$&quot;#,##0"/>
    </dxf>
    <dxf>
      <font>
        <sz val="14"/>
      </font>
    </dxf>
    <dxf>
      <font>
        <sz val="14"/>
      </font>
    </dxf>
    <dxf>
      <numFmt numFmtId="167" formatCode="&quot;$&quot;#,##0"/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numFmt numFmtId="167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numFmt numFmtId="167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$&quot;#,##0"/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numFmt numFmtId="167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$&quot;#,##0"/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$&quot;#,##0"/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&quot;$&quot;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&quot;$&quot;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$&quot;#,##0"/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4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font>
        <b/>
        <sz val="14"/>
        <color theme="0"/>
      </font>
      <fill>
        <patternFill patternType="solid">
          <fgColor indexed="64"/>
          <bgColor theme="4"/>
        </patternFill>
      </fill>
    </dxf>
    <dxf>
      <numFmt numFmtId="167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alignment horizontal="left" vertical="bottom" textRotation="0" wrapText="0" indent="1" justifyLastLine="0" shrinkToFit="0" readingOrder="0"/>
    </dxf>
    <dxf>
      <numFmt numFmtId="167" formatCode="&quot;$&quot;#,##0"/>
    </dxf>
    <dxf>
      <font>
        <sz val="14"/>
      </font>
    </dxf>
    <dxf>
      <font>
        <sz val="14"/>
      </font>
    </dxf>
    <dxf>
      <numFmt numFmtId="167" formatCode="&quot;$&quot;#,##0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2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sz val="12"/>
        <color theme="0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[Personal_finance_Final.xlsx]Monthly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Income vs. Expenses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Analysis'!$C$3:$C$4</c:f>
              <c:strCache>
                <c:ptCount val="1"/>
                <c:pt idx="0">
                  <c:v>Expense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Analysis'!$B$5:$B$28</c:f>
              <c:multiLvlStrCache>
                <c:ptCount val="2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'Monthly Analysis'!$C$5:$C$28</c:f>
              <c:numCache>
                <c:formatCode>"$"#,##0</c:formatCode>
                <c:ptCount val="21"/>
                <c:pt idx="0">
                  <c:v>17171.990000000002</c:v>
                </c:pt>
                <c:pt idx="1">
                  <c:v>14154.300000000005</c:v>
                </c:pt>
                <c:pt idx="2">
                  <c:v>15817.19</c:v>
                </c:pt>
                <c:pt idx="3">
                  <c:v>17515.730000000003</c:v>
                </c:pt>
                <c:pt idx="4">
                  <c:v>23431.530000000013</c:v>
                </c:pt>
                <c:pt idx="5">
                  <c:v>14547.259999999998</c:v>
                </c:pt>
                <c:pt idx="6">
                  <c:v>18124.389999999992</c:v>
                </c:pt>
                <c:pt idx="7">
                  <c:v>18291.590000000004</c:v>
                </c:pt>
                <c:pt idx="8">
                  <c:v>17912.450000000004</c:v>
                </c:pt>
                <c:pt idx="9">
                  <c:v>18396.350000000006</c:v>
                </c:pt>
                <c:pt idx="10">
                  <c:v>18523.360000000015</c:v>
                </c:pt>
                <c:pt idx="11">
                  <c:v>12548.409999999998</c:v>
                </c:pt>
                <c:pt idx="12">
                  <c:v>14793.189999999995</c:v>
                </c:pt>
                <c:pt idx="13">
                  <c:v>17780.669999999995</c:v>
                </c:pt>
                <c:pt idx="14">
                  <c:v>18342.589999999997</c:v>
                </c:pt>
                <c:pt idx="15">
                  <c:v>19296.200000000004</c:v>
                </c:pt>
                <c:pt idx="16">
                  <c:v>17758.059999999994</c:v>
                </c:pt>
                <c:pt idx="17">
                  <c:v>14106.979999999996</c:v>
                </c:pt>
                <c:pt idx="18">
                  <c:v>18351.900000000005</c:v>
                </c:pt>
                <c:pt idx="19">
                  <c:v>22915.770000000008</c:v>
                </c:pt>
                <c:pt idx="20">
                  <c:v>19155.999999999996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6-4D6B-A2AF-2E48BF1BCDC1}"/>
            </c:ext>
          </c:extLst>
        </c:ser>
        <c:ser>
          <c:idx val="1"/>
          <c:order val="1"/>
          <c:tx>
            <c:strRef>
              <c:f>'Monthly Analysis'!$D$3:$D$4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Analysis'!$B$5:$B$28</c:f>
              <c:multiLvlStrCache>
                <c:ptCount val="2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'Monthly Analysis'!$D$5:$D$28</c:f>
              <c:numCache>
                <c:formatCode>"$"#,##0</c:formatCode>
                <c:ptCount val="21"/>
                <c:pt idx="0">
                  <c:v>35995.990000000005</c:v>
                </c:pt>
                <c:pt idx="1">
                  <c:v>37745.579999999994</c:v>
                </c:pt>
                <c:pt idx="2">
                  <c:v>48239.67</c:v>
                </c:pt>
                <c:pt idx="3">
                  <c:v>28728.309999999998</c:v>
                </c:pt>
                <c:pt idx="4">
                  <c:v>46689.009999999995</c:v>
                </c:pt>
                <c:pt idx="5">
                  <c:v>33246.759999999995</c:v>
                </c:pt>
                <c:pt idx="6">
                  <c:v>33853.410000000003</c:v>
                </c:pt>
                <c:pt idx="7">
                  <c:v>54924.19000000001</c:v>
                </c:pt>
                <c:pt idx="8">
                  <c:v>37130.530000000006</c:v>
                </c:pt>
                <c:pt idx="9">
                  <c:v>28369.590000000004</c:v>
                </c:pt>
                <c:pt idx="10">
                  <c:v>29201.789999999994</c:v>
                </c:pt>
                <c:pt idx="11">
                  <c:v>48831.779999999984</c:v>
                </c:pt>
                <c:pt idx="12">
                  <c:v>45934.130000000012</c:v>
                </c:pt>
                <c:pt idx="13">
                  <c:v>33306.829999999994</c:v>
                </c:pt>
                <c:pt idx="14">
                  <c:v>38487.049999999996</c:v>
                </c:pt>
                <c:pt idx="15">
                  <c:v>60915.079999999994</c:v>
                </c:pt>
                <c:pt idx="16">
                  <c:v>28961.449999999993</c:v>
                </c:pt>
                <c:pt idx="17">
                  <c:v>35508.620000000003</c:v>
                </c:pt>
                <c:pt idx="18">
                  <c:v>40168.51</c:v>
                </c:pt>
                <c:pt idx="19">
                  <c:v>40506.919999999984</c:v>
                </c:pt>
                <c:pt idx="20">
                  <c:v>30431.579999999998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6-4D6B-A2AF-2E48BF1BC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8741152"/>
        <c:axId val="968389040"/>
      </c:lineChart>
      <c:catAx>
        <c:axId val="118874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389040"/>
        <c:crosses val="autoZero"/>
        <c:auto val="1"/>
        <c:lblAlgn val="ctr"/>
        <c:lblOffset val="100"/>
        <c:noMultiLvlLbl val="0"/>
      </c:catAx>
      <c:valAx>
        <c:axId val="96838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74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[Personal_finance_Final.xlsx]Expense &amp; Income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by Sub-Category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9859139255758715"/>
          <c:y val="9.6644003447840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112749034178614"/>
          <c:y val="0.26331290561008197"/>
          <c:w val="0.53832711197580141"/>
          <c:h val="0.632694899328574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'Expense &amp; Income Analysis'!$M$8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'Expense &amp; Income Analysis'!$L$9:$L$12</c:f>
              <c:strCache>
                <c:ptCount val="3"/>
                <c:pt idx="0">
                  <c:v>Bonus</c:v>
                </c:pt>
                <c:pt idx="1">
                  <c:v>Freelance</c:v>
                </c:pt>
                <c:pt idx="2">
                  <c:v>Salary</c:v>
                </c:pt>
              </c:strCache>
            </c:strRef>
          </c:cat>
          <c:val>
            <c:numRef>
              <c:f>'Expense &amp; Income Analysis'!$M$9:$M$12</c:f>
              <c:numCache>
                <c:formatCode>"$"#,##0</c:formatCode>
                <c:ptCount val="3"/>
                <c:pt idx="0">
                  <c:v>168938.73999999996</c:v>
                </c:pt>
                <c:pt idx="1">
                  <c:v>80412.049999999988</c:v>
                </c:pt>
                <c:pt idx="2">
                  <c:v>567825.98999999976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9-455D-B1E9-E0CC11B57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6165888"/>
        <c:axId val="1483843280"/>
      </c:barChart>
      <c:catAx>
        <c:axId val="140616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43280"/>
        <c:crosses val="autoZero"/>
        <c:auto val="1"/>
        <c:lblAlgn val="ctr"/>
        <c:lblOffset val="100"/>
        <c:noMultiLvlLbl val="0"/>
      </c:catAx>
      <c:valAx>
        <c:axId val="148384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16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[Personal_finance_Final.xlsx]Expense &amp; Income Analysis!PivotTable5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Expenses by Category</a:t>
            </a:r>
            <a:endParaRPr lang="en-US"/>
          </a:p>
        </c:rich>
      </c:tx>
      <c:layout>
        <c:manualLayout>
          <c:xMode val="edge"/>
          <c:yMode val="edge"/>
          <c:x val="0.37058286953432606"/>
          <c:y val="7.47396973403319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'Expense &amp; Income Analysis'!$C$8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'Expense &amp; Income Analysis'!$B$9:$B$16</c:f>
              <c:strCache>
                <c:ptCount val="7"/>
                <c:pt idx="0">
                  <c:v>Entertainment</c:v>
                </c:pt>
                <c:pt idx="1">
                  <c:v>Food</c:v>
                </c:pt>
                <c:pt idx="2">
                  <c:v>Health</c:v>
                </c:pt>
                <c:pt idx="3">
                  <c:v>Housing</c:v>
                </c:pt>
                <c:pt idx="4">
                  <c:v>Shopping</c:v>
                </c:pt>
                <c:pt idx="5">
                  <c:v>Transport</c:v>
                </c:pt>
                <c:pt idx="6">
                  <c:v>Travel</c:v>
                </c:pt>
              </c:strCache>
            </c:strRef>
          </c:cat>
          <c:val>
            <c:numRef>
              <c:f>'Expense &amp; Income Analysis'!$C$9:$C$16</c:f>
              <c:numCache>
                <c:formatCode>"$"#,##0</c:formatCode>
                <c:ptCount val="7"/>
                <c:pt idx="0">
                  <c:v>14702.369999999997</c:v>
                </c:pt>
                <c:pt idx="1">
                  <c:v>37618.799999999996</c:v>
                </c:pt>
                <c:pt idx="2">
                  <c:v>18982.549999999985</c:v>
                </c:pt>
                <c:pt idx="3">
                  <c:v>131986.40999999997</c:v>
                </c:pt>
                <c:pt idx="4">
                  <c:v>74914.87999999999</c:v>
                </c:pt>
                <c:pt idx="5">
                  <c:v>32064.920000000009</c:v>
                </c:pt>
                <c:pt idx="6">
                  <c:v>58665.979999999996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0-44D5-B26E-C400F60EC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367"/>
        <c:axId val="1483795760"/>
      </c:barChart>
      <c:catAx>
        <c:axId val="17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95760"/>
        <c:crosses val="autoZero"/>
        <c:auto val="1"/>
        <c:lblAlgn val="ctr"/>
        <c:lblOffset val="100"/>
        <c:noMultiLvlLbl val="0"/>
      </c:catAx>
      <c:valAx>
        <c:axId val="148379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Income vs. Expenses</a:t>
            </a:r>
            <a:endParaRPr lang="en-US"/>
          </a:p>
        </c:rich>
      </c:tx>
      <c:layout>
        <c:manualLayout>
          <c:xMode val="edge"/>
          <c:yMode val="edge"/>
          <c:x val="0.35234792845032226"/>
          <c:y val="4.1666711757387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Analysis'!$AA$17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Analysis'!$Z$18:$Z$38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'Monthly Analysis'!$AA$18:$AA$38</c:f>
              <c:numCache>
                <c:formatCode>"$"#,##0</c:formatCode>
                <c:ptCount val="21"/>
                <c:pt idx="0">
                  <c:v>17171.990000000002</c:v>
                </c:pt>
                <c:pt idx="1">
                  <c:v>14154.300000000005</c:v>
                </c:pt>
                <c:pt idx="2">
                  <c:v>15817.19</c:v>
                </c:pt>
                <c:pt idx="3">
                  <c:v>17515.730000000003</c:v>
                </c:pt>
                <c:pt idx="4">
                  <c:v>23431.530000000013</c:v>
                </c:pt>
                <c:pt idx="5">
                  <c:v>14547.259999999998</c:v>
                </c:pt>
                <c:pt idx="6">
                  <c:v>18124.389999999992</c:v>
                </c:pt>
                <c:pt idx="7">
                  <c:v>18291.590000000004</c:v>
                </c:pt>
                <c:pt idx="8">
                  <c:v>17912.450000000004</c:v>
                </c:pt>
                <c:pt idx="9">
                  <c:v>18396.350000000006</c:v>
                </c:pt>
                <c:pt idx="10">
                  <c:v>18523.360000000015</c:v>
                </c:pt>
                <c:pt idx="11">
                  <c:v>12548.409999999998</c:v>
                </c:pt>
                <c:pt idx="12">
                  <c:v>14793.189999999995</c:v>
                </c:pt>
                <c:pt idx="13">
                  <c:v>17780.669999999995</c:v>
                </c:pt>
                <c:pt idx="14">
                  <c:v>18342.589999999997</c:v>
                </c:pt>
                <c:pt idx="15">
                  <c:v>19296.200000000004</c:v>
                </c:pt>
                <c:pt idx="16">
                  <c:v>17758.059999999994</c:v>
                </c:pt>
                <c:pt idx="17">
                  <c:v>14106.979999999996</c:v>
                </c:pt>
                <c:pt idx="18">
                  <c:v>18351.900000000005</c:v>
                </c:pt>
                <c:pt idx="19">
                  <c:v>22915.770000000008</c:v>
                </c:pt>
                <c:pt idx="20">
                  <c:v>19155.999999999996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5-4774-99D5-284E2FD31242}"/>
            </c:ext>
          </c:extLst>
        </c:ser>
        <c:ser>
          <c:idx val="1"/>
          <c:order val="1"/>
          <c:tx>
            <c:strRef>
              <c:f>'Monthly Analysis'!$AB$17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'Monthly Analysis'!$Z$18:$Z$38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'Monthly Analysis'!$AB$18:$AB$38</c:f>
              <c:numCache>
                <c:formatCode>"$"#,##0</c:formatCode>
                <c:ptCount val="21"/>
                <c:pt idx="0">
                  <c:v>35995.990000000005</c:v>
                </c:pt>
                <c:pt idx="1">
                  <c:v>37745.579999999994</c:v>
                </c:pt>
                <c:pt idx="2">
                  <c:v>48239.67</c:v>
                </c:pt>
                <c:pt idx="3">
                  <c:v>28728.309999999998</c:v>
                </c:pt>
                <c:pt idx="4">
                  <c:v>46689.009999999995</c:v>
                </c:pt>
                <c:pt idx="5">
                  <c:v>33246.759999999995</c:v>
                </c:pt>
                <c:pt idx="6">
                  <c:v>33853.410000000003</c:v>
                </c:pt>
                <c:pt idx="7">
                  <c:v>54924.19000000001</c:v>
                </c:pt>
                <c:pt idx="8">
                  <c:v>37130.530000000006</c:v>
                </c:pt>
                <c:pt idx="9">
                  <c:v>28369.590000000004</c:v>
                </c:pt>
                <c:pt idx="10">
                  <c:v>29201.789999999994</c:v>
                </c:pt>
                <c:pt idx="11">
                  <c:v>48831.779999999984</c:v>
                </c:pt>
                <c:pt idx="12">
                  <c:v>45934.130000000012</c:v>
                </c:pt>
                <c:pt idx="13">
                  <c:v>33306.829999999994</c:v>
                </c:pt>
                <c:pt idx="14">
                  <c:v>38487.049999999996</c:v>
                </c:pt>
                <c:pt idx="15">
                  <c:v>60915.079999999994</c:v>
                </c:pt>
                <c:pt idx="16">
                  <c:v>28961.449999999993</c:v>
                </c:pt>
                <c:pt idx="17">
                  <c:v>35508.620000000003</c:v>
                </c:pt>
                <c:pt idx="18">
                  <c:v>40168.51</c:v>
                </c:pt>
                <c:pt idx="19">
                  <c:v>40506.919999999984</c:v>
                </c:pt>
                <c:pt idx="20">
                  <c:v>30431.579999999998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5-4774-99D5-284E2FD31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388767"/>
        <c:axId val="1483821680"/>
      </c:lineChart>
      <c:dateAx>
        <c:axId val="5043887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21680"/>
        <c:crosses val="autoZero"/>
        <c:auto val="1"/>
        <c:lblOffset val="100"/>
        <c:baseTimeUnit val="months"/>
      </c:dateAx>
      <c:valAx>
        <c:axId val="14838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8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Expenses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'Expense &amp; Income Analysis'!$BC$24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'Expense &amp; Income Analysis'!$BB$25:$BB$31</c:f>
              <c:strCache>
                <c:ptCount val="7"/>
                <c:pt idx="0">
                  <c:v>Entertainment</c:v>
                </c:pt>
                <c:pt idx="1">
                  <c:v>Health</c:v>
                </c:pt>
                <c:pt idx="2">
                  <c:v>Transport</c:v>
                </c:pt>
                <c:pt idx="3">
                  <c:v>Food</c:v>
                </c:pt>
                <c:pt idx="4">
                  <c:v>Travel</c:v>
                </c:pt>
                <c:pt idx="5">
                  <c:v>Shopping</c:v>
                </c:pt>
                <c:pt idx="6">
                  <c:v>Housing</c:v>
                </c:pt>
              </c:strCache>
            </c:strRef>
          </c:cat>
          <c:val>
            <c:numRef>
              <c:f>'Expense &amp; Income Analysis'!$BC$25:$BC$31</c:f>
              <c:numCache>
                <c:formatCode>"$"#,##0</c:formatCode>
                <c:ptCount val="7"/>
                <c:pt idx="0">
                  <c:v>14702.369999999997</c:v>
                </c:pt>
                <c:pt idx="1">
                  <c:v>18982.549999999985</c:v>
                </c:pt>
                <c:pt idx="2">
                  <c:v>32064.920000000009</c:v>
                </c:pt>
                <c:pt idx="3">
                  <c:v>37618.799999999996</c:v>
                </c:pt>
                <c:pt idx="4">
                  <c:v>58665.979999999996</c:v>
                </c:pt>
                <c:pt idx="5">
                  <c:v>74914.87999999999</c:v>
                </c:pt>
                <c:pt idx="6">
                  <c:v>131986.40999999997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4-4DB1-9927-E19C96E48B63}"/>
            </c:ext>
          </c:extLst>
        </c:ser>
        <c:ser>
          <c:idx val="1"/>
          <c:order val="1"/>
          <c:tx>
            <c:strRef>
              <c:f>'Expense &amp; Income Analysis'!$BD$24</c:f>
              <c:strCache>
                <c:ptCount val="1"/>
                <c:pt idx="0">
                  <c:v>Expense Share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'Expense &amp; Income Analysis'!$BB$25:$BB$31</c:f>
              <c:strCache>
                <c:ptCount val="7"/>
                <c:pt idx="0">
                  <c:v>Entertainment</c:v>
                </c:pt>
                <c:pt idx="1">
                  <c:v>Health</c:v>
                </c:pt>
                <c:pt idx="2">
                  <c:v>Transport</c:v>
                </c:pt>
                <c:pt idx="3">
                  <c:v>Food</c:v>
                </c:pt>
                <c:pt idx="4">
                  <c:v>Travel</c:v>
                </c:pt>
                <c:pt idx="5">
                  <c:v>Shopping</c:v>
                </c:pt>
                <c:pt idx="6">
                  <c:v>Housing</c:v>
                </c:pt>
              </c:strCache>
            </c:strRef>
          </c:cat>
          <c:val>
            <c:numRef>
              <c:f>'Expense &amp; Income Analysis'!$BD$25:$BD$31</c:f>
              <c:numCache>
                <c:formatCode>0.0%</c:formatCode>
                <c:ptCount val="7"/>
                <c:pt idx="0">
                  <c:v>3.9850742639825978E-2</c:v>
                </c:pt>
                <c:pt idx="1">
                  <c:v>5.1452161433675536E-2</c:v>
                </c:pt>
                <c:pt idx="2">
                  <c:v>8.6911897516292233E-2</c:v>
                </c:pt>
                <c:pt idx="3">
                  <c:v>0.10196567745330078</c:v>
                </c:pt>
                <c:pt idx="4">
                  <c:v>0.15901401411426719</c:v>
                </c:pt>
                <c:pt idx="5">
                  <c:v>0.20305662303243946</c:v>
                </c:pt>
                <c:pt idx="6">
                  <c:v>0.35774888381019893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4-4DB1-9927-E19C96E48B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4470431"/>
        <c:axId val="1483834640"/>
      </c:barChart>
      <c:catAx>
        <c:axId val="50447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34640"/>
        <c:crossesAt val="0"/>
        <c:auto val="1"/>
        <c:lblAlgn val="ctr"/>
        <c:lblOffset val="100"/>
        <c:noMultiLvlLbl val="0"/>
      </c:catAx>
      <c:valAx>
        <c:axId val="1483834640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47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Income by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'Expense &amp; Income Analysis'!$BC$14</c:f>
              <c:strCache>
                <c:ptCount val="1"/>
                <c:pt idx="0">
                  <c:v>Sum of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7F-4DB4-B073-B840EE276B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7F-4DB4-B073-B840EE276B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7F-4DB4-B073-B840EE276B67}"/>
              </c:ext>
            </c:extLst>
          </c:dPt>
          <c:dLbls>
            <c:dLbl>
              <c:idx val="0"/>
              <c:layout>
                <c:manualLayout>
                  <c:x val="-9.3845694404461527E-2"/>
                  <c:y val="0.1630177986757546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39137864855862"/>
                      <c:h val="9.07087516557960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87F-4DB4-B073-B840EE276B67}"/>
                </c:ext>
              </c:extLst>
            </c:dLbl>
            <c:dLbl>
              <c:idx val="1"/>
              <c:layout>
                <c:manualLayout>
                  <c:x val="-0.12078012840359513"/>
                  <c:y val="-1.5624035122830955E-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7F-4DB4-B073-B840EE276B67}"/>
                </c:ext>
              </c:extLst>
            </c:dLbl>
            <c:dLbl>
              <c:idx val="2"/>
              <c:layout>
                <c:manualLayout>
                  <c:x val="0.27903929907341779"/>
                  <c:y val="-0.150909455244455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54751499958231"/>
                      <c:h val="4.40473790185080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87F-4DB4-B073-B840EE276B6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'Expense &amp; Income Analysis'!$BB$15:$BB$17</c:f>
              <c:strCache>
                <c:ptCount val="3"/>
                <c:pt idx="0">
                  <c:v>Bonus</c:v>
                </c:pt>
                <c:pt idx="1">
                  <c:v>Freelance</c:v>
                </c:pt>
                <c:pt idx="2">
                  <c:v>Salary</c:v>
                </c:pt>
              </c:strCache>
            </c:strRef>
          </c:cat>
          <c:val>
            <c:numRef>
              <c:f>'Expense &amp; Income Analysis'!$BC$15:$BC$17</c:f>
              <c:numCache>
                <c:formatCode>"$"#,##0</c:formatCode>
                <c:ptCount val="3"/>
                <c:pt idx="0">
                  <c:v>168938.73999999996</c:v>
                </c:pt>
                <c:pt idx="1">
                  <c:v>80412.049999999988</c:v>
                </c:pt>
                <c:pt idx="2">
                  <c:v>567825.98999999976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7F-4DB4-B073-B840EE276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'Expense &amp; Income Analysis'!$BD$14</c15:sqref>
                        </c15:formulaRef>
                      </c:ext>
                    </c:extLst>
                    <c:strCache>
                      <c:ptCount val="1"/>
                      <c:pt idx="0">
                        <c:v>Income Share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D87F-4DB4-B073-B840EE276B6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D87F-4DB4-B073-B840EE276B6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D87F-4DB4-B073-B840EE276B67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'Expense &amp; Income Analysis'!$BB$15:$BB$17</c15:sqref>
                        </c15:formulaRef>
                      </c:ext>
                    </c:extLst>
                    <c:strCache>
                      <c:ptCount val="3"/>
                      <c:pt idx="0">
                        <c:v>Bonus</c:v>
                      </c:pt>
                      <c:pt idx="1">
                        <c:v>Freelance</c:v>
                      </c:pt>
                      <c:pt idx="2">
                        <c:v>Salary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'Expense &amp; Income Analysis'!$BD$15:$BD$17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0.20673463090813721</c:v>
                      </c:pt>
                      <c:pt idx="1">
                        <c:v>9.8402269824651681E-2</c:v>
                      </c:pt>
                      <c:pt idx="2">
                        <c:v>0.69486309926721113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D87F-4DB4-B073-B840EE276B6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1465</xdr:colOff>
      <xdr:row>11</xdr:row>
      <xdr:rowOff>4884</xdr:rowOff>
    </xdr:from>
    <xdr:to>
      <xdr:col>8</xdr:col>
      <xdr:colOff>6716346</xdr:colOff>
      <xdr:row>31</xdr:row>
      <xdr:rowOff>170961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FA57DD-A9A1-EF53-02B8-190CF97EF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15</xdr:row>
      <xdr:rowOff>236482</xdr:rowOff>
    </xdr:from>
    <xdr:to>
      <xdr:col>17</xdr:col>
      <xdr:colOff>1</xdr:colOff>
      <xdr:row>31</xdr:row>
      <xdr:rowOff>232103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5F4FD4-16F4-2C98-64D8-8ED73F82A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7</xdr:col>
      <xdr:colOff>13138</xdr:colOff>
      <xdr:row>38</xdr:row>
      <xdr:rowOff>175173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53FEEB-9442-403C-8149-F2D2295D2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</xdr:rowOff>
    </xdr:from>
    <xdr:to>
      <xdr:col>4</xdr:col>
      <xdr:colOff>0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6FE062-8EAC-4E3A-83E9-6C9402945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11</xdr:col>
      <xdr:colOff>273326</xdr:colOff>
      <xdr:row>30</xdr:row>
      <xdr:rowOff>184149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61679E1-74A9-4FC9-9AFA-5F1619C20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1123950</xdr:colOff>
      <xdr:row>9</xdr:row>
      <xdr:rowOff>19050</xdr:rowOff>
    </xdr:from>
    <xdr:to>
      <xdr:col>17</xdr:col>
      <xdr:colOff>607391</xdr:colOff>
      <xdr:row>30</xdr:row>
      <xdr:rowOff>184149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D6A050-FE27-4FAD-8D5C-8C7273B31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ás santos" refreshedDate="46311.729189699072" createdVersion="8" refreshedVersion="8" minRefreshableVersion="3" recordCount="3500" xr:uid="{41D83AC5-72AE-4898-825C-1BA8777D9C25}">
  <cacheSource type="worksheet">
    <worksheetSource name="raw_table_"/>
  </cacheSource>
  <cacheFields count="13">
    <cacheField name="Transaction ID" numFmtId="0">
      <sharedItems/>
    </cacheField>
    <cacheField name="Date" numFmtId="14">
      <sharedItems containsSemiMixedTypes="0" containsNonDate="0" containsDate="1" containsString="0" minDate="2025-01-01T00:00:00" maxDate="2026-10-01T00:00:00" count="634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  <fieldGroup par="12"/>
    </cacheField>
    <cacheField name="Description" numFmtId="0">
      <sharedItems count="93">
        <s v="Lidl - Restaurants"/>
        <s v="EDEKA - Restaurants"/>
        <s v="Lidl - Groceries"/>
        <s v="Spotify - Streaming"/>
        <s v="Zalando - Household"/>
        <s v="Amazon - Clothing"/>
        <s v="McDonald's - Groceries"/>
        <s v="Local Restaurant - Restaurants"/>
        <s v="McDonald's - Takeaway"/>
        <s v="Employer Bonus - Bonus"/>
        <s v="Landlord - Internet"/>
        <s v="Freelance Client - Freelance"/>
        <s v="Lufthansa - Flights"/>
        <s v="Freelance Client - Salary"/>
        <s v="REWE - Restaurants"/>
        <s v="Auto Service - Public Transport"/>
        <s v="Employer - Salary"/>
        <s v="Auto Service - Car Maintenance"/>
        <s v="Netflix - Games"/>
        <s v="Gym - Doctor"/>
        <s v="Amazon - Household"/>
        <s v="EDEKA - Groceries"/>
        <s v="Zalando - Clothing"/>
        <s v="Shell - Fuel"/>
        <s v="MediaMarkt - Electronics"/>
        <s v="McDonald's - Restaurants"/>
        <s v="Local Restaurant - Groceries"/>
        <s v="Hotel - Flights"/>
        <s v="Pharmacy - Doctor"/>
        <s v="REWE - Groceries"/>
        <s v="DB - Public Transport"/>
        <s v="Employer - Bonus"/>
        <s v="Cinema - Streaming"/>
        <s v="Amazon - Electronics"/>
        <s v="Local Restaurant - Takeaway"/>
        <s v="Steam - Games"/>
        <s v="Aral - Fuel"/>
        <s v="Shell - Car Maintenance"/>
        <s v="Vodafone - Internet"/>
        <s v="Doctor - Doctor"/>
        <s v="DB - Car Maintenance"/>
        <s v="Employer Bonus - Salary"/>
        <s v="Local Transit - Fuel"/>
        <s v="Landlord - Rent"/>
        <s v="Zalando - Electronics"/>
        <s v="Local Transit - Car Maintenance"/>
        <s v="Gym - Pharmacy"/>
        <s v="Landlord - Utilities"/>
        <s v="EDEKA - Takeaway"/>
        <s v="Spotify - Games"/>
        <s v="Energy Provider - Rent"/>
        <s v="DB - Fuel"/>
        <s v="Local Transit - Public Transport"/>
        <s v="Energy Provider - Utilities"/>
        <s v="Lidl - Takeaway"/>
        <s v="Employer Bonus - Freelance"/>
        <s v="Lufthansa - Hotels"/>
        <s v="IKEA - Household"/>
        <s v="Doctor - Fitness"/>
        <s v="Aral - Public Transport"/>
        <s v="Spotify - Cinema"/>
        <s v="Steam - Streaming"/>
        <s v="IKEA - Clothing"/>
        <s v="Vodafone - Utilities"/>
        <s v="Pharmacy - Fitness"/>
        <s v="Netflix - Streaming"/>
        <s v="MediaMarkt - Household"/>
        <s v="Freelance Client - Bonus"/>
        <s v="MediaMarkt - Clothing"/>
        <s v="Booking.com - Travel Activities"/>
        <s v="Pharmacy - Pharmacy"/>
        <s v="Vodafone - Rent"/>
        <s v="Employer - Freelance"/>
        <s v="Aral - Car Maintenance"/>
        <s v="Cinema - Games"/>
        <s v="Energy Provider - Internet"/>
        <s v="Netflix - Cinema"/>
        <s v="Steam - Cinema"/>
        <s v="Auto Service - Fuel"/>
        <s v="Travel Agency - Travel Activities"/>
        <s v="Cinema - Cinema"/>
        <s v="REWE - Takeaway"/>
        <s v="Doctor - Pharmacy"/>
        <s v="Travel Agency - Flights"/>
        <s v="Gym - Fitness"/>
        <s v="IKEA - Electronics"/>
        <s v="Booking.com - Flights"/>
        <s v="Booking.com - Hotels"/>
        <s v="Shell - Public Transport"/>
        <s v="Lufthansa - Travel Activities"/>
        <s v="Hotel - Hotels"/>
        <s v="Hotel - Travel Activities"/>
        <s v="Travel Agency - Hotels"/>
      </sharedItems>
    </cacheField>
    <cacheField name="Category" numFmtId="0">
      <sharedItems count="8">
        <s v="Food"/>
        <s v="Entertainment"/>
        <s v="Shopping"/>
        <s v="Income"/>
        <s v="Housing"/>
        <s v="Travel"/>
        <s v="Transport"/>
        <s v="Health"/>
      </sharedItems>
    </cacheField>
    <cacheField name="Subcategory" numFmtId="0">
      <sharedItems count="24">
        <s v="Restaurants"/>
        <s v="Groceries"/>
        <s v="Streaming"/>
        <s v="Household"/>
        <s v="Clothing"/>
        <s v="Takeaway"/>
        <s v="Bonus"/>
        <s v="Internet"/>
        <s v="Freelance"/>
        <s v="Flights"/>
        <s v="Salary"/>
        <s v="Public Transport"/>
        <s v="Car Maintenance"/>
        <s v="Games"/>
        <s v="Doctor"/>
        <s v="Fuel"/>
        <s v="Electronics"/>
        <s v="Rent"/>
        <s v="Pharmacy"/>
        <s v="Utilities"/>
        <s v="Hotels"/>
        <s v="Fitness"/>
        <s v="Cinema"/>
        <s v="Travel Activities"/>
      </sharedItems>
    </cacheField>
    <cacheField name="Type" numFmtId="0">
      <sharedItems count="2">
        <s v="Expense"/>
        <s v="Income"/>
      </sharedItems>
    </cacheField>
    <cacheField name="Amount" numFmtId="0">
      <sharedItems containsSemiMixedTypes="0" containsString="0" containsNumber="1" minValue="5" maxValue="3091.41"/>
    </cacheField>
    <cacheField name="Account" numFmtId="0">
      <sharedItems/>
    </cacheField>
    <cacheField name="Payment Method" numFmtId="0">
      <sharedItems/>
    </cacheField>
    <cacheField name="Merchant" numFmtId="0">
      <sharedItems/>
    </cacheField>
    <cacheField name="Months (Date)" numFmtId="0" databaseField="0">
      <fieldGroup base="1">
        <rangePr groupBy="months" startDate="2025-01-01T00:00:00" endDate="2026-10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/2026"/>
        </groupItems>
      </fieldGroup>
    </cacheField>
    <cacheField name="Quarters (Date)" numFmtId="0" databaseField="0">
      <fieldGroup base="1">
        <rangePr groupBy="quarters" startDate="2025-01-01T00:00:00" endDate="2026-10-01T00:00:00"/>
        <groupItems count="6">
          <s v="&lt;1/1/2025"/>
          <s v="Qtr1"/>
          <s v="Qtr2"/>
          <s v="Qtr3"/>
          <s v="Qtr4"/>
          <s v="&gt;10/1/2026"/>
        </groupItems>
      </fieldGroup>
    </cacheField>
    <cacheField name="Years (Date)" numFmtId="0" databaseField="0">
      <fieldGroup base="1">
        <rangePr groupBy="years" startDate="2025-01-01T00:00:00" endDate="2026-10-01T00:00:00"/>
        <groupItems count="4">
          <s v="&lt;1/1/2025"/>
          <s v="2025"/>
          <s v="2026"/>
          <s v="&gt;10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s v="TXN103021"/>
    <x v="0"/>
    <x v="0"/>
    <x v="0"/>
    <x v="0"/>
    <x v="0"/>
    <n v="28.24"/>
    <s v="Main Bank"/>
    <s v="Direct Debit"/>
    <s v="Lidl"/>
  </r>
  <r>
    <s v="TXN102377"/>
    <x v="0"/>
    <x v="1"/>
    <x v="0"/>
    <x v="0"/>
    <x v="0"/>
    <n v="88.87"/>
    <s v="Revolut"/>
    <s v="Debit Card"/>
    <s v="EDEKA"/>
  </r>
  <r>
    <s v="TXN102040"/>
    <x v="0"/>
    <x v="2"/>
    <x v="0"/>
    <x v="1"/>
    <x v="0"/>
    <n v="43.48"/>
    <s v="Revolut"/>
    <s v="Debit Card"/>
    <s v="Lidl"/>
  </r>
  <r>
    <s v="TXN101552"/>
    <x v="0"/>
    <x v="3"/>
    <x v="1"/>
    <x v="2"/>
    <x v="0"/>
    <n v="16.27"/>
    <s v="Main Bank"/>
    <s v="Debit Card"/>
    <s v="Spotify"/>
  </r>
  <r>
    <s v="TXN102049"/>
    <x v="0"/>
    <x v="4"/>
    <x v="2"/>
    <x v="3"/>
    <x v="0"/>
    <n v="227.62"/>
    <s v="Main Bank"/>
    <s v="Bank Transfer"/>
    <s v="Zalando"/>
  </r>
  <r>
    <s v="TXN102938"/>
    <x v="0"/>
    <x v="5"/>
    <x v="2"/>
    <x v="4"/>
    <x v="0"/>
    <n v="149.75"/>
    <s v="Main Bank"/>
    <s v="Direct Debit"/>
    <s v="Amazon"/>
  </r>
  <r>
    <s v="TXN102814"/>
    <x v="0"/>
    <x v="6"/>
    <x v="0"/>
    <x v="1"/>
    <x v="0"/>
    <n v="28.1"/>
    <s v="Revolut"/>
    <s v="Debit Card"/>
    <s v="McDonald's"/>
  </r>
  <r>
    <s v="TXN100601"/>
    <x v="1"/>
    <x v="7"/>
    <x v="0"/>
    <x v="0"/>
    <x v="0"/>
    <n v="34.53"/>
    <s v="Main Bank"/>
    <s v="Credit Card"/>
    <s v="Local Restaurant"/>
  </r>
  <r>
    <s v="TXN101261"/>
    <x v="1"/>
    <x v="8"/>
    <x v="0"/>
    <x v="5"/>
    <x v="0"/>
    <n v="52.53"/>
    <s v="Main Bank"/>
    <s v="Credit Card"/>
    <s v="McDonald's"/>
  </r>
  <r>
    <s v="TXN100428"/>
    <x v="1"/>
    <x v="9"/>
    <x v="3"/>
    <x v="6"/>
    <x v="1"/>
    <n v="736.64"/>
    <s v="Main Bank"/>
    <s v="Bank Transfer"/>
    <s v="Employer Bonus"/>
  </r>
  <r>
    <s v="TXN100926"/>
    <x v="1"/>
    <x v="10"/>
    <x v="4"/>
    <x v="7"/>
    <x v="0"/>
    <n v="129.87"/>
    <s v="Revolut"/>
    <s v="Debit Card"/>
    <s v="Landlord"/>
  </r>
  <r>
    <s v="TXN100575"/>
    <x v="1"/>
    <x v="11"/>
    <x v="3"/>
    <x v="8"/>
    <x v="1"/>
    <n v="377.48"/>
    <s v="Main Bank"/>
    <s v="Bank Transfer"/>
    <s v="Freelance Client"/>
  </r>
  <r>
    <s v="TXN102291"/>
    <x v="1"/>
    <x v="3"/>
    <x v="1"/>
    <x v="2"/>
    <x v="0"/>
    <n v="16.239999999999998"/>
    <s v="Main Bank"/>
    <s v="Debit Card"/>
    <s v="Spotify"/>
  </r>
  <r>
    <s v="TXN100432"/>
    <x v="2"/>
    <x v="12"/>
    <x v="5"/>
    <x v="9"/>
    <x v="0"/>
    <n v="262.83"/>
    <s v="Main Bank"/>
    <s v="Credit Card"/>
    <s v="Lufthansa"/>
  </r>
  <r>
    <s v="TXN100179"/>
    <x v="2"/>
    <x v="13"/>
    <x v="3"/>
    <x v="10"/>
    <x v="1"/>
    <n v="2188.7800000000002"/>
    <s v="Main Bank"/>
    <s v="Debit Card"/>
    <s v="Freelance Client"/>
  </r>
  <r>
    <s v="TXN102175"/>
    <x v="2"/>
    <x v="14"/>
    <x v="0"/>
    <x v="0"/>
    <x v="0"/>
    <n v="38.93"/>
    <s v="Revolut"/>
    <s v="Debit Card"/>
    <s v="REWE"/>
  </r>
  <r>
    <s v="TXN101968"/>
    <x v="2"/>
    <x v="15"/>
    <x v="6"/>
    <x v="11"/>
    <x v="0"/>
    <n v="52.01"/>
    <s v="Main Bank"/>
    <s v="Bank Transfer"/>
    <s v="Auto Service"/>
  </r>
  <r>
    <s v="TXN101507"/>
    <x v="2"/>
    <x v="5"/>
    <x v="2"/>
    <x v="4"/>
    <x v="0"/>
    <n v="297.41000000000003"/>
    <s v="Revolut"/>
    <s v="Cash"/>
    <s v="Amazon"/>
  </r>
  <r>
    <s v="TXN102376"/>
    <x v="3"/>
    <x v="7"/>
    <x v="0"/>
    <x v="0"/>
    <x v="0"/>
    <n v="31.2"/>
    <s v="Main Bank"/>
    <s v="Bank Transfer"/>
    <s v="Local Restaurant"/>
  </r>
  <r>
    <s v="TXN101418"/>
    <x v="3"/>
    <x v="14"/>
    <x v="0"/>
    <x v="0"/>
    <x v="0"/>
    <n v="25.67"/>
    <s v="Main Bank"/>
    <s v="Credit Card"/>
    <s v="REWE"/>
  </r>
  <r>
    <s v="TXN101559"/>
    <x v="4"/>
    <x v="16"/>
    <x v="3"/>
    <x v="10"/>
    <x v="1"/>
    <n v="2295.4899999999998"/>
    <s v="Main Bank"/>
    <s v="Bank Transfer"/>
    <s v="Employer"/>
  </r>
  <r>
    <s v="TXN103279"/>
    <x v="4"/>
    <x v="17"/>
    <x v="6"/>
    <x v="12"/>
    <x v="0"/>
    <n v="50.96"/>
    <s v="Revolut"/>
    <s v="Credit Card"/>
    <s v="Auto Service"/>
  </r>
  <r>
    <s v="TXN103366"/>
    <x v="5"/>
    <x v="18"/>
    <x v="1"/>
    <x v="13"/>
    <x v="0"/>
    <n v="62.95"/>
    <s v="Revolut"/>
    <s v="Bank Transfer"/>
    <s v="Netflix"/>
  </r>
  <r>
    <s v="TXN101200"/>
    <x v="5"/>
    <x v="14"/>
    <x v="0"/>
    <x v="0"/>
    <x v="0"/>
    <n v="96.4"/>
    <s v="Savings"/>
    <s v="Direct Debit"/>
    <s v="REWE"/>
  </r>
  <r>
    <s v="TXN100236"/>
    <x v="5"/>
    <x v="19"/>
    <x v="7"/>
    <x v="14"/>
    <x v="0"/>
    <n v="98.11"/>
    <s v="Main Bank"/>
    <s v="Bank Transfer"/>
    <s v="Gym"/>
  </r>
  <r>
    <s v="TXN100748"/>
    <x v="5"/>
    <x v="5"/>
    <x v="2"/>
    <x v="4"/>
    <x v="0"/>
    <n v="296.97000000000003"/>
    <s v="Revolut"/>
    <s v="Bank Transfer"/>
    <s v="Amazon"/>
  </r>
  <r>
    <s v="TXN100145"/>
    <x v="5"/>
    <x v="8"/>
    <x v="0"/>
    <x v="5"/>
    <x v="0"/>
    <n v="23.7"/>
    <s v="Main Bank"/>
    <s v="Credit Card"/>
    <s v="McDonald's"/>
  </r>
  <r>
    <s v="TXN103468"/>
    <x v="5"/>
    <x v="18"/>
    <x v="1"/>
    <x v="13"/>
    <x v="0"/>
    <n v="24.53"/>
    <s v="Main Bank"/>
    <s v="Direct Debit"/>
    <s v="Netflix"/>
  </r>
  <r>
    <s v="TXN102030"/>
    <x v="6"/>
    <x v="3"/>
    <x v="1"/>
    <x v="2"/>
    <x v="0"/>
    <n v="19.22"/>
    <s v="Main Bank"/>
    <s v="Cash"/>
    <s v="Spotify"/>
  </r>
  <r>
    <s v="TXN102497"/>
    <x v="6"/>
    <x v="20"/>
    <x v="2"/>
    <x v="3"/>
    <x v="0"/>
    <n v="66.91"/>
    <s v="Revolut"/>
    <s v="Credit Card"/>
    <s v="Amazon"/>
  </r>
  <r>
    <s v="TXN100682"/>
    <x v="6"/>
    <x v="21"/>
    <x v="0"/>
    <x v="1"/>
    <x v="0"/>
    <n v="35.270000000000003"/>
    <s v="Savings"/>
    <s v="Debit Card"/>
    <s v="EDEKA"/>
  </r>
  <r>
    <s v="TXN101932"/>
    <x v="6"/>
    <x v="22"/>
    <x v="2"/>
    <x v="4"/>
    <x v="0"/>
    <n v="165.92"/>
    <s v="Main Bank"/>
    <s v="Credit Card"/>
    <s v="Zalando"/>
  </r>
  <r>
    <s v="TXN102115"/>
    <x v="7"/>
    <x v="3"/>
    <x v="1"/>
    <x v="2"/>
    <x v="0"/>
    <n v="29.28"/>
    <s v="Revolut"/>
    <s v="Credit Card"/>
    <s v="Spotify"/>
  </r>
  <r>
    <s v="TXN101558"/>
    <x v="7"/>
    <x v="23"/>
    <x v="6"/>
    <x v="15"/>
    <x v="0"/>
    <n v="60.49"/>
    <s v="Main Bank"/>
    <s v="Direct Debit"/>
    <s v="Shell"/>
  </r>
  <r>
    <s v="TXN103462"/>
    <x v="7"/>
    <x v="2"/>
    <x v="0"/>
    <x v="1"/>
    <x v="0"/>
    <n v="46.67"/>
    <s v="Main Bank"/>
    <s v="Direct Debit"/>
    <s v="Lidl"/>
  </r>
  <r>
    <s v="TXN100904"/>
    <x v="7"/>
    <x v="24"/>
    <x v="2"/>
    <x v="16"/>
    <x v="0"/>
    <n v="235.05"/>
    <s v="Savings"/>
    <s v="Debit Card"/>
    <s v="MediaMarkt"/>
  </r>
  <r>
    <s v="TXN103050"/>
    <x v="7"/>
    <x v="25"/>
    <x v="0"/>
    <x v="0"/>
    <x v="0"/>
    <n v="40.450000000000003"/>
    <s v="Savings"/>
    <s v="Cash"/>
    <s v="McDonald's"/>
  </r>
  <r>
    <s v="TXN103243"/>
    <x v="7"/>
    <x v="4"/>
    <x v="2"/>
    <x v="3"/>
    <x v="0"/>
    <n v="153.05000000000001"/>
    <s v="Savings"/>
    <s v="Bank Transfer"/>
    <s v="Zalando"/>
  </r>
  <r>
    <s v="TXN102321"/>
    <x v="7"/>
    <x v="13"/>
    <x v="3"/>
    <x v="10"/>
    <x v="1"/>
    <n v="1809.07"/>
    <s v="Revolut"/>
    <s v="Credit Card"/>
    <s v="Freelance Client"/>
  </r>
  <r>
    <s v="TXN100769"/>
    <x v="8"/>
    <x v="17"/>
    <x v="6"/>
    <x v="12"/>
    <x v="0"/>
    <n v="66.069999999999993"/>
    <s v="Main Bank"/>
    <s v="Bank Transfer"/>
    <s v="Auto Service"/>
  </r>
  <r>
    <s v="TXN101482"/>
    <x v="8"/>
    <x v="26"/>
    <x v="0"/>
    <x v="1"/>
    <x v="0"/>
    <n v="26.36"/>
    <s v="Main Bank"/>
    <s v="Debit Card"/>
    <s v="Local Restaurant"/>
  </r>
  <r>
    <s v="TXN103421"/>
    <x v="8"/>
    <x v="27"/>
    <x v="5"/>
    <x v="9"/>
    <x v="0"/>
    <n v="150.62"/>
    <s v="Main Bank"/>
    <s v="Direct Debit"/>
    <s v="Hotel"/>
  </r>
  <r>
    <s v="TXN101533"/>
    <x v="9"/>
    <x v="28"/>
    <x v="7"/>
    <x v="14"/>
    <x v="0"/>
    <n v="26.66"/>
    <s v="Main Bank"/>
    <s v="Bank Transfer"/>
    <s v="Pharmacy"/>
  </r>
  <r>
    <s v="TXN100755"/>
    <x v="9"/>
    <x v="29"/>
    <x v="0"/>
    <x v="1"/>
    <x v="0"/>
    <n v="69.569999999999993"/>
    <s v="Revolut"/>
    <s v="Direct Debit"/>
    <s v="REWE"/>
  </r>
  <r>
    <s v="TXN102981"/>
    <x v="9"/>
    <x v="30"/>
    <x v="6"/>
    <x v="11"/>
    <x v="0"/>
    <n v="36.92"/>
    <s v="Revolut"/>
    <s v="Direct Debit"/>
    <s v="DB"/>
  </r>
  <r>
    <s v="TXN103097"/>
    <x v="9"/>
    <x v="31"/>
    <x v="3"/>
    <x v="6"/>
    <x v="1"/>
    <n v="826.05"/>
    <s v="Savings"/>
    <s v="Cash"/>
    <s v="Employer"/>
  </r>
  <r>
    <s v="TXN101703"/>
    <x v="9"/>
    <x v="6"/>
    <x v="0"/>
    <x v="1"/>
    <x v="0"/>
    <n v="62.57"/>
    <s v="Savings"/>
    <s v="Credit Card"/>
    <s v="McDonald's"/>
  </r>
  <r>
    <s v="TXN102769"/>
    <x v="9"/>
    <x v="24"/>
    <x v="2"/>
    <x v="16"/>
    <x v="0"/>
    <n v="259.51"/>
    <s v="Main Bank"/>
    <s v="Bank Transfer"/>
    <s v="MediaMarkt"/>
  </r>
  <r>
    <s v="TXN102123"/>
    <x v="9"/>
    <x v="13"/>
    <x v="3"/>
    <x v="10"/>
    <x v="1"/>
    <n v="2485.25"/>
    <s v="Main Bank"/>
    <s v="Debit Card"/>
    <s v="Freelance Client"/>
  </r>
  <r>
    <s v="TXN101553"/>
    <x v="10"/>
    <x v="16"/>
    <x v="3"/>
    <x v="10"/>
    <x v="1"/>
    <n v="2341.54"/>
    <s v="Main Bank"/>
    <s v="Bank Transfer"/>
    <s v="Employer"/>
  </r>
  <r>
    <s v="TXN102173"/>
    <x v="10"/>
    <x v="25"/>
    <x v="0"/>
    <x v="0"/>
    <x v="0"/>
    <n v="61.43"/>
    <s v="Main Bank"/>
    <s v="Direct Debit"/>
    <s v="McDonald's"/>
  </r>
  <r>
    <s v="TXN102329"/>
    <x v="10"/>
    <x v="32"/>
    <x v="1"/>
    <x v="2"/>
    <x v="0"/>
    <n v="75.489999999999995"/>
    <s v="Main Bank"/>
    <s v="Bank Transfer"/>
    <s v="Cinema"/>
  </r>
  <r>
    <s v="TXN103134"/>
    <x v="11"/>
    <x v="33"/>
    <x v="2"/>
    <x v="16"/>
    <x v="0"/>
    <n v="221.92"/>
    <s v="Main Bank"/>
    <s v="Debit Card"/>
    <s v="Amazon"/>
  </r>
  <r>
    <s v="TXN100976"/>
    <x v="11"/>
    <x v="34"/>
    <x v="0"/>
    <x v="5"/>
    <x v="0"/>
    <n v="81.86"/>
    <s v="Savings"/>
    <s v="Credit Card"/>
    <s v="Local Restaurant"/>
  </r>
  <r>
    <s v="TXN102916"/>
    <x v="12"/>
    <x v="35"/>
    <x v="1"/>
    <x v="13"/>
    <x v="0"/>
    <n v="62.12"/>
    <s v="Savings"/>
    <s v="Bank Transfer"/>
    <s v="Steam"/>
  </r>
  <r>
    <s v="TXN100691"/>
    <x v="12"/>
    <x v="36"/>
    <x v="6"/>
    <x v="15"/>
    <x v="0"/>
    <n v="250"/>
    <s v="Main Bank"/>
    <s v="Direct Debit"/>
    <s v="Aral"/>
  </r>
  <r>
    <s v="TXN101615"/>
    <x v="13"/>
    <x v="37"/>
    <x v="6"/>
    <x v="12"/>
    <x v="0"/>
    <n v="64.67"/>
    <s v="Main Bank"/>
    <s v="Debit Card"/>
    <s v="Shell"/>
  </r>
  <r>
    <s v="TXN100828"/>
    <x v="13"/>
    <x v="17"/>
    <x v="6"/>
    <x v="12"/>
    <x v="0"/>
    <n v="193.27"/>
    <s v="Revolut"/>
    <s v="Debit Card"/>
    <s v="Auto Service"/>
  </r>
  <r>
    <s v="TXN100465"/>
    <x v="13"/>
    <x v="13"/>
    <x v="3"/>
    <x v="10"/>
    <x v="1"/>
    <n v="2366"/>
    <s v="Main Bank"/>
    <s v="Debit Card"/>
    <s v="Freelance Client"/>
  </r>
  <r>
    <s v="TXN100739"/>
    <x v="13"/>
    <x v="17"/>
    <x v="6"/>
    <x v="12"/>
    <x v="0"/>
    <n v="52.8"/>
    <s v="Main Bank"/>
    <s v="Debit Card"/>
    <s v="Auto Service"/>
  </r>
  <r>
    <s v="TXN103123"/>
    <x v="13"/>
    <x v="38"/>
    <x v="4"/>
    <x v="7"/>
    <x v="0"/>
    <n v="119.45"/>
    <s v="Main Bank"/>
    <s v="Debit Card"/>
    <s v="Vodafone"/>
  </r>
  <r>
    <s v="TXN100463"/>
    <x v="13"/>
    <x v="39"/>
    <x v="7"/>
    <x v="14"/>
    <x v="0"/>
    <n v="46.46"/>
    <s v="Main Bank"/>
    <s v="Credit Card"/>
    <s v="Doctor"/>
  </r>
  <r>
    <s v="TXN100978"/>
    <x v="14"/>
    <x v="10"/>
    <x v="4"/>
    <x v="7"/>
    <x v="0"/>
    <n v="670.95"/>
    <s v="Main Bank"/>
    <s v="Debit Card"/>
    <s v="Landlord"/>
  </r>
  <r>
    <s v="TXN101256"/>
    <x v="14"/>
    <x v="40"/>
    <x v="6"/>
    <x v="12"/>
    <x v="0"/>
    <n v="41.63"/>
    <s v="Main Bank"/>
    <s v="Bank Transfer"/>
    <s v="DB"/>
  </r>
  <r>
    <s v="TXN100397"/>
    <x v="14"/>
    <x v="41"/>
    <x v="3"/>
    <x v="10"/>
    <x v="1"/>
    <n v="2476.86"/>
    <s v="Main Bank"/>
    <s v="Debit Card"/>
    <s v="Employer Bonus"/>
  </r>
  <r>
    <s v="TXN100678"/>
    <x v="14"/>
    <x v="42"/>
    <x v="6"/>
    <x v="15"/>
    <x v="0"/>
    <n v="51.84"/>
    <s v="Main Bank"/>
    <s v="Debit Card"/>
    <s v="Local Transit"/>
  </r>
  <r>
    <s v="TXN103046"/>
    <x v="15"/>
    <x v="39"/>
    <x v="7"/>
    <x v="14"/>
    <x v="0"/>
    <n v="100.38"/>
    <s v="Main Bank"/>
    <s v="Credit Card"/>
    <s v="Doctor"/>
  </r>
  <r>
    <s v="TXN102950"/>
    <x v="15"/>
    <x v="13"/>
    <x v="3"/>
    <x v="10"/>
    <x v="1"/>
    <n v="2586.7199999999998"/>
    <s v="Savings"/>
    <s v="Debit Card"/>
    <s v="Freelance Client"/>
  </r>
  <r>
    <s v="TXN103264"/>
    <x v="15"/>
    <x v="43"/>
    <x v="4"/>
    <x v="17"/>
    <x v="0"/>
    <n v="523.15"/>
    <s v="Main Bank"/>
    <s v="Debit Card"/>
    <s v="Landlord"/>
  </r>
  <r>
    <s v="TXN102696"/>
    <x v="15"/>
    <x v="22"/>
    <x v="2"/>
    <x v="4"/>
    <x v="0"/>
    <n v="313.49"/>
    <s v="Main Bank"/>
    <s v="Debit Card"/>
    <s v="Zalando"/>
  </r>
  <r>
    <s v="TXN103250"/>
    <x v="15"/>
    <x v="18"/>
    <x v="1"/>
    <x v="13"/>
    <x v="0"/>
    <n v="7.4"/>
    <s v="Main Bank"/>
    <s v="Debit Card"/>
    <s v="Netflix"/>
  </r>
  <r>
    <s v="TXN102747"/>
    <x v="15"/>
    <x v="44"/>
    <x v="2"/>
    <x v="16"/>
    <x v="0"/>
    <n v="169.38"/>
    <s v="Main Bank"/>
    <s v="Debit Card"/>
    <s v="Zalando"/>
  </r>
  <r>
    <s v="TXN103133"/>
    <x v="16"/>
    <x v="9"/>
    <x v="3"/>
    <x v="6"/>
    <x v="1"/>
    <n v="750.69"/>
    <s v="Main Bank"/>
    <s v="Bank Transfer"/>
    <s v="Employer Bonus"/>
  </r>
  <r>
    <s v="TXN102653"/>
    <x v="16"/>
    <x v="45"/>
    <x v="6"/>
    <x v="12"/>
    <x v="0"/>
    <n v="139.77000000000001"/>
    <s v="Savings"/>
    <s v="Credit Card"/>
    <s v="Local Transit"/>
  </r>
  <r>
    <s v="TXN100781"/>
    <x v="16"/>
    <x v="46"/>
    <x v="7"/>
    <x v="18"/>
    <x v="0"/>
    <n v="26.33"/>
    <s v="Main Bank"/>
    <s v="Debit Card"/>
    <s v="Gym"/>
  </r>
  <r>
    <s v="TXN100954"/>
    <x v="16"/>
    <x v="16"/>
    <x v="3"/>
    <x v="10"/>
    <x v="1"/>
    <n v="2600.14"/>
    <s v="Main Bank"/>
    <s v="Cash"/>
    <s v="Employer"/>
  </r>
  <r>
    <s v="TXN101771"/>
    <x v="16"/>
    <x v="33"/>
    <x v="2"/>
    <x v="16"/>
    <x v="0"/>
    <n v="167.48"/>
    <s v="Main Bank"/>
    <s v="Debit Card"/>
    <s v="Amazon"/>
  </r>
  <r>
    <s v="TXN101423"/>
    <x v="16"/>
    <x v="47"/>
    <x v="4"/>
    <x v="19"/>
    <x v="0"/>
    <n v="52.8"/>
    <s v="Main Bank"/>
    <s v="Debit Card"/>
    <s v="Landlord"/>
  </r>
  <r>
    <s v="TXN100669"/>
    <x v="16"/>
    <x v="2"/>
    <x v="0"/>
    <x v="1"/>
    <x v="0"/>
    <n v="16.420000000000002"/>
    <s v="Revolut"/>
    <s v="Debit Card"/>
    <s v="Lidl"/>
  </r>
  <r>
    <s v="TXN101052"/>
    <x v="16"/>
    <x v="44"/>
    <x v="2"/>
    <x v="16"/>
    <x v="0"/>
    <n v="164.74"/>
    <s v="Main Bank"/>
    <s v="Bank Transfer"/>
    <s v="Zalando"/>
  </r>
  <r>
    <s v="TXN101834"/>
    <x v="16"/>
    <x v="39"/>
    <x v="7"/>
    <x v="14"/>
    <x v="0"/>
    <n v="99.17"/>
    <s v="Main Bank"/>
    <s v="Debit Card"/>
    <s v="Doctor"/>
  </r>
  <r>
    <s v="TXN101040"/>
    <x v="17"/>
    <x v="48"/>
    <x v="0"/>
    <x v="5"/>
    <x v="0"/>
    <n v="102.04"/>
    <s v="Main Bank"/>
    <s v="Credit Card"/>
    <s v="EDEKA"/>
  </r>
  <r>
    <s v="TXN100951"/>
    <x v="17"/>
    <x v="49"/>
    <x v="1"/>
    <x v="13"/>
    <x v="0"/>
    <n v="28.65"/>
    <s v="Revolut"/>
    <s v="Debit Card"/>
    <s v="Spotify"/>
  </r>
  <r>
    <s v="TXN100100"/>
    <x v="17"/>
    <x v="10"/>
    <x v="4"/>
    <x v="7"/>
    <x v="0"/>
    <n v="650.85"/>
    <s v="Revolut"/>
    <s v="Bank Transfer"/>
    <s v="Landlord"/>
  </r>
  <r>
    <s v="TXN102316"/>
    <x v="17"/>
    <x v="8"/>
    <x v="0"/>
    <x v="5"/>
    <x v="0"/>
    <n v="64.739999999999995"/>
    <s v="Main Bank"/>
    <s v="Debit Card"/>
    <s v="McDonald's"/>
  </r>
  <r>
    <s v="TXN103058"/>
    <x v="17"/>
    <x v="50"/>
    <x v="4"/>
    <x v="17"/>
    <x v="0"/>
    <n v="251.3"/>
    <s v="Savings"/>
    <s v="Credit Card"/>
    <s v="Energy Provider"/>
  </r>
  <r>
    <s v="TXN102130"/>
    <x v="17"/>
    <x v="36"/>
    <x v="6"/>
    <x v="15"/>
    <x v="0"/>
    <n v="91.07"/>
    <s v="Revolut"/>
    <s v="Debit Card"/>
    <s v="Aral"/>
  </r>
  <r>
    <s v="TXN102087"/>
    <x v="17"/>
    <x v="10"/>
    <x v="4"/>
    <x v="7"/>
    <x v="0"/>
    <n v="372.97"/>
    <s v="Savings"/>
    <s v="Bank Transfer"/>
    <s v="Landlord"/>
  </r>
  <r>
    <s v="TXN101480"/>
    <x v="17"/>
    <x v="51"/>
    <x v="6"/>
    <x v="15"/>
    <x v="0"/>
    <n v="250"/>
    <s v="Revolut"/>
    <s v="Credit Card"/>
    <s v="DB"/>
  </r>
  <r>
    <s v="TXN103154"/>
    <x v="17"/>
    <x v="52"/>
    <x v="6"/>
    <x v="11"/>
    <x v="0"/>
    <n v="27.01"/>
    <s v="Main Bank"/>
    <s v="Credit Card"/>
    <s v="Local Transit"/>
  </r>
  <r>
    <s v="TXN102773"/>
    <x v="18"/>
    <x v="16"/>
    <x v="3"/>
    <x v="10"/>
    <x v="1"/>
    <n v="2034.36"/>
    <s v="Main Bank"/>
    <s v="Credit Card"/>
    <s v="Employer"/>
  </r>
  <r>
    <s v="TXN100471"/>
    <x v="18"/>
    <x v="53"/>
    <x v="4"/>
    <x v="19"/>
    <x v="0"/>
    <n v="343.75"/>
    <s v="Main Bank"/>
    <s v="Debit Card"/>
    <s v="Energy Provider"/>
  </r>
  <r>
    <s v="TXN101155"/>
    <x v="18"/>
    <x v="49"/>
    <x v="1"/>
    <x v="13"/>
    <x v="0"/>
    <n v="71.099999999999994"/>
    <s v="Main Bank"/>
    <s v="Bank Transfer"/>
    <s v="Spotify"/>
  </r>
  <r>
    <s v="TXN102308"/>
    <x v="18"/>
    <x v="35"/>
    <x v="1"/>
    <x v="13"/>
    <x v="0"/>
    <n v="24.84"/>
    <s v="Main Bank"/>
    <s v="Debit Card"/>
    <s v="Steam"/>
  </r>
  <r>
    <s v="TXN100909"/>
    <x v="18"/>
    <x v="34"/>
    <x v="0"/>
    <x v="5"/>
    <x v="0"/>
    <n v="52.98"/>
    <s v="Main Bank"/>
    <s v="Bank Transfer"/>
    <s v="Local Restaurant"/>
  </r>
  <r>
    <s v="TXN100330"/>
    <x v="18"/>
    <x v="29"/>
    <x v="0"/>
    <x v="1"/>
    <x v="0"/>
    <n v="37.64"/>
    <s v="Revolut"/>
    <s v="Direct Debit"/>
    <s v="REWE"/>
  </r>
  <r>
    <s v="TXN101892"/>
    <x v="18"/>
    <x v="52"/>
    <x v="6"/>
    <x v="11"/>
    <x v="0"/>
    <n v="28.58"/>
    <s v="Revolut"/>
    <s v="Debit Card"/>
    <s v="Local Transit"/>
  </r>
  <r>
    <s v="TXN101263"/>
    <x v="18"/>
    <x v="54"/>
    <x v="0"/>
    <x v="5"/>
    <x v="0"/>
    <n v="82.11"/>
    <s v="Main Bank"/>
    <s v="Bank Transfer"/>
    <s v="Lidl"/>
  </r>
  <r>
    <s v="TXN101756"/>
    <x v="19"/>
    <x v="55"/>
    <x v="3"/>
    <x v="8"/>
    <x v="1"/>
    <n v="291.68"/>
    <s v="Main Bank"/>
    <s v="Credit Card"/>
    <s v="Employer Bonus"/>
  </r>
  <r>
    <s v="TXN100595"/>
    <x v="19"/>
    <x v="13"/>
    <x v="3"/>
    <x v="10"/>
    <x v="1"/>
    <n v="2398.1999999999998"/>
    <s v="Revolut"/>
    <s v="Debit Card"/>
    <s v="Freelance Client"/>
  </r>
  <r>
    <s v="TXN102875"/>
    <x v="19"/>
    <x v="56"/>
    <x v="5"/>
    <x v="20"/>
    <x v="0"/>
    <n v="437"/>
    <s v="Main Bank"/>
    <s v="Credit Card"/>
    <s v="Lufthansa"/>
  </r>
  <r>
    <s v="TXN100449"/>
    <x v="19"/>
    <x v="30"/>
    <x v="6"/>
    <x v="11"/>
    <x v="0"/>
    <n v="37.950000000000003"/>
    <s v="Main Bank"/>
    <s v="Cash"/>
    <s v="DB"/>
  </r>
  <r>
    <s v="TXN100345"/>
    <x v="20"/>
    <x v="17"/>
    <x v="6"/>
    <x v="12"/>
    <x v="0"/>
    <n v="62.36"/>
    <s v="Main Bank"/>
    <s v="Credit Card"/>
    <s v="Auto Service"/>
  </r>
  <r>
    <s v="TXN100641"/>
    <x v="20"/>
    <x v="53"/>
    <x v="4"/>
    <x v="19"/>
    <x v="0"/>
    <n v="428.06"/>
    <s v="Main Bank"/>
    <s v="Debit Card"/>
    <s v="Energy Provider"/>
  </r>
  <r>
    <s v="TXN102775"/>
    <x v="20"/>
    <x v="57"/>
    <x v="2"/>
    <x v="3"/>
    <x v="0"/>
    <n v="192.17"/>
    <s v="Main Bank"/>
    <s v="Cash"/>
    <s v="IKEA"/>
  </r>
  <r>
    <s v="TXN102921"/>
    <x v="20"/>
    <x v="52"/>
    <x v="6"/>
    <x v="11"/>
    <x v="0"/>
    <n v="40.97"/>
    <s v="Main Bank"/>
    <s v="Bank Transfer"/>
    <s v="Local Transit"/>
  </r>
  <r>
    <s v="TXN101230"/>
    <x v="20"/>
    <x v="36"/>
    <x v="6"/>
    <x v="15"/>
    <x v="0"/>
    <n v="17.850000000000001"/>
    <s v="Revolut"/>
    <s v="Bank Transfer"/>
    <s v="Aral"/>
  </r>
  <r>
    <s v="TXN103459"/>
    <x v="20"/>
    <x v="58"/>
    <x v="7"/>
    <x v="21"/>
    <x v="0"/>
    <n v="18.05"/>
    <s v="Revolut"/>
    <s v="Debit Card"/>
    <s v="Doctor"/>
  </r>
  <r>
    <s v="TXN102887"/>
    <x v="20"/>
    <x v="22"/>
    <x v="2"/>
    <x v="4"/>
    <x v="0"/>
    <n v="93.24"/>
    <s v="Main Bank"/>
    <s v="Debit Card"/>
    <s v="Zalando"/>
  </r>
  <r>
    <s v="TXN100192"/>
    <x v="20"/>
    <x v="31"/>
    <x v="3"/>
    <x v="6"/>
    <x v="1"/>
    <n v="771.24"/>
    <s v="Main Bank"/>
    <s v="Credit Card"/>
    <s v="Employer"/>
  </r>
  <r>
    <s v="TXN100181"/>
    <x v="21"/>
    <x v="59"/>
    <x v="6"/>
    <x v="11"/>
    <x v="0"/>
    <n v="27.75"/>
    <s v="Savings"/>
    <s v="Bank Transfer"/>
    <s v="Aral"/>
  </r>
  <r>
    <s v="TXN102280"/>
    <x v="21"/>
    <x v="10"/>
    <x v="4"/>
    <x v="7"/>
    <x v="0"/>
    <n v="125.46"/>
    <s v="Main Bank"/>
    <s v="Credit Card"/>
    <s v="Landlord"/>
  </r>
  <r>
    <s v="TXN101850"/>
    <x v="22"/>
    <x v="60"/>
    <x v="1"/>
    <x v="22"/>
    <x v="0"/>
    <n v="42.96"/>
    <s v="Revolut"/>
    <s v="Debit Card"/>
    <s v="Spotify"/>
  </r>
  <r>
    <s v="TXN100374"/>
    <x v="22"/>
    <x v="61"/>
    <x v="1"/>
    <x v="2"/>
    <x v="0"/>
    <n v="31.51"/>
    <s v="Revolut"/>
    <s v="Credit Card"/>
    <s v="Steam"/>
  </r>
  <r>
    <s v="TXN100240"/>
    <x v="22"/>
    <x v="25"/>
    <x v="0"/>
    <x v="0"/>
    <x v="0"/>
    <n v="95.45"/>
    <s v="Main Bank"/>
    <s v="Cash"/>
    <s v="McDonald's"/>
  </r>
  <r>
    <s v="TXN102593"/>
    <x v="22"/>
    <x v="62"/>
    <x v="2"/>
    <x v="4"/>
    <x v="0"/>
    <n v="87.26"/>
    <s v="Main Bank"/>
    <s v="Bank Transfer"/>
    <s v="IKEA"/>
  </r>
  <r>
    <s v="TXN101195"/>
    <x v="22"/>
    <x v="63"/>
    <x v="4"/>
    <x v="19"/>
    <x v="0"/>
    <n v="52.09"/>
    <s v="Revolut"/>
    <s v="Credit Card"/>
    <s v="Vodafone"/>
  </r>
  <r>
    <s v="TXN100930"/>
    <x v="23"/>
    <x v="26"/>
    <x v="0"/>
    <x v="1"/>
    <x v="0"/>
    <n v="76.31"/>
    <s v="Main Bank"/>
    <s v="Credit Card"/>
    <s v="Local Restaurant"/>
  </r>
  <r>
    <s v="TXN102967"/>
    <x v="23"/>
    <x v="64"/>
    <x v="7"/>
    <x v="21"/>
    <x v="0"/>
    <n v="93.94"/>
    <s v="Main Bank"/>
    <s v="Debit Card"/>
    <s v="Pharmacy"/>
  </r>
  <r>
    <s v="TXN100378"/>
    <x v="23"/>
    <x v="50"/>
    <x v="4"/>
    <x v="17"/>
    <x v="0"/>
    <n v="56.35"/>
    <s v="Main Bank"/>
    <s v="Debit Card"/>
    <s v="Energy Provider"/>
  </r>
  <r>
    <s v="TXN102662"/>
    <x v="23"/>
    <x v="31"/>
    <x v="3"/>
    <x v="6"/>
    <x v="1"/>
    <n v="644.28"/>
    <s v="Main Bank"/>
    <s v="Debit Card"/>
    <s v="Employer"/>
  </r>
  <r>
    <s v="TXN101796"/>
    <x v="23"/>
    <x v="43"/>
    <x v="4"/>
    <x v="17"/>
    <x v="0"/>
    <n v="191.84"/>
    <s v="Main Bank"/>
    <s v="Credit Card"/>
    <s v="Landlord"/>
  </r>
  <r>
    <s v="TXN101618"/>
    <x v="24"/>
    <x v="65"/>
    <x v="1"/>
    <x v="2"/>
    <x v="0"/>
    <n v="18.09"/>
    <s v="Main Bank"/>
    <s v="Direct Debit"/>
    <s v="Netflix"/>
  </r>
  <r>
    <s v="TXN101571"/>
    <x v="24"/>
    <x v="66"/>
    <x v="2"/>
    <x v="3"/>
    <x v="0"/>
    <n v="90.67"/>
    <s v="Main Bank"/>
    <s v="Credit Card"/>
    <s v="MediaMarkt"/>
  </r>
  <r>
    <s v="TXN101970"/>
    <x v="24"/>
    <x v="53"/>
    <x v="4"/>
    <x v="19"/>
    <x v="0"/>
    <n v="229.76"/>
    <s v="Main Bank"/>
    <s v="Credit Card"/>
    <s v="Energy Provider"/>
  </r>
  <r>
    <s v="TXN100121"/>
    <x v="24"/>
    <x v="67"/>
    <x v="3"/>
    <x v="6"/>
    <x v="1"/>
    <n v="631.67999999999995"/>
    <s v="Main Bank"/>
    <s v="Bank Transfer"/>
    <s v="Freelance Client"/>
  </r>
  <r>
    <s v="TXN103074"/>
    <x v="25"/>
    <x v="48"/>
    <x v="0"/>
    <x v="5"/>
    <x v="0"/>
    <n v="44.89"/>
    <s v="Main Bank"/>
    <s v="Bank Transfer"/>
    <s v="EDEKA"/>
  </r>
  <r>
    <s v="TXN100547"/>
    <x v="25"/>
    <x v="63"/>
    <x v="4"/>
    <x v="19"/>
    <x v="0"/>
    <n v="138.57"/>
    <s v="Revolut"/>
    <s v="Debit Card"/>
    <s v="Vodafone"/>
  </r>
  <r>
    <s v="TXN100541"/>
    <x v="25"/>
    <x v="11"/>
    <x v="3"/>
    <x v="8"/>
    <x v="1"/>
    <n v="351.46"/>
    <s v="Main Bank"/>
    <s v="Bank Transfer"/>
    <s v="Freelance Client"/>
  </r>
  <r>
    <s v="TXN102260"/>
    <x v="26"/>
    <x v="15"/>
    <x v="6"/>
    <x v="11"/>
    <x v="0"/>
    <n v="61.79"/>
    <s v="Main Bank"/>
    <s v="Debit Card"/>
    <s v="Auto Service"/>
  </r>
  <r>
    <s v="TXN103455"/>
    <x v="26"/>
    <x v="41"/>
    <x v="3"/>
    <x v="10"/>
    <x v="1"/>
    <n v="2426.4299999999998"/>
    <s v="Revolut"/>
    <s v="Debit Card"/>
    <s v="Employer Bonus"/>
  </r>
  <r>
    <s v="TXN100301"/>
    <x v="26"/>
    <x v="53"/>
    <x v="4"/>
    <x v="19"/>
    <x v="0"/>
    <n v="80.069999999999993"/>
    <s v="Main Bank"/>
    <s v="Bank Transfer"/>
    <s v="Energy Provider"/>
  </r>
  <r>
    <s v="TXN100209"/>
    <x v="26"/>
    <x v="63"/>
    <x v="4"/>
    <x v="19"/>
    <x v="0"/>
    <n v="174.38"/>
    <s v="Main Bank"/>
    <s v="Bank Transfer"/>
    <s v="Vodafone"/>
  </r>
  <r>
    <s v="TXN101116"/>
    <x v="27"/>
    <x v="68"/>
    <x v="2"/>
    <x v="4"/>
    <x v="0"/>
    <n v="181.73"/>
    <s v="Main Bank"/>
    <s v="Direct Debit"/>
    <s v="MediaMarkt"/>
  </r>
  <r>
    <s v="TXN101035"/>
    <x v="27"/>
    <x v="38"/>
    <x v="4"/>
    <x v="7"/>
    <x v="0"/>
    <n v="112.83"/>
    <s v="Revolut"/>
    <s v="Direct Debit"/>
    <s v="Vodafone"/>
  </r>
  <r>
    <s v="TXN100979"/>
    <x v="27"/>
    <x v="57"/>
    <x v="2"/>
    <x v="3"/>
    <x v="0"/>
    <n v="134.09"/>
    <s v="Revolut"/>
    <s v="Debit Card"/>
    <s v="IKEA"/>
  </r>
  <r>
    <s v="TXN100320"/>
    <x v="27"/>
    <x v="26"/>
    <x v="0"/>
    <x v="1"/>
    <x v="0"/>
    <n v="68.39"/>
    <s v="Main Bank"/>
    <s v="Credit Card"/>
    <s v="Local Restaurant"/>
  </r>
  <r>
    <s v="TXN101267"/>
    <x v="27"/>
    <x v="23"/>
    <x v="6"/>
    <x v="15"/>
    <x v="0"/>
    <n v="37.44"/>
    <s v="Main Bank"/>
    <s v="Cash"/>
    <s v="Shell"/>
  </r>
  <r>
    <s v="TXN102202"/>
    <x v="27"/>
    <x v="10"/>
    <x v="4"/>
    <x v="7"/>
    <x v="0"/>
    <n v="480.57"/>
    <s v="Main Bank"/>
    <s v="Debit Card"/>
    <s v="Landlord"/>
  </r>
  <r>
    <s v="TXN100564"/>
    <x v="27"/>
    <x v="50"/>
    <x v="4"/>
    <x v="17"/>
    <x v="0"/>
    <n v="413.27"/>
    <s v="Main Bank"/>
    <s v="Cash"/>
    <s v="Energy Provider"/>
  </r>
  <r>
    <s v="TXN101828"/>
    <x v="27"/>
    <x v="31"/>
    <x v="3"/>
    <x v="6"/>
    <x v="1"/>
    <n v="776.12"/>
    <s v="Savings"/>
    <s v="Credit Card"/>
    <s v="Employer"/>
  </r>
  <r>
    <s v="TXN102705"/>
    <x v="27"/>
    <x v="69"/>
    <x v="5"/>
    <x v="23"/>
    <x v="0"/>
    <n v="327.44"/>
    <s v="Main Bank"/>
    <s v="Debit Card"/>
    <s v="Booking.com"/>
  </r>
  <r>
    <s v="TXN101748"/>
    <x v="28"/>
    <x v="1"/>
    <x v="0"/>
    <x v="0"/>
    <x v="0"/>
    <n v="54.39"/>
    <s v="Main Bank"/>
    <s v="Debit Card"/>
    <s v="EDEKA"/>
  </r>
  <r>
    <s v="TXN100054"/>
    <x v="28"/>
    <x v="9"/>
    <x v="3"/>
    <x v="6"/>
    <x v="1"/>
    <n v="826.13"/>
    <s v="Main Bank"/>
    <s v="Bank Transfer"/>
    <s v="Employer Bonus"/>
  </r>
  <r>
    <s v="TXN100218"/>
    <x v="28"/>
    <x v="70"/>
    <x v="7"/>
    <x v="18"/>
    <x v="0"/>
    <n v="61.13"/>
    <s v="Main Bank"/>
    <s v="Debit Card"/>
    <s v="Pharmacy"/>
  </r>
  <r>
    <s v="TXN101484"/>
    <x v="28"/>
    <x v="71"/>
    <x v="4"/>
    <x v="17"/>
    <x v="0"/>
    <n v="215.59"/>
    <s v="Main Bank"/>
    <s v="Credit Card"/>
    <s v="Vodafone"/>
  </r>
  <r>
    <s v="TXN101274"/>
    <x v="28"/>
    <x v="47"/>
    <x v="4"/>
    <x v="19"/>
    <x v="0"/>
    <n v="869.59"/>
    <s v="Savings"/>
    <s v="Bank Transfer"/>
    <s v="Landlord"/>
  </r>
  <r>
    <s v="TXN100270"/>
    <x v="29"/>
    <x v="48"/>
    <x v="0"/>
    <x v="5"/>
    <x v="0"/>
    <n v="51.84"/>
    <s v="Main Bank"/>
    <s v="Debit Card"/>
    <s v="EDEKA"/>
  </r>
  <r>
    <s v="TXN101794"/>
    <x v="29"/>
    <x v="35"/>
    <x v="1"/>
    <x v="13"/>
    <x v="0"/>
    <n v="12.37"/>
    <s v="Main Bank"/>
    <s v="Bank Transfer"/>
    <s v="Steam"/>
  </r>
  <r>
    <s v="TXN102685"/>
    <x v="30"/>
    <x v="30"/>
    <x v="6"/>
    <x v="11"/>
    <x v="0"/>
    <n v="41.19"/>
    <s v="Main Bank"/>
    <s v="Bank Transfer"/>
    <s v="DB"/>
  </r>
  <r>
    <s v="TXN101413"/>
    <x v="30"/>
    <x v="0"/>
    <x v="0"/>
    <x v="0"/>
    <x v="0"/>
    <n v="65.239999999999995"/>
    <s v="Revolut"/>
    <s v="Debit Card"/>
    <s v="Lidl"/>
  </r>
  <r>
    <s v="TXN102466"/>
    <x v="30"/>
    <x v="21"/>
    <x v="0"/>
    <x v="1"/>
    <x v="0"/>
    <n v="33.159999999999997"/>
    <s v="Savings"/>
    <s v="Direct Debit"/>
    <s v="EDEKA"/>
  </r>
  <r>
    <s v="TXN103218"/>
    <x v="30"/>
    <x v="43"/>
    <x v="4"/>
    <x v="17"/>
    <x v="0"/>
    <n v="286.35000000000002"/>
    <s v="Main Bank"/>
    <s v="Debit Card"/>
    <s v="Landlord"/>
  </r>
  <r>
    <s v="TXN100809"/>
    <x v="30"/>
    <x v="62"/>
    <x v="2"/>
    <x v="4"/>
    <x v="0"/>
    <n v="276.58999999999997"/>
    <s v="Main Bank"/>
    <s v="Direct Debit"/>
    <s v="IKEA"/>
  </r>
  <r>
    <s v="TXN100056"/>
    <x v="30"/>
    <x v="72"/>
    <x v="3"/>
    <x v="8"/>
    <x v="1"/>
    <n v="332.94"/>
    <s v="Main Bank"/>
    <s v="Bank Transfer"/>
    <s v="Employer"/>
  </r>
  <r>
    <s v="TXN100298"/>
    <x v="30"/>
    <x v="34"/>
    <x v="0"/>
    <x v="5"/>
    <x v="0"/>
    <n v="26.81"/>
    <s v="Savings"/>
    <s v="Bank Transfer"/>
    <s v="Local Restaurant"/>
  </r>
  <r>
    <s v="TXN100504"/>
    <x v="30"/>
    <x v="67"/>
    <x v="3"/>
    <x v="6"/>
    <x v="1"/>
    <n v="670.76"/>
    <s v="Main Bank"/>
    <s v="Debit Card"/>
    <s v="Freelance Client"/>
  </r>
  <r>
    <s v="TXN100129"/>
    <x v="30"/>
    <x v="71"/>
    <x v="4"/>
    <x v="17"/>
    <x v="0"/>
    <n v="393.4"/>
    <s v="Revolut"/>
    <s v="Debit Card"/>
    <s v="Vodafone"/>
  </r>
  <r>
    <s v="TXN101028"/>
    <x v="31"/>
    <x v="9"/>
    <x v="3"/>
    <x v="6"/>
    <x v="1"/>
    <n v="767.69"/>
    <s v="Revolut"/>
    <s v="Direct Debit"/>
    <s v="Employer Bonus"/>
  </r>
  <r>
    <s v="TXN101034"/>
    <x v="31"/>
    <x v="6"/>
    <x v="0"/>
    <x v="1"/>
    <x v="0"/>
    <n v="15.57"/>
    <s v="Main Bank"/>
    <s v="Credit Card"/>
    <s v="McDonald's"/>
  </r>
  <r>
    <s v="TXN100076"/>
    <x v="31"/>
    <x v="70"/>
    <x v="7"/>
    <x v="18"/>
    <x v="0"/>
    <n v="34.6"/>
    <s v="Main Bank"/>
    <s v="Bank Transfer"/>
    <s v="Pharmacy"/>
  </r>
  <r>
    <s v="TXN103065"/>
    <x v="31"/>
    <x v="65"/>
    <x v="1"/>
    <x v="2"/>
    <x v="0"/>
    <n v="24.75"/>
    <s v="Main Bank"/>
    <s v="Credit Card"/>
    <s v="Netflix"/>
  </r>
  <r>
    <s v="TXN102582"/>
    <x v="31"/>
    <x v="55"/>
    <x v="3"/>
    <x v="8"/>
    <x v="1"/>
    <n v="358.81"/>
    <s v="Main Bank"/>
    <s v="Bank Transfer"/>
    <s v="Employer Bonus"/>
  </r>
  <r>
    <s v="TXN102798"/>
    <x v="31"/>
    <x v="49"/>
    <x v="1"/>
    <x v="13"/>
    <x v="0"/>
    <n v="79.87"/>
    <s v="Main Bank"/>
    <s v="Bank Transfer"/>
    <s v="Spotify"/>
  </r>
  <r>
    <s v="TXN102257"/>
    <x v="31"/>
    <x v="66"/>
    <x v="2"/>
    <x v="3"/>
    <x v="0"/>
    <n v="152.44"/>
    <s v="Revolut"/>
    <s v="Credit Card"/>
    <s v="MediaMarkt"/>
  </r>
  <r>
    <s v="TXN102160"/>
    <x v="31"/>
    <x v="39"/>
    <x v="7"/>
    <x v="14"/>
    <x v="0"/>
    <n v="45.53"/>
    <s v="Main Bank"/>
    <s v="Credit Card"/>
    <s v="Doctor"/>
  </r>
  <r>
    <s v="TXN100489"/>
    <x v="31"/>
    <x v="41"/>
    <x v="3"/>
    <x v="10"/>
    <x v="1"/>
    <n v="2479.37"/>
    <s v="Main Bank"/>
    <s v="Credit Card"/>
    <s v="Employer Bonus"/>
  </r>
  <r>
    <s v="TXN100525"/>
    <x v="32"/>
    <x v="11"/>
    <x v="3"/>
    <x v="8"/>
    <x v="1"/>
    <n v="392.65"/>
    <s v="Revolut"/>
    <s v="Bank Transfer"/>
    <s v="Freelance Client"/>
  </r>
  <r>
    <s v="TXN101657"/>
    <x v="32"/>
    <x v="20"/>
    <x v="2"/>
    <x v="3"/>
    <x v="0"/>
    <n v="421.2"/>
    <s v="Main Bank"/>
    <s v="Credit Card"/>
    <s v="Amazon"/>
  </r>
  <r>
    <s v="TXN101842"/>
    <x v="32"/>
    <x v="73"/>
    <x v="6"/>
    <x v="12"/>
    <x v="0"/>
    <n v="42.93"/>
    <s v="Main Bank"/>
    <s v="Debit Card"/>
    <s v="Aral"/>
  </r>
  <r>
    <s v="TXN101765"/>
    <x v="32"/>
    <x v="0"/>
    <x v="0"/>
    <x v="0"/>
    <x v="0"/>
    <n v="52.2"/>
    <s v="Main Bank"/>
    <s v="Credit Card"/>
    <s v="Lidl"/>
  </r>
  <r>
    <s v="TXN103429"/>
    <x v="32"/>
    <x v="55"/>
    <x v="3"/>
    <x v="8"/>
    <x v="1"/>
    <n v="355.83"/>
    <s v="Main Bank"/>
    <s v="Direct Debit"/>
    <s v="Employer Bonus"/>
  </r>
  <r>
    <s v="TXN100467"/>
    <x v="32"/>
    <x v="54"/>
    <x v="0"/>
    <x v="5"/>
    <x v="0"/>
    <n v="32.659999999999997"/>
    <s v="Main Bank"/>
    <s v="Credit Card"/>
    <s v="Lidl"/>
  </r>
  <r>
    <s v="TXN100400"/>
    <x v="33"/>
    <x v="64"/>
    <x v="7"/>
    <x v="21"/>
    <x v="0"/>
    <n v="109.5"/>
    <s v="Main Bank"/>
    <s v="Debit Card"/>
    <s v="Pharmacy"/>
  </r>
  <r>
    <s v="TXN100086"/>
    <x v="33"/>
    <x v="59"/>
    <x v="6"/>
    <x v="11"/>
    <x v="0"/>
    <n v="47.11"/>
    <s v="Main Bank"/>
    <s v="Credit Card"/>
    <s v="Aral"/>
  </r>
  <r>
    <s v="TXN100574"/>
    <x v="33"/>
    <x v="74"/>
    <x v="1"/>
    <x v="13"/>
    <x v="0"/>
    <n v="25.78"/>
    <s v="Main Bank"/>
    <s v="Debit Card"/>
    <s v="Cinema"/>
  </r>
  <r>
    <s v="TXN100313"/>
    <x v="33"/>
    <x v="63"/>
    <x v="4"/>
    <x v="19"/>
    <x v="0"/>
    <n v="157.02000000000001"/>
    <s v="Savings"/>
    <s v="Bank Transfer"/>
    <s v="Vodafone"/>
  </r>
  <r>
    <s v="TXN103044"/>
    <x v="33"/>
    <x v="52"/>
    <x v="6"/>
    <x v="11"/>
    <x v="0"/>
    <n v="40.68"/>
    <s v="Main Bank"/>
    <s v="Credit Card"/>
    <s v="Local Transit"/>
  </r>
  <r>
    <s v="TXN100470"/>
    <x v="33"/>
    <x v="67"/>
    <x v="3"/>
    <x v="6"/>
    <x v="1"/>
    <n v="753.44"/>
    <s v="Main Bank"/>
    <s v="Debit Card"/>
    <s v="Freelance Client"/>
  </r>
  <r>
    <s v="TXN102819"/>
    <x v="33"/>
    <x v="53"/>
    <x v="4"/>
    <x v="19"/>
    <x v="0"/>
    <n v="81.650000000000006"/>
    <s v="Main Bank"/>
    <s v="Credit Card"/>
    <s v="Energy Provider"/>
  </r>
  <r>
    <s v="TXN102820"/>
    <x v="33"/>
    <x v="45"/>
    <x v="6"/>
    <x v="12"/>
    <x v="0"/>
    <n v="107.93"/>
    <s v="Savings"/>
    <s v="Cash"/>
    <s v="Local Transit"/>
  </r>
  <r>
    <s v="TXN103405"/>
    <x v="33"/>
    <x v="46"/>
    <x v="7"/>
    <x v="18"/>
    <x v="0"/>
    <n v="57.96"/>
    <s v="Revolut"/>
    <s v="Debit Card"/>
    <s v="Gym"/>
  </r>
  <r>
    <s v="TXN102663"/>
    <x v="34"/>
    <x v="29"/>
    <x v="0"/>
    <x v="1"/>
    <x v="0"/>
    <n v="63.59"/>
    <s v="Revolut"/>
    <s v="Debit Card"/>
    <s v="REWE"/>
  </r>
  <r>
    <s v="TXN103060"/>
    <x v="34"/>
    <x v="41"/>
    <x v="3"/>
    <x v="10"/>
    <x v="1"/>
    <n v="2944.13"/>
    <s v="Main Bank"/>
    <s v="Cash"/>
    <s v="Employer Bonus"/>
  </r>
  <r>
    <s v="TXN100615"/>
    <x v="34"/>
    <x v="31"/>
    <x v="3"/>
    <x v="6"/>
    <x v="1"/>
    <n v="736.05"/>
    <s v="Main Bank"/>
    <s v="Credit Card"/>
    <s v="Employer"/>
  </r>
  <r>
    <s v="TXN103043"/>
    <x v="35"/>
    <x v="38"/>
    <x v="4"/>
    <x v="7"/>
    <x v="0"/>
    <n v="450.59"/>
    <s v="Revolut"/>
    <s v="Debit Card"/>
    <s v="Vodafone"/>
  </r>
  <r>
    <s v="TXN103353"/>
    <x v="35"/>
    <x v="67"/>
    <x v="3"/>
    <x v="6"/>
    <x v="1"/>
    <n v="874.32"/>
    <s v="Main Bank"/>
    <s v="Bank Transfer"/>
    <s v="Freelance Client"/>
  </r>
  <r>
    <s v="TXN101107"/>
    <x v="35"/>
    <x v="30"/>
    <x v="6"/>
    <x v="11"/>
    <x v="0"/>
    <n v="48.81"/>
    <s v="Main Bank"/>
    <s v="Cash"/>
    <s v="DB"/>
  </r>
  <r>
    <s v="TXN102296"/>
    <x v="36"/>
    <x v="75"/>
    <x v="4"/>
    <x v="7"/>
    <x v="0"/>
    <n v="203.8"/>
    <s v="Revolut"/>
    <s v="Credit Card"/>
    <s v="Energy Provider"/>
  </r>
  <r>
    <s v="TXN100987"/>
    <x v="37"/>
    <x v="76"/>
    <x v="1"/>
    <x v="22"/>
    <x v="0"/>
    <n v="36.86"/>
    <s v="Main Bank"/>
    <s v="Credit Card"/>
    <s v="Netflix"/>
  </r>
  <r>
    <s v="TXN103385"/>
    <x v="37"/>
    <x v="38"/>
    <x v="4"/>
    <x v="7"/>
    <x v="0"/>
    <n v="288.74"/>
    <s v="Main Bank"/>
    <s v="Debit Card"/>
    <s v="Vodafone"/>
  </r>
  <r>
    <s v="TXN103374"/>
    <x v="37"/>
    <x v="77"/>
    <x v="1"/>
    <x v="22"/>
    <x v="0"/>
    <n v="110.12"/>
    <s v="Main Bank"/>
    <s v="Debit Card"/>
    <s v="Steam"/>
  </r>
  <r>
    <s v="TXN101866"/>
    <x v="37"/>
    <x v="41"/>
    <x v="3"/>
    <x v="10"/>
    <x v="1"/>
    <n v="2624.62"/>
    <s v="Revolut"/>
    <s v="Credit Card"/>
    <s v="Employer Bonus"/>
  </r>
  <r>
    <s v="TXN103391"/>
    <x v="37"/>
    <x v="52"/>
    <x v="6"/>
    <x v="11"/>
    <x v="0"/>
    <n v="44.1"/>
    <s v="Revolut"/>
    <s v="Credit Card"/>
    <s v="Local Transit"/>
  </r>
  <r>
    <s v="TXN100718"/>
    <x v="37"/>
    <x v="41"/>
    <x v="3"/>
    <x v="10"/>
    <x v="1"/>
    <n v="2950.89"/>
    <s v="Revolut"/>
    <s v="Debit Card"/>
    <s v="Employer Bonus"/>
  </r>
  <r>
    <s v="TXN101547"/>
    <x v="37"/>
    <x v="11"/>
    <x v="3"/>
    <x v="8"/>
    <x v="1"/>
    <n v="388.97"/>
    <s v="Main Bank"/>
    <s v="Bank Transfer"/>
    <s v="Freelance Client"/>
  </r>
  <r>
    <s v="TXN100986"/>
    <x v="38"/>
    <x v="33"/>
    <x v="2"/>
    <x v="16"/>
    <x v="0"/>
    <n v="86.74"/>
    <s v="Main Bank"/>
    <s v="Cash"/>
    <s v="Amazon"/>
  </r>
  <r>
    <s v="TXN101979"/>
    <x v="38"/>
    <x v="11"/>
    <x v="3"/>
    <x v="8"/>
    <x v="1"/>
    <n v="328.63"/>
    <s v="Revolut"/>
    <s v="Debit Card"/>
    <s v="Freelance Client"/>
  </r>
  <r>
    <s v="TXN101995"/>
    <x v="39"/>
    <x v="70"/>
    <x v="7"/>
    <x v="18"/>
    <x v="0"/>
    <n v="57.12"/>
    <s v="Revolut"/>
    <s v="Bank Transfer"/>
    <s v="Pharmacy"/>
  </r>
  <r>
    <s v="TXN101621"/>
    <x v="39"/>
    <x v="24"/>
    <x v="2"/>
    <x v="16"/>
    <x v="0"/>
    <n v="175.26"/>
    <s v="Main Bank"/>
    <s v="Debit Card"/>
    <s v="MediaMarkt"/>
  </r>
  <r>
    <s v="TXN101240"/>
    <x v="39"/>
    <x v="26"/>
    <x v="0"/>
    <x v="1"/>
    <x v="0"/>
    <n v="146.75"/>
    <s v="Main Bank"/>
    <s v="Credit Card"/>
    <s v="Local Restaurant"/>
  </r>
  <r>
    <s v="TXN100883"/>
    <x v="40"/>
    <x v="53"/>
    <x v="4"/>
    <x v="19"/>
    <x v="0"/>
    <n v="247.8"/>
    <s v="Savings"/>
    <s v="Bank Transfer"/>
    <s v="Energy Provider"/>
  </r>
  <r>
    <s v="TXN102756"/>
    <x v="40"/>
    <x v="25"/>
    <x v="0"/>
    <x v="0"/>
    <x v="0"/>
    <n v="10.17"/>
    <s v="Main Bank"/>
    <s v="Debit Card"/>
    <s v="McDonald's"/>
  </r>
  <r>
    <s v="TXN101648"/>
    <x v="40"/>
    <x v="11"/>
    <x v="3"/>
    <x v="8"/>
    <x v="1"/>
    <n v="367.04"/>
    <s v="Revolut"/>
    <s v="Credit Card"/>
    <s v="Freelance Client"/>
  </r>
  <r>
    <s v="TXN102971"/>
    <x v="40"/>
    <x v="40"/>
    <x v="6"/>
    <x v="12"/>
    <x v="0"/>
    <n v="68.14"/>
    <s v="Main Bank"/>
    <s v="Debit Card"/>
    <s v="DB"/>
  </r>
  <r>
    <s v="TXN100744"/>
    <x v="40"/>
    <x v="66"/>
    <x v="2"/>
    <x v="3"/>
    <x v="0"/>
    <n v="203.1"/>
    <s v="Revolut"/>
    <s v="Direct Debit"/>
    <s v="MediaMarkt"/>
  </r>
  <r>
    <s v="TXN101653"/>
    <x v="41"/>
    <x v="2"/>
    <x v="0"/>
    <x v="1"/>
    <x v="0"/>
    <n v="32.65"/>
    <s v="Main Bank"/>
    <s v="Bank Transfer"/>
    <s v="Lidl"/>
  </r>
  <r>
    <s v="TXN103380"/>
    <x v="41"/>
    <x v="64"/>
    <x v="7"/>
    <x v="21"/>
    <x v="0"/>
    <n v="148.1"/>
    <s v="Savings"/>
    <s v="Debit Card"/>
    <s v="Pharmacy"/>
  </r>
  <r>
    <s v="TXN100845"/>
    <x v="41"/>
    <x v="29"/>
    <x v="0"/>
    <x v="1"/>
    <x v="0"/>
    <n v="59.09"/>
    <s v="Revolut"/>
    <s v="Credit Card"/>
    <s v="REWE"/>
  </r>
  <r>
    <s v="TXN102980"/>
    <x v="41"/>
    <x v="13"/>
    <x v="3"/>
    <x v="10"/>
    <x v="1"/>
    <n v="2835.12"/>
    <s v="Revolut"/>
    <s v="Direct Debit"/>
    <s v="Freelance Client"/>
  </r>
  <r>
    <s v="TXN103246"/>
    <x v="41"/>
    <x v="1"/>
    <x v="0"/>
    <x v="0"/>
    <x v="0"/>
    <n v="74.650000000000006"/>
    <s v="Main Bank"/>
    <s v="Direct Debit"/>
    <s v="EDEKA"/>
  </r>
  <r>
    <s v="TXN101139"/>
    <x v="41"/>
    <x v="62"/>
    <x v="2"/>
    <x v="4"/>
    <x v="0"/>
    <n v="60.22"/>
    <s v="Main Bank"/>
    <s v="Debit Card"/>
    <s v="IKEA"/>
  </r>
  <r>
    <s v="TXN100101"/>
    <x v="42"/>
    <x v="71"/>
    <x v="4"/>
    <x v="17"/>
    <x v="0"/>
    <n v="583.47"/>
    <s v="Main Bank"/>
    <s v="Direct Debit"/>
    <s v="Vodafone"/>
  </r>
  <r>
    <s v="TXN101902"/>
    <x v="42"/>
    <x v="75"/>
    <x v="4"/>
    <x v="7"/>
    <x v="0"/>
    <n v="113.67"/>
    <s v="Main Bank"/>
    <s v="Bank Transfer"/>
    <s v="Energy Provider"/>
  </r>
  <r>
    <s v="TXN101398"/>
    <x v="42"/>
    <x v="26"/>
    <x v="0"/>
    <x v="1"/>
    <x v="0"/>
    <n v="68.63"/>
    <s v="Main Bank"/>
    <s v="Credit Card"/>
    <s v="Local Restaurant"/>
  </r>
  <r>
    <s v="TXN103239"/>
    <x v="42"/>
    <x v="3"/>
    <x v="1"/>
    <x v="2"/>
    <x v="0"/>
    <n v="20.54"/>
    <s v="Revolut"/>
    <s v="Bank Transfer"/>
    <s v="Spotify"/>
  </r>
  <r>
    <s v="TXN102508"/>
    <x v="42"/>
    <x v="78"/>
    <x v="6"/>
    <x v="15"/>
    <x v="0"/>
    <n v="92.02"/>
    <s v="Main Bank"/>
    <s v="Debit Card"/>
    <s v="Auto Service"/>
  </r>
  <r>
    <s v="TXN100053"/>
    <x v="42"/>
    <x v="16"/>
    <x v="3"/>
    <x v="10"/>
    <x v="1"/>
    <n v="2659.71"/>
    <s v="Revolut"/>
    <s v="Bank Transfer"/>
    <s v="Employer"/>
  </r>
  <r>
    <s v="TXN103285"/>
    <x v="43"/>
    <x v="66"/>
    <x v="2"/>
    <x v="3"/>
    <x v="0"/>
    <n v="157.99"/>
    <s v="Main Bank"/>
    <s v="Debit Card"/>
    <s v="MediaMarkt"/>
  </r>
  <r>
    <s v="TXN102385"/>
    <x v="43"/>
    <x v="34"/>
    <x v="0"/>
    <x v="5"/>
    <x v="0"/>
    <n v="72.930000000000007"/>
    <s v="Main Bank"/>
    <s v="Bank Transfer"/>
    <s v="Local Restaurant"/>
  </r>
  <r>
    <s v="TXN102613"/>
    <x v="43"/>
    <x v="34"/>
    <x v="0"/>
    <x v="5"/>
    <x v="0"/>
    <n v="87.38"/>
    <s v="Revolut"/>
    <s v="Direct Debit"/>
    <s v="Local Restaurant"/>
  </r>
  <r>
    <s v="TXN101033"/>
    <x v="43"/>
    <x v="21"/>
    <x v="0"/>
    <x v="1"/>
    <x v="0"/>
    <n v="80.540000000000006"/>
    <s v="Main Bank"/>
    <s v="Debit Card"/>
    <s v="EDEKA"/>
  </r>
  <r>
    <s v="TXN102340"/>
    <x v="43"/>
    <x v="73"/>
    <x v="6"/>
    <x v="12"/>
    <x v="0"/>
    <n v="160.82"/>
    <s v="Revolut"/>
    <s v="Debit Card"/>
    <s v="Aral"/>
  </r>
  <r>
    <s v="TXN100705"/>
    <x v="43"/>
    <x v="63"/>
    <x v="4"/>
    <x v="19"/>
    <x v="0"/>
    <n v="147.80000000000001"/>
    <s v="Revolut"/>
    <s v="Direct Debit"/>
    <s v="Vodafone"/>
  </r>
  <r>
    <s v="TXN102515"/>
    <x v="43"/>
    <x v="32"/>
    <x v="1"/>
    <x v="2"/>
    <x v="0"/>
    <n v="38.39"/>
    <s v="Main Bank"/>
    <s v="Debit Card"/>
    <s v="Cinema"/>
  </r>
  <r>
    <s v="TXN100375"/>
    <x v="43"/>
    <x v="71"/>
    <x v="4"/>
    <x v="17"/>
    <x v="0"/>
    <n v="104.81"/>
    <s v="Revolut"/>
    <s v="Debit Card"/>
    <s v="Vodafone"/>
  </r>
  <r>
    <s v="TXN100875"/>
    <x v="44"/>
    <x v="50"/>
    <x v="4"/>
    <x v="17"/>
    <x v="0"/>
    <n v="228.27"/>
    <s v="Main Bank"/>
    <s v="Debit Card"/>
    <s v="Energy Provider"/>
  </r>
  <r>
    <s v="TXN101223"/>
    <x v="44"/>
    <x v="23"/>
    <x v="6"/>
    <x v="15"/>
    <x v="0"/>
    <n v="49.49"/>
    <s v="Revolut"/>
    <s v="Debit Card"/>
    <s v="Shell"/>
  </r>
  <r>
    <s v="TXN101837"/>
    <x v="44"/>
    <x v="14"/>
    <x v="0"/>
    <x v="0"/>
    <x v="0"/>
    <n v="69.16"/>
    <s v="Savings"/>
    <s v="Debit Card"/>
    <s v="REWE"/>
  </r>
  <r>
    <s v="TXN101156"/>
    <x v="45"/>
    <x v="46"/>
    <x v="7"/>
    <x v="18"/>
    <x v="0"/>
    <n v="85.95"/>
    <s v="Savings"/>
    <s v="Debit Card"/>
    <s v="Gym"/>
  </r>
  <r>
    <s v="TXN101498"/>
    <x v="45"/>
    <x v="33"/>
    <x v="2"/>
    <x v="16"/>
    <x v="0"/>
    <n v="102.24"/>
    <s v="Revolut"/>
    <s v="Bank Transfer"/>
    <s v="Amazon"/>
  </r>
  <r>
    <s v="TXN100780"/>
    <x v="45"/>
    <x v="61"/>
    <x v="1"/>
    <x v="2"/>
    <x v="0"/>
    <n v="42.49"/>
    <s v="Revolut"/>
    <s v="Bank Transfer"/>
    <s v="Steam"/>
  </r>
  <r>
    <s v="TXN102372"/>
    <x v="45"/>
    <x v="55"/>
    <x v="3"/>
    <x v="8"/>
    <x v="1"/>
    <n v="321.10000000000002"/>
    <s v="Savings"/>
    <s v="Credit Card"/>
    <s v="Employer Bonus"/>
  </r>
  <r>
    <s v="TXN102649"/>
    <x v="45"/>
    <x v="59"/>
    <x v="6"/>
    <x v="11"/>
    <x v="0"/>
    <n v="56.25"/>
    <s v="Revolut"/>
    <s v="Bank Transfer"/>
    <s v="Aral"/>
  </r>
  <r>
    <s v="TXN102937"/>
    <x v="45"/>
    <x v="79"/>
    <x v="5"/>
    <x v="23"/>
    <x v="0"/>
    <n v="725.47"/>
    <s v="Revolut"/>
    <s v="Credit Card"/>
    <s v="Travel Agency"/>
  </r>
  <r>
    <s v="TXN101376"/>
    <x v="46"/>
    <x v="72"/>
    <x v="3"/>
    <x v="8"/>
    <x v="1"/>
    <n v="331.41"/>
    <s v="Main Bank"/>
    <s v="Bank Transfer"/>
    <s v="Employer"/>
  </r>
  <r>
    <s v="TXN101688"/>
    <x v="46"/>
    <x v="44"/>
    <x v="2"/>
    <x v="16"/>
    <x v="0"/>
    <n v="190.65"/>
    <s v="Main Bank"/>
    <s v="Debit Card"/>
    <s v="Zalando"/>
  </r>
  <r>
    <s v="TXN102148"/>
    <x v="46"/>
    <x v="15"/>
    <x v="6"/>
    <x v="11"/>
    <x v="0"/>
    <n v="59.85"/>
    <s v="Savings"/>
    <s v="Credit Card"/>
    <s v="Auto Service"/>
  </r>
  <r>
    <s v="TXN100377"/>
    <x v="46"/>
    <x v="9"/>
    <x v="3"/>
    <x v="6"/>
    <x v="1"/>
    <n v="789.51"/>
    <s v="Savings"/>
    <s v="Debit Card"/>
    <s v="Employer Bonus"/>
  </r>
  <r>
    <s v="TXN103336"/>
    <x v="47"/>
    <x v="58"/>
    <x v="7"/>
    <x v="21"/>
    <x v="0"/>
    <n v="91.82"/>
    <s v="Main Bank"/>
    <s v="Debit Card"/>
    <s v="Doctor"/>
  </r>
  <r>
    <s v="TXN100266"/>
    <x v="47"/>
    <x v="28"/>
    <x v="7"/>
    <x v="14"/>
    <x v="0"/>
    <n v="19.68"/>
    <s v="Savings"/>
    <s v="Credit Card"/>
    <s v="Pharmacy"/>
  </r>
  <r>
    <s v="TXN102751"/>
    <x v="47"/>
    <x v="23"/>
    <x v="6"/>
    <x v="15"/>
    <x v="0"/>
    <n v="68.56"/>
    <s v="Main Bank"/>
    <s v="Bank Transfer"/>
    <s v="Shell"/>
  </r>
  <r>
    <s v="TXN101153"/>
    <x v="47"/>
    <x v="19"/>
    <x v="7"/>
    <x v="14"/>
    <x v="0"/>
    <n v="55.77"/>
    <s v="Main Bank"/>
    <s v="Bank Transfer"/>
    <s v="Gym"/>
  </r>
  <r>
    <s v="TXN102586"/>
    <x v="47"/>
    <x v="60"/>
    <x v="1"/>
    <x v="22"/>
    <x v="0"/>
    <n v="58.31"/>
    <s v="Revolut"/>
    <s v="Debit Card"/>
    <s v="Spotify"/>
  </r>
  <r>
    <s v="TXN101519"/>
    <x v="47"/>
    <x v="29"/>
    <x v="0"/>
    <x v="1"/>
    <x v="0"/>
    <n v="23.03"/>
    <s v="Main Bank"/>
    <s v="Bank Transfer"/>
    <s v="REWE"/>
  </r>
  <r>
    <s v="TXN100610"/>
    <x v="48"/>
    <x v="19"/>
    <x v="7"/>
    <x v="14"/>
    <x v="0"/>
    <n v="46.91"/>
    <s v="Revolut"/>
    <s v="Debit Card"/>
    <s v="Gym"/>
  </r>
  <r>
    <s v="TXN100262"/>
    <x v="48"/>
    <x v="72"/>
    <x v="3"/>
    <x v="8"/>
    <x v="1"/>
    <n v="331.44"/>
    <s v="Savings"/>
    <s v="Cash"/>
    <s v="Employer"/>
  </r>
  <r>
    <s v="TXN100911"/>
    <x v="48"/>
    <x v="18"/>
    <x v="1"/>
    <x v="13"/>
    <x v="0"/>
    <n v="82.59"/>
    <s v="Main Bank"/>
    <s v="Debit Card"/>
    <s v="Netflix"/>
  </r>
  <r>
    <s v="TXN102167"/>
    <x v="48"/>
    <x v="80"/>
    <x v="1"/>
    <x v="22"/>
    <x v="0"/>
    <n v="46.06"/>
    <s v="Savings"/>
    <s v="Credit Card"/>
    <s v="Cinema"/>
  </r>
  <r>
    <s v="TXN101499"/>
    <x v="48"/>
    <x v="15"/>
    <x v="6"/>
    <x v="11"/>
    <x v="0"/>
    <n v="84.89"/>
    <s v="Main Bank"/>
    <s v="Credit Card"/>
    <s v="Auto Service"/>
  </r>
  <r>
    <s v="TXN100203"/>
    <x v="48"/>
    <x v="34"/>
    <x v="0"/>
    <x v="5"/>
    <x v="0"/>
    <n v="11.62"/>
    <s v="Main Bank"/>
    <s v="Debit Card"/>
    <s v="Local Restaurant"/>
  </r>
  <r>
    <s v="TXN100235"/>
    <x v="48"/>
    <x v="81"/>
    <x v="0"/>
    <x v="5"/>
    <x v="0"/>
    <n v="27.48"/>
    <s v="Savings"/>
    <s v="Credit Card"/>
    <s v="REWE"/>
  </r>
  <r>
    <s v="TXN101807"/>
    <x v="49"/>
    <x v="74"/>
    <x v="1"/>
    <x v="13"/>
    <x v="0"/>
    <n v="115.38"/>
    <s v="Main Bank"/>
    <s v="Debit Card"/>
    <s v="Cinema"/>
  </r>
  <r>
    <s v="TXN100973"/>
    <x v="49"/>
    <x v="46"/>
    <x v="7"/>
    <x v="18"/>
    <x v="0"/>
    <n v="47.01"/>
    <s v="Main Bank"/>
    <s v="Debit Card"/>
    <s v="Gym"/>
  </r>
  <r>
    <s v="TXN102069"/>
    <x v="49"/>
    <x v="0"/>
    <x v="0"/>
    <x v="0"/>
    <x v="0"/>
    <n v="12.79"/>
    <s v="Main Bank"/>
    <s v="Direct Debit"/>
    <s v="Lidl"/>
  </r>
  <r>
    <s v="TXN103300"/>
    <x v="49"/>
    <x v="72"/>
    <x v="3"/>
    <x v="8"/>
    <x v="1"/>
    <n v="351.73"/>
    <s v="Revolut"/>
    <s v="Credit Card"/>
    <s v="Employer"/>
  </r>
  <r>
    <s v="TXN100102"/>
    <x v="49"/>
    <x v="35"/>
    <x v="1"/>
    <x v="13"/>
    <x v="0"/>
    <n v="29.57"/>
    <s v="Main Bank"/>
    <s v="Debit Card"/>
    <s v="Steam"/>
  </r>
  <r>
    <s v="TXN103471"/>
    <x v="49"/>
    <x v="63"/>
    <x v="4"/>
    <x v="19"/>
    <x v="0"/>
    <n v="909.73"/>
    <s v="Main Bank"/>
    <s v="Credit Card"/>
    <s v="Vodafone"/>
  </r>
  <r>
    <s v="TXN100398"/>
    <x v="50"/>
    <x v="37"/>
    <x v="6"/>
    <x v="12"/>
    <x v="0"/>
    <n v="65"/>
    <s v="Revolut"/>
    <s v="Credit Card"/>
    <s v="Shell"/>
  </r>
  <r>
    <s v="TXN102211"/>
    <x v="50"/>
    <x v="82"/>
    <x v="7"/>
    <x v="18"/>
    <x v="0"/>
    <n v="87.16"/>
    <s v="Revolut"/>
    <s v="Debit Card"/>
    <s v="Doctor"/>
  </r>
  <r>
    <s v="TXN102621"/>
    <x v="50"/>
    <x v="83"/>
    <x v="5"/>
    <x v="9"/>
    <x v="0"/>
    <n v="346.45"/>
    <s v="Main Bank"/>
    <s v="Direct Debit"/>
    <s v="Travel Agency"/>
  </r>
  <r>
    <s v="TXN100835"/>
    <x v="50"/>
    <x v="4"/>
    <x v="2"/>
    <x v="3"/>
    <x v="0"/>
    <n v="46.67"/>
    <s v="Main Bank"/>
    <s v="Debit Card"/>
    <s v="Zalando"/>
  </r>
  <r>
    <s v="TXN100196"/>
    <x v="50"/>
    <x v="37"/>
    <x v="6"/>
    <x v="12"/>
    <x v="0"/>
    <n v="32.28"/>
    <s v="Revolut"/>
    <s v="Bank Transfer"/>
    <s v="Shell"/>
  </r>
  <r>
    <s v="TXN100677"/>
    <x v="51"/>
    <x v="10"/>
    <x v="4"/>
    <x v="7"/>
    <x v="0"/>
    <n v="134.76"/>
    <s v="Main Bank"/>
    <s v="Credit Card"/>
    <s v="Landlord"/>
  </r>
  <r>
    <s v="TXN102644"/>
    <x v="51"/>
    <x v="18"/>
    <x v="1"/>
    <x v="13"/>
    <x v="0"/>
    <n v="8.33"/>
    <s v="Main Bank"/>
    <s v="Credit Card"/>
    <s v="Netflix"/>
  </r>
  <r>
    <s v="TXN100172"/>
    <x v="51"/>
    <x v="53"/>
    <x v="4"/>
    <x v="19"/>
    <x v="0"/>
    <n v="151.09"/>
    <s v="Main Bank"/>
    <s v="Bank Transfer"/>
    <s v="Energy Provider"/>
  </r>
  <r>
    <s v="TXN102188"/>
    <x v="51"/>
    <x v="56"/>
    <x v="5"/>
    <x v="20"/>
    <x v="0"/>
    <n v="215.51"/>
    <s v="Main Bank"/>
    <s v="Debit Card"/>
    <s v="Lufthansa"/>
  </r>
  <r>
    <s v="TXN101551"/>
    <x v="51"/>
    <x v="41"/>
    <x v="3"/>
    <x v="10"/>
    <x v="1"/>
    <n v="2223.73"/>
    <s v="Main Bank"/>
    <s v="Bank Transfer"/>
    <s v="Employer Bonus"/>
  </r>
  <r>
    <s v="TXN100735"/>
    <x v="51"/>
    <x v="36"/>
    <x v="6"/>
    <x v="15"/>
    <x v="0"/>
    <n v="69.36"/>
    <s v="Revolut"/>
    <s v="Debit Card"/>
    <s v="Aral"/>
  </r>
  <r>
    <s v="TXN102740"/>
    <x v="51"/>
    <x v="71"/>
    <x v="4"/>
    <x v="17"/>
    <x v="0"/>
    <n v="840.52"/>
    <s v="Savings"/>
    <s v="Debit Card"/>
    <s v="Vodafone"/>
  </r>
  <r>
    <s v="TXN103147"/>
    <x v="52"/>
    <x v="16"/>
    <x v="3"/>
    <x v="10"/>
    <x v="1"/>
    <n v="2070.9699999999998"/>
    <s v="Main Bank"/>
    <s v="Debit Card"/>
    <s v="Employer"/>
  </r>
  <r>
    <s v="TXN100371"/>
    <x v="52"/>
    <x v="50"/>
    <x v="4"/>
    <x v="17"/>
    <x v="0"/>
    <n v="367.8"/>
    <s v="Main Bank"/>
    <s v="Bank Transfer"/>
    <s v="Energy Provider"/>
  </r>
  <r>
    <s v="TXN101290"/>
    <x v="52"/>
    <x v="75"/>
    <x v="4"/>
    <x v="7"/>
    <x v="0"/>
    <n v="187.25"/>
    <s v="Revolut"/>
    <s v="Debit Card"/>
    <s v="Energy Provider"/>
  </r>
  <r>
    <s v="TXN103252"/>
    <x v="52"/>
    <x v="53"/>
    <x v="4"/>
    <x v="19"/>
    <x v="0"/>
    <n v="223.2"/>
    <s v="Main Bank"/>
    <s v="Debit Card"/>
    <s v="Energy Provider"/>
  </r>
  <r>
    <s v="TXN102768"/>
    <x v="52"/>
    <x v="48"/>
    <x v="0"/>
    <x v="5"/>
    <x v="0"/>
    <n v="10.79"/>
    <s v="Main Bank"/>
    <s v="Credit Card"/>
    <s v="EDEKA"/>
  </r>
  <r>
    <s v="TXN101602"/>
    <x v="52"/>
    <x v="73"/>
    <x v="6"/>
    <x v="12"/>
    <x v="0"/>
    <n v="177.06"/>
    <s v="Revolut"/>
    <s v="Debit Card"/>
    <s v="Aral"/>
  </r>
  <r>
    <s v="TXN103240"/>
    <x v="52"/>
    <x v="5"/>
    <x v="2"/>
    <x v="4"/>
    <x v="0"/>
    <n v="66.19"/>
    <s v="Main Bank"/>
    <s v="Cash"/>
    <s v="Amazon"/>
  </r>
  <r>
    <s v="TXN100221"/>
    <x v="53"/>
    <x v="3"/>
    <x v="1"/>
    <x v="2"/>
    <x v="0"/>
    <n v="56.02"/>
    <s v="Main Bank"/>
    <s v="Credit Card"/>
    <s v="Spotify"/>
  </r>
  <r>
    <s v="TXN103117"/>
    <x v="53"/>
    <x v="84"/>
    <x v="7"/>
    <x v="21"/>
    <x v="0"/>
    <n v="85.27"/>
    <s v="Savings"/>
    <s v="Bank Transfer"/>
    <s v="Gym"/>
  </r>
  <r>
    <s v="TXN102860"/>
    <x v="53"/>
    <x v="14"/>
    <x v="0"/>
    <x v="0"/>
    <x v="0"/>
    <n v="49.34"/>
    <s v="Revolut"/>
    <s v="Debit Card"/>
    <s v="REWE"/>
  </r>
  <r>
    <s v="TXN103089"/>
    <x v="53"/>
    <x v="66"/>
    <x v="2"/>
    <x v="3"/>
    <x v="0"/>
    <n v="80.23"/>
    <s v="Main Bank"/>
    <s v="Bank Transfer"/>
    <s v="MediaMarkt"/>
  </r>
  <r>
    <s v="TXN102774"/>
    <x v="54"/>
    <x v="5"/>
    <x v="2"/>
    <x v="4"/>
    <x v="0"/>
    <n v="257.32"/>
    <s v="Main Bank"/>
    <s v="Direct Debit"/>
    <s v="Amazon"/>
  </r>
  <r>
    <s v="TXN101921"/>
    <x v="54"/>
    <x v="19"/>
    <x v="7"/>
    <x v="14"/>
    <x v="0"/>
    <n v="59.12"/>
    <s v="Main Bank"/>
    <s v="Direct Debit"/>
    <s v="Gym"/>
  </r>
  <r>
    <s v="TXN101977"/>
    <x v="54"/>
    <x v="21"/>
    <x v="0"/>
    <x v="1"/>
    <x v="0"/>
    <n v="49.2"/>
    <s v="Savings"/>
    <s v="Credit Card"/>
    <s v="EDEKA"/>
  </r>
  <r>
    <s v="TXN103466"/>
    <x v="54"/>
    <x v="70"/>
    <x v="7"/>
    <x v="18"/>
    <x v="0"/>
    <n v="71.91"/>
    <s v="Main Bank"/>
    <s v="Bank Transfer"/>
    <s v="Pharmacy"/>
  </r>
  <r>
    <s v="TXN103059"/>
    <x v="55"/>
    <x v="38"/>
    <x v="4"/>
    <x v="7"/>
    <x v="0"/>
    <n v="254.84"/>
    <s v="Main Bank"/>
    <s v="Credit Card"/>
    <s v="Vodafone"/>
  </r>
  <r>
    <s v="TXN101158"/>
    <x v="55"/>
    <x v="16"/>
    <x v="3"/>
    <x v="10"/>
    <x v="1"/>
    <n v="2640.52"/>
    <s v="Main Bank"/>
    <s v="Cash"/>
    <s v="Employer"/>
  </r>
  <r>
    <s v="TXN102624"/>
    <x v="55"/>
    <x v="16"/>
    <x v="3"/>
    <x v="10"/>
    <x v="1"/>
    <n v="2852.98"/>
    <s v="Revolut"/>
    <s v="Debit Card"/>
    <s v="Employer"/>
  </r>
  <r>
    <s v="TXN101906"/>
    <x v="55"/>
    <x v="0"/>
    <x v="0"/>
    <x v="0"/>
    <x v="0"/>
    <n v="25.57"/>
    <s v="Main Bank"/>
    <s v="Debit Card"/>
    <s v="Lidl"/>
  </r>
  <r>
    <s v="TXN100698"/>
    <x v="56"/>
    <x v="66"/>
    <x v="2"/>
    <x v="3"/>
    <x v="0"/>
    <n v="114.34"/>
    <s v="Main Bank"/>
    <s v="Cash"/>
    <s v="MediaMarkt"/>
  </r>
  <r>
    <s v="TXN103496"/>
    <x v="56"/>
    <x v="54"/>
    <x v="0"/>
    <x v="5"/>
    <x v="0"/>
    <n v="48.96"/>
    <s v="Revolut"/>
    <s v="Debit Card"/>
    <s v="Lidl"/>
  </r>
  <r>
    <s v="TXN101739"/>
    <x v="56"/>
    <x v="59"/>
    <x v="6"/>
    <x v="11"/>
    <x v="0"/>
    <n v="75.11"/>
    <s v="Main Bank"/>
    <s v="Debit Card"/>
    <s v="Aral"/>
  </r>
  <r>
    <s v="TXN103397"/>
    <x v="56"/>
    <x v="31"/>
    <x v="3"/>
    <x v="6"/>
    <x v="1"/>
    <n v="703.42"/>
    <s v="Main Bank"/>
    <s v="Bank Transfer"/>
    <s v="Employer"/>
  </r>
  <r>
    <s v="TXN103100"/>
    <x v="57"/>
    <x v="51"/>
    <x v="6"/>
    <x v="15"/>
    <x v="0"/>
    <n v="47.13"/>
    <s v="Savings"/>
    <s v="Credit Card"/>
    <s v="DB"/>
  </r>
  <r>
    <s v="TXN101515"/>
    <x v="57"/>
    <x v="2"/>
    <x v="0"/>
    <x v="1"/>
    <x v="0"/>
    <n v="40.92"/>
    <s v="Revolut"/>
    <s v="Bank Transfer"/>
    <s v="Lidl"/>
  </r>
  <r>
    <s v="TXN103306"/>
    <x v="57"/>
    <x v="45"/>
    <x v="6"/>
    <x v="12"/>
    <x v="0"/>
    <n v="91.83"/>
    <s v="Main Bank"/>
    <s v="Credit Card"/>
    <s v="Local Transit"/>
  </r>
  <r>
    <s v="TXN101540"/>
    <x v="57"/>
    <x v="85"/>
    <x v="2"/>
    <x v="16"/>
    <x v="0"/>
    <n v="111.05"/>
    <s v="Main Bank"/>
    <s v="Bank Transfer"/>
    <s v="IKEA"/>
  </r>
  <r>
    <s v="TXN102009"/>
    <x v="57"/>
    <x v="53"/>
    <x v="4"/>
    <x v="19"/>
    <x v="0"/>
    <n v="215.91"/>
    <s v="Main Bank"/>
    <s v="Bank Transfer"/>
    <s v="Energy Provider"/>
  </r>
  <r>
    <s v="TXN101882"/>
    <x v="57"/>
    <x v="9"/>
    <x v="3"/>
    <x v="6"/>
    <x v="1"/>
    <n v="640.29999999999995"/>
    <s v="Main Bank"/>
    <s v="Debit Card"/>
    <s v="Employer Bonus"/>
  </r>
  <r>
    <s v="TXN103481"/>
    <x v="58"/>
    <x v="29"/>
    <x v="0"/>
    <x v="1"/>
    <x v="0"/>
    <n v="71.239999999999995"/>
    <s v="Main Bank"/>
    <s v="Credit Card"/>
    <s v="REWE"/>
  </r>
  <r>
    <s v="TXN101006"/>
    <x v="58"/>
    <x v="60"/>
    <x v="1"/>
    <x v="22"/>
    <x v="0"/>
    <n v="26.82"/>
    <s v="Main Bank"/>
    <s v="Bank Transfer"/>
    <s v="Spotify"/>
  </r>
  <r>
    <s v="TXN100386"/>
    <x v="58"/>
    <x v="16"/>
    <x v="3"/>
    <x v="10"/>
    <x v="1"/>
    <n v="2671.2"/>
    <s v="Main Bank"/>
    <s v="Cash"/>
    <s v="Employer"/>
  </r>
  <r>
    <s v="TXN101348"/>
    <x v="58"/>
    <x v="15"/>
    <x v="6"/>
    <x v="11"/>
    <x v="0"/>
    <n v="76.959999999999994"/>
    <s v="Revolut"/>
    <s v="Cash"/>
    <s v="Auto Service"/>
  </r>
  <r>
    <s v="TXN101258"/>
    <x v="59"/>
    <x v="22"/>
    <x v="2"/>
    <x v="4"/>
    <x v="0"/>
    <n v="130.96"/>
    <s v="Main Bank"/>
    <s v="Direct Debit"/>
    <s v="Zalando"/>
  </r>
  <r>
    <s v="TXN100365"/>
    <x v="59"/>
    <x v="31"/>
    <x v="3"/>
    <x v="6"/>
    <x v="1"/>
    <n v="667.65"/>
    <s v="Revolut"/>
    <s v="Bank Transfer"/>
    <s v="Employer"/>
  </r>
  <r>
    <s v="TXN101103"/>
    <x v="59"/>
    <x v="13"/>
    <x v="3"/>
    <x v="10"/>
    <x v="1"/>
    <n v="2490.71"/>
    <s v="Savings"/>
    <s v="Credit Card"/>
    <s v="Freelance Client"/>
  </r>
  <r>
    <s v="TXN102465"/>
    <x v="59"/>
    <x v="74"/>
    <x v="1"/>
    <x v="13"/>
    <x v="0"/>
    <n v="33.950000000000003"/>
    <s v="Main Bank"/>
    <s v="Credit Card"/>
    <s v="Cinema"/>
  </r>
  <r>
    <s v="TXN101775"/>
    <x v="59"/>
    <x v="83"/>
    <x v="5"/>
    <x v="9"/>
    <x v="0"/>
    <n v="928.88"/>
    <s v="Main Bank"/>
    <s v="Debit Card"/>
    <s v="Travel Agency"/>
  </r>
  <r>
    <s v="TXN102811"/>
    <x v="59"/>
    <x v="81"/>
    <x v="0"/>
    <x v="5"/>
    <x v="0"/>
    <n v="45.95"/>
    <s v="Revolut"/>
    <s v="Credit Card"/>
    <s v="REWE"/>
  </r>
  <r>
    <s v="TXN100551"/>
    <x v="59"/>
    <x v="57"/>
    <x v="2"/>
    <x v="3"/>
    <x v="0"/>
    <n v="172.35"/>
    <s v="Main Bank"/>
    <s v="Credit Card"/>
    <s v="IKEA"/>
  </r>
  <r>
    <s v="TXN102455"/>
    <x v="59"/>
    <x v="66"/>
    <x v="2"/>
    <x v="3"/>
    <x v="0"/>
    <n v="88.01"/>
    <s v="Savings"/>
    <s v="Debit Card"/>
    <s v="MediaMarkt"/>
  </r>
  <r>
    <s v="TXN102230"/>
    <x v="60"/>
    <x v="81"/>
    <x v="0"/>
    <x v="5"/>
    <x v="0"/>
    <n v="62.16"/>
    <s v="Main Bank"/>
    <s v="Debit Card"/>
    <s v="REWE"/>
  </r>
  <r>
    <s v="TXN102229"/>
    <x v="60"/>
    <x v="0"/>
    <x v="0"/>
    <x v="0"/>
    <x v="0"/>
    <n v="16.670000000000002"/>
    <s v="Revolut"/>
    <s v="Bank Transfer"/>
    <s v="Lidl"/>
  </r>
  <r>
    <s v="TXN101973"/>
    <x v="60"/>
    <x v="6"/>
    <x v="0"/>
    <x v="1"/>
    <x v="0"/>
    <n v="85.62"/>
    <s v="Main Bank"/>
    <s v="Debit Card"/>
    <s v="McDonald's"/>
  </r>
  <r>
    <s v="TXN101840"/>
    <x v="60"/>
    <x v="29"/>
    <x v="0"/>
    <x v="1"/>
    <x v="0"/>
    <n v="52.3"/>
    <s v="Main Bank"/>
    <s v="Direct Debit"/>
    <s v="REWE"/>
  </r>
  <r>
    <s v="TXN102005"/>
    <x v="61"/>
    <x v="26"/>
    <x v="0"/>
    <x v="1"/>
    <x v="0"/>
    <n v="53.36"/>
    <s v="Revolut"/>
    <s v="Credit Card"/>
    <s v="Local Restaurant"/>
  </r>
  <r>
    <s v="TXN102715"/>
    <x v="61"/>
    <x v="10"/>
    <x v="4"/>
    <x v="7"/>
    <x v="0"/>
    <n v="354.89"/>
    <s v="Main Bank"/>
    <s v="Bank Transfer"/>
    <s v="Landlord"/>
  </r>
  <r>
    <s v="TXN100373"/>
    <x v="61"/>
    <x v="43"/>
    <x v="4"/>
    <x v="17"/>
    <x v="0"/>
    <n v="468.01"/>
    <s v="Revolut"/>
    <s v="Bank Transfer"/>
    <s v="Landlord"/>
  </r>
  <r>
    <s v="TXN103224"/>
    <x v="61"/>
    <x v="53"/>
    <x v="4"/>
    <x v="19"/>
    <x v="0"/>
    <n v="361.27"/>
    <s v="Revolut"/>
    <s v="Debit Card"/>
    <s v="Energy Provider"/>
  </r>
  <r>
    <s v="TXN102543"/>
    <x v="61"/>
    <x v="72"/>
    <x v="3"/>
    <x v="8"/>
    <x v="1"/>
    <n v="319.49"/>
    <s v="Main Bank"/>
    <s v="Bank Transfer"/>
    <s v="Employer"/>
  </r>
  <r>
    <s v="TXN102566"/>
    <x v="61"/>
    <x v="21"/>
    <x v="0"/>
    <x v="1"/>
    <x v="0"/>
    <n v="144.47999999999999"/>
    <s v="Main Bank"/>
    <s v="Debit Card"/>
    <s v="EDEKA"/>
  </r>
  <r>
    <s v="TXN102205"/>
    <x v="62"/>
    <x v="84"/>
    <x v="7"/>
    <x v="21"/>
    <x v="0"/>
    <n v="27.24"/>
    <s v="Main Bank"/>
    <s v="Credit Card"/>
    <s v="Gym"/>
  </r>
  <r>
    <s v="TXN102672"/>
    <x v="62"/>
    <x v="37"/>
    <x v="6"/>
    <x v="12"/>
    <x v="0"/>
    <n v="78.28"/>
    <s v="Revolut"/>
    <s v="Bank Transfer"/>
    <s v="Shell"/>
  </r>
  <r>
    <s v="TXN103284"/>
    <x v="62"/>
    <x v="13"/>
    <x v="3"/>
    <x v="10"/>
    <x v="1"/>
    <n v="2294.36"/>
    <s v="Revolut"/>
    <s v="Bank Transfer"/>
    <s v="Freelance Client"/>
  </r>
  <r>
    <s v="TXN103256"/>
    <x v="62"/>
    <x v="29"/>
    <x v="0"/>
    <x v="1"/>
    <x v="0"/>
    <n v="52.42"/>
    <s v="Main Bank"/>
    <s v="Debit Card"/>
    <s v="REWE"/>
  </r>
  <r>
    <s v="TXN101077"/>
    <x v="62"/>
    <x v="78"/>
    <x v="6"/>
    <x v="15"/>
    <x v="0"/>
    <n v="47.67"/>
    <s v="Main Bank"/>
    <s v="Debit Card"/>
    <s v="Auto Service"/>
  </r>
  <r>
    <s v="TXN100818"/>
    <x v="62"/>
    <x v="40"/>
    <x v="6"/>
    <x v="12"/>
    <x v="0"/>
    <n v="54.99"/>
    <s v="Revolut"/>
    <s v="Debit Card"/>
    <s v="DB"/>
  </r>
  <r>
    <s v="TXN101082"/>
    <x v="62"/>
    <x v="47"/>
    <x v="4"/>
    <x v="19"/>
    <x v="0"/>
    <n v="269.99"/>
    <s v="Main Bank"/>
    <s v="Cash"/>
    <s v="Landlord"/>
  </r>
  <r>
    <s v="TXN100500"/>
    <x v="62"/>
    <x v="67"/>
    <x v="3"/>
    <x v="6"/>
    <x v="1"/>
    <n v="695.88"/>
    <s v="Revolut"/>
    <s v="Direct Debit"/>
    <s v="Freelance Client"/>
  </r>
  <r>
    <s v="TXN102911"/>
    <x v="63"/>
    <x v="0"/>
    <x v="0"/>
    <x v="0"/>
    <x v="0"/>
    <n v="51.92"/>
    <s v="Main Bank"/>
    <s v="Debit Card"/>
    <s v="Lidl"/>
  </r>
  <r>
    <s v="TXN102446"/>
    <x v="63"/>
    <x v="1"/>
    <x v="0"/>
    <x v="0"/>
    <x v="0"/>
    <n v="23.23"/>
    <s v="Savings"/>
    <s v="Credit Card"/>
    <s v="EDEKA"/>
  </r>
  <r>
    <s v="TXN100643"/>
    <x v="63"/>
    <x v="8"/>
    <x v="0"/>
    <x v="5"/>
    <x v="0"/>
    <n v="39.42"/>
    <s v="Savings"/>
    <s v="Cash"/>
    <s v="McDonald's"/>
  </r>
  <r>
    <s v="TXN100512"/>
    <x v="63"/>
    <x v="30"/>
    <x v="6"/>
    <x v="11"/>
    <x v="0"/>
    <n v="184.02"/>
    <s v="Main Bank"/>
    <s v="Debit Card"/>
    <s v="DB"/>
  </r>
  <r>
    <s v="TXN100952"/>
    <x v="63"/>
    <x v="77"/>
    <x v="1"/>
    <x v="22"/>
    <x v="0"/>
    <n v="29.14"/>
    <s v="Main Bank"/>
    <s v="Bank Transfer"/>
    <s v="Steam"/>
  </r>
  <r>
    <s v="TXN100949"/>
    <x v="63"/>
    <x v="11"/>
    <x v="3"/>
    <x v="8"/>
    <x v="1"/>
    <n v="369.85"/>
    <s v="Main Bank"/>
    <s v="Debit Card"/>
    <s v="Freelance Client"/>
  </r>
  <r>
    <s v="TXN102065"/>
    <x v="64"/>
    <x v="47"/>
    <x v="4"/>
    <x v="19"/>
    <x v="0"/>
    <n v="479.88"/>
    <s v="Main Bank"/>
    <s v="Direct Debit"/>
    <s v="Landlord"/>
  </r>
  <r>
    <s v="TXN100867"/>
    <x v="64"/>
    <x v="81"/>
    <x v="0"/>
    <x v="5"/>
    <x v="0"/>
    <n v="79.260000000000005"/>
    <s v="Revolut"/>
    <s v="Credit Card"/>
    <s v="REWE"/>
  </r>
  <r>
    <s v="TXN102564"/>
    <x v="64"/>
    <x v="50"/>
    <x v="4"/>
    <x v="17"/>
    <x v="0"/>
    <n v="287.11"/>
    <s v="Main Bank"/>
    <s v="Credit Card"/>
    <s v="Energy Provider"/>
  </r>
  <r>
    <s v="TXN101421"/>
    <x v="64"/>
    <x v="14"/>
    <x v="0"/>
    <x v="0"/>
    <x v="0"/>
    <n v="70.75"/>
    <s v="Revolut"/>
    <s v="Direct Debit"/>
    <s v="REWE"/>
  </r>
  <r>
    <s v="TXN100724"/>
    <x v="64"/>
    <x v="28"/>
    <x v="7"/>
    <x v="14"/>
    <x v="0"/>
    <n v="49.55"/>
    <s v="Revolut"/>
    <s v="Cash"/>
    <s v="Pharmacy"/>
  </r>
  <r>
    <s v="TXN102259"/>
    <x v="64"/>
    <x v="48"/>
    <x v="0"/>
    <x v="5"/>
    <x v="0"/>
    <n v="18.79"/>
    <s v="Main Bank"/>
    <s v="Bank Transfer"/>
    <s v="EDEKA"/>
  </r>
  <r>
    <s v="TXN102193"/>
    <x v="64"/>
    <x v="32"/>
    <x v="1"/>
    <x v="2"/>
    <x v="0"/>
    <n v="41.56"/>
    <s v="Main Bank"/>
    <s v="Debit Card"/>
    <s v="Cinema"/>
  </r>
  <r>
    <s v="TXN101590"/>
    <x v="64"/>
    <x v="70"/>
    <x v="7"/>
    <x v="18"/>
    <x v="0"/>
    <n v="76.599999999999994"/>
    <s v="Revolut"/>
    <s v="Debit Card"/>
    <s v="Pharmacy"/>
  </r>
  <r>
    <s v="TXN101062"/>
    <x v="64"/>
    <x v="72"/>
    <x v="3"/>
    <x v="8"/>
    <x v="1"/>
    <n v="322.26"/>
    <s v="Main Bank"/>
    <s v="Debit Card"/>
    <s v="Employer"/>
  </r>
  <r>
    <s v="TXN103382"/>
    <x v="65"/>
    <x v="15"/>
    <x v="6"/>
    <x v="11"/>
    <x v="0"/>
    <n v="62.56"/>
    <s v="Main Bank"/>
    <s v="Bank Transfer"/>
    <s v="Auto Service"/>
  </r>
  <r>
    <s v="TXN100915"/>
    <x v="65"/>
    <x v="44"/>
    <x v="2"/>
    <x v="16"/>
    <x v="0"/>
    <n v="194.54"/>
    <s v="Savings"/>
    <s v="Debit Card"/>
    <s v="Zalando"/>
  </r>
  <r>
    <s v="TXN101100"/>
    <x v="65"/>
    <x v="52"/>
    <x v="6"/>
    <x v="11"/>
    <x v="0"/>
    <n v="119.89"/>
    <s v="Main Bank"/>
    <s v="Debit Card"/>
    <s v="Local Transit"/>
  </r>
  <r>
    <s v="TXN101005"/>
    <x v="65"/>
    <x v="41"/>
    <x v="3"/>
    <x v="10"/>
    <x v="1"/>
    <n v="2438.39"/>
    <s v="Main Bank"/>
    <s v="Debit Card"/>
    <s v="Employer Bonus"/>
  </r>
  <r>
    <s v="TXN102162"/>
    <x v="65"/>
    <x v="49"/>
    <x v="1"/>
    <x v="13"/>
    <x v="0"/>
    <n v="42.66"/>
    <s v="Main Bank"/>
    <s v="Credit Card"/>
    <s v="Spotify"/>
  </r>
  <r>
    <s v="TXN103180"/>
    <x v="65"/>
    <x v="74"/>
    <x v="1"/>
    <x v="13"/>
    <x v="0"/>
    <n v="108.96"/>
    <s v="Revolut"/>
    <s v="Bank Transfer"/>
    <s v="Cinema"/>
  </r>
  <r>
    <s v="TXN102264"/>
    <x v="65"/>
    <x v="68"/>
    <x v="2"/>
    <x v="4"/>
    <x v="0"/>
    <n v="51.9"/>
    <s v="Main Bank"/>
    <s v="Debit Card"/>
    <s v="MediaMarkt"/>
  </r>
  <r>
    <s v="TXN101471"/>
    <x v="65"/>
    <x v="62"/>
    <x v="2"/>
    <x v="4"/>
    <x v="0"/>
    <n v="133.34"/>
    <s v="Savings"/>
    <s v="Debit Card"/>
    <s v="IKEA"/>
  </r>
  <r>
    <s v="TXN102956"/>
    <x v="66"/>
    <x v="46"/>
    <x v="7"/>
    <x v="18"/>
    <x v="0"/>
    <n v="134.72999999999999"/>
    <s v="Main Bank"/>
    <s v="Cash"/>
    <s v="Gym"/>
  </r>
  <r>
    <s v="TXN103488"/>
    <x v="66"/>
    <x v="53"/>
    <x v="4"/>
    <x v="19"/>
    <x v="0"/>
    <n v="130.74"/>
    <s v="Revolut"/>
    <s v="Bank Transfer"/>
    <s v="Energy Provider"/>
  </r>
  <r>
    <s v="TXN102067"/>
    <x v="66"/>
    <x v="48"/>
    <x v="0"/>
    <x v="5"/>
    <x v="0"/>
    <n v="40.380000000000003"/>
    <s v="Main Bank"/>
    <s v="Debit Card"/>
    <s v="EDEKA"/>
  </r>
  <r>
    <s v="TXN101470"/>
    <x v="66"/>
    <x v="83"/>
    <x v="5"/>
    <x v="9"/>
    <x v="0"/>
    <n v="99.35"/>
    <s v="Main Bank"/>
    <s v="Bank Transfer"/>
    <s v="Travel Agency"/>
  </r>
  <r>
    <s v="TXN102347"/>
    <x v="66"/>
    <x v="3"/>
    <x v="1"/>
    <x v="2"/>
    <x v="0"/>
    <n v="27.47"/>
    <s v="Main Bank"/>
    <s v="Cash"/>
    <s v="Spotify"/>
  </r>
  <r>
    <s v="TXN101067"/>
    <x v="66"/>
    <x v="7"/>
    <x v="0"/>
    <x v="0"/>
    <x v="0"/>
    <n v="25.83"/>
    <s v="Main Bank"/>
    <s v="Bank Transfer"/>
    <s v="Local Restaurant"/>
  </r>
  <r>
    <s v="TXN100255"/>
    <x v="66"/>
    <x v="29"/>
    <x v="0"/>
    <x v="1"/>
    <x v="0"/>
    <n v="39.89"/>
    <s v="Revolut"/>
    <s v="Debit Card"/>
    <s v="REWE"/>
  </r>
  <r>
    <s v="TXN101073"/>
    <x v="66"/>
    <x v="53"/>
    <x v="4"/>
    <x v="19"/>
    <x v="0"/>
    <n v="314.60000000000002"/>
    <s v="Main Bank"/>
    <s v="Debit Card"/>
    <s v="Energy Provider"/>
  </r>
  <r>
    <s v="TXN100881"/>
    <x v="66"/>
    <x v="2"/>
    <x v="0"/>
    <x v="1"/>
    <x v="0"/>
    <n v="47.37"/>
    <s v="Main Bank"/>
    <s v="Credit Card"/>
    <s v="Lidl"/>
  </r>
  <r>
    <s v="TXN103203"/>
    <x v="67"/>
    <x v="0"/>
    <x v="0"/>
    <x v="0"/>
    <x v="0"/>
    <n v="70.680000000000007"/>
    <s v="Revolut"/>
    <s v="Debit Card"/>
    <s v="Lidl"/>
  </r>
  <r>
    <s v="TXN102886"/>
    <x v="67"/>
    <x v="9"/>
    <x v="3"/>
    <x v="6"/>
    <x v="1"/>
    <n v="764.19"/>
    <s v="Main Bank"/>
    <s v="Direct Debit"/>
    <s v="Employer Bonus"/>
  </r>
  <r>
    <s v="TXN103013"/>
    <x v="67"/>
    <x v="7"/>
    <x v="0"/>
    <x v="0"/>
    <x v="0"/>
    <n v="18.73"/>
    <s v="Revolut"/>
    <s v="Credit Card"/>
    <s v="Local Restaurant"/>
  </r>
  <r>
    <s v="TXN102687"/>
    <x v="68"/>
    <x v="14"/>
    <x v="0"/>
    <x v="0"/>
    <x v="0"/>
    <n v="12.6"/>
    <s v="Revolut"/>
    <s v="Debit Card"/>
    <s v="REWE"/>
  </r>
  <r>
    <s v="TXN100123"/>
    <x v="68"/>
    <x v="6"/>
    <x v="0"/>
    <x v="1"/>
    <x v="0"/>
    <n v="45.73"/>
    <s v="Savings"/>
    <s v="Debit Card"/>
    <s v="McDonald's"/>
  </r>
  <r>
    <s v="TXN101905"/>
    <x v="68"/>
    <x v="84"/>
    <x v="7"/>
    <x v="21"/>
    <x v="0"/>
    <n v="47.53"/>
    <s v="Main Bank"/>
    <s v="Direct Debit"/>
    <s v="Gym"/>
  </r>
  <r>
    <s v="TXN103251"/>
    <x v="68"/>
    <x v="4"/>
    <x v="2"/>
    <x v="3"/>
    <x v="0"/>
    <n v="125.34"/>
    <s v="Main Bank"/>
    <s v="Debit Card"/>
    <s v="Zalando"/>
  </r>
  <r>
    <s v="TXN100009"/>
    <x v="68"/>
    <x v="80"/>
    <x v="1"/>
    <x v="22"/>
    <x v="0"/>
    <n v="18.25"/>
    <s v="Main Bank"/>
    <s v="Debit Card"/>
    <s v="Cinema"/>
  </r>
  <r>
    <s v="TXN101728"/>
    <x v="68"/>
    <x v="41"/>
    <x v="3"/>
    <x v="10"/>
    <x v="1"/>
    <n v="2613.88"/>
    <s v="Revolut"/>
    <s v="Bank Transfer"/>
    <s v="Employer Bonus"/>
  </r>
  <r>
    <s v="TXN101255"/>
    <x v="69"/>
    <x v="35"/>
    <x v="1"/>
    <x v="13"/>
    <x v="0"/>
    <n v="66.28"/>
    <s v="Main Bank"/>
    <s v="Cash"/>
    <s v="Steam"/>
  </r>
  <r>
    <s v="TXN100405"/>
    <x v="69"/>
    <x v="78"/>
    <x v="6"/>
    <x v="15"/>
    <x v="0"/>
    <n v="180.74"/>
    <s v="Main Bank"/>
    <s v="Debit Card"/>
    <s v="Auto Service"/>
  </r>
  <r>
    <s v="TXN103249"/>
    <x v="69"/>
    <x v="31"/>
    <x v="3"/>
    <x v="6"/>
    <x v="1"/>
    <n v="652.79999999999995"/>
    <s v="Savings"/>
    <s v="Credit Card"/>
    <s v="Employer"/>
  </r>
  <r>
    <s v="TXN103226"/>
    <x v="70"/>
    <x v="11"/>
    <x v="3"/>
    <x v="8"/>
    <x v="1"/>
    <n v="396.18"/>
    <s v="Main Bank"/>
    <s v="Credit Card"/>
    <s v="Freelance Client"/>
  </r>
  <r>
    <s v="TXN101081"/>
    <x v="70"/>
    <x v="86"/>
    <x v="5"/>
    <x v="9"/>
    <x v="0"/>
    <n v="199.47"/>
    <s v="Main Bank"/>
    <s v="Direct Debit"/>
    <s v="Booking.com"/>
  </r>
  <r>
    <s v="TXN100176"/>
    <x v="70"/>
    <x v="48"/>
    <x v="0"/>
    <x v="5"/>
    <x v="0"/>
    <n v="180"/>
    <s v="Main Bank"/>
    <s v="Bank Transfer"/>
    <s v="EDEKA"/>
  </r>
  <r>
    <s v="TXN102550"/>
    <x v="70"/>
    <x v="47"/>
    <x v="4"/>
    <x v="19"/>
    <x v="0"/>
    <n v="87.41"/>
    <s v="Main Bank"/>
    <s v="Bank Transfer"/>
    <s v="Landlord"/>
  </r>
  <r>
    <s v="TXN102131"/>
    <x v="70"/>
    <x v="29"/>
    <x v="0"/>
    <x v="1"/>
    <x v="0"/>
    <n v="23.46"/>
    <s v="Main Bank"/>
    <s v="Cash"/>
    <s v="REWE"/>
  </r>
  <r>
    <s v="TXN101513"/>
    <x v="70"/>
    <x v="16"/>
    <x v="3"/>
    <x v="10"/>
    <x v="1"/>
    <n v="2165.9899999999998"/>
    <s v="Main Bank"/>
    <s v="Direct Debit"/>
    <s v="Employer"/>
  </r>
  <r>
    <s v="TXN100011"/>
    <x v="71"/>
    <x v="43"/>
    <x v="4"/>
    <x v="17"/>
    <x v="0"/>
    <n v="209.53"/>
    <s v="Main Bank"/>
    <s v="Debit Card"/>
    <s v="Landlord"/>
  </r>
  <r>
    <s v="TXN100645"/>
    <x v="71"/>
    <x v="53"/>
    <x v="4"/>
    <x v="19"/>
    <x v="0"/>
    <n v="87.94"/>
    <s v="Main Bank"/>
    <s v="Debit Card"/>
    <s v="Energy Provider"/>
  </r>
  <r>
    <s v="TXN100267"/>
    <x v="71"/>
    <x v="46"/>
    <x v="7"/>
    <x v="18"/>
    <x v="0"/>
    <n v="71.98"/>
    <s v="Main Bank"/>
    <s v="Debit Card"/>
    <s v="Gym"/>
  </r>
  <r>
    <s v="TXN102931"/>
    <x v="71"/>
    <x v="18"/>
    <x v="1"/>
    <x v="13"/>
    <x v="0"/>
    <n v="19.649999999999999"/>
    <s v="Revolut"/>
    <s v="Bank Transfer"/>
    <s v="Netflix"/>
  </r>
  <r>
    <s v="TXN101752"/>
    <x v="72"/>
    <x v="48"/>
    <x v="0"/>
    <x v="5"/>
    <x v="0"/>
    <n v="15.87"/>
    <s v="Main Bank"/>
    <s v="Direct Debit"/>
    <s v="EDEKA"/>
  </r>
  <r>
    <s v="TXN101885"/>
    <x v="72"/>
    <x v="0"/>
    <x v="0"/>
    <x v="0"/>
    <x v="0"/>
    <n v="50.54"/>
    <s v="Savings"/>
    <s v="Direct Debit"/>
    <s v="Lidl"/>
  </r>
  <r>
    <s v="TXN100006"/>
    <x v="72"/>
    <x v="25"/>
    <x v="0"/>
    <x v="0"/>
    <x v="0"/>
    <n v="56.99"/>
    <s v="Savings"/>
    <s v="Bank Transfer"/>
    <s v="McDonald's"/>
  </r>
  <r>
    <s v="TXN101883"/>
    <x v="72"/>
    <x v="76"/>
    <x v="1"/>
    <x v="22"/>
    <x v="0"/>
    <n v="32.29"/>
    <s v="Revolut"/>
    <s v="Bank Transfer"/>
    <s v="Netflix"/>
  </r>
  <r>
    <s v="TXN101022"/>
    <x v="72"/>
    <x v="6"/>
    <x v="0"/>
    <x v="1"/>
    <x v="0"/>
    <n v="31.71"/>
    <s v="Main Bank"/>
    <s v="Debit Card"/>
    <s v="McDonald's"/>
  </r>
  <r>
    <s v="TXN100302"/>
    <x v="72"/>
    <x v="85"/>
    <x v="2"/>
    <x v="16"/>
    <x v="0"/>
    <n v="241.35"/>
    <s v="Revolut"/>
    <s v="Debit Card"/>
    <s v="IKEA"/>
  </r>
  <r>
    <s v="TXN103396"/>
    <x v="73"/>
    <x v="31"/>
    <x v="3"/>
    <x v="6"/>
    <x v="1"/>
    <n v="597.79999999999995"/>
    <s v="Revolut"/>
    <s v="Credit Card"/>
    <s v="Employer"/>
  </r>
  <r>
    <s v="TXN102095"/>
    <x v="73"/>
    <x v="26"/>
    <x v="0"/>
    <x v="1"/>
    <x v="0"/>
    <n v="19.87"/>
    <s v="Main Bank"/>
    <s v="Bank Transfer"/>
    <s v="Local Restaurant"/>
  </r>
  <r>
    <s v="TXN103438"/>
    <x v="73"/>
    <x v="65"/>
    <x v="1"/>
    <x v="2"/>
    <x v="0"/>
    <n v="58.97"/>
    <s v="Revolut"/>
    <s v="Debit Card"/>
    <s v="Netflix"/>
  </r>
  <r>
    <s v="TXN102987"/>
    <x v="73"/>
    <x v="38"/>
    <x v="4"/>
    <x v="7"/>
    <x v="0"/>
    <n v="161.6"/>
    <s v="Main Bank"/>
    <s v="Debit Card"/>
    <s v="Vodafone"/>
  </r>
  <r>
    <s v="TXN100261"/>
    <x v="73"/>
    <x v="60"/>
    <x v="1"/>
    <x v="22"/>
    <x v="0"/>
    <n v="40.15"/>
    <s v="Main Bank"/>
    <s v="Debit Card"/>
    <s v="Spotify"/>
  </r>
  <r>
    <s v="TXN100098"/>
    <x v="73"/>
    <x v="73"/>
    <x v="6"/>
    <x v="12"/>
    <x v="0"/>
    <n v="60.24"/>
    <s v="Savings"/>
    <s v="Debit Card"/>
    <s v="Aral"/>
  </r>
  <r>
    <s v="TXN102557"/>
    <x v="73"/>
    <x v="66"/>
    <x v="2"/>
    <x v="3"/>
    <x v="0"/>
    <n v="277.58"/>
    <s v="Main Bank"/>
    <s v="Debit Card"/>
    <s v="MediaMarkt"/>
  </r>
  <r>
    <s v="TXN103349"/>
    <x v="74"/>
    <x v="14"/>
    <x v="0"/>
    <x v="0"/>
    <x v="0"/>
    <n v="43.51"/>
    <s v="Main Bank"/>
    <s v="Debit Card"/>
    <s v="REWE"/>
  </r>
  <r>
    <s v="TXN103121"/>
    <x v="74"/>
    <x v="0"/>
    <x v="0"/>
    <x v="0"/>
    <x v="0"/>
    <n v="65.55"/>
    <s v="Revolut"/>
    <s v="Debit Card"/>
    <s v="Lidl"/>
  </r>
  <r>
    <s v="TXN102969"/>
    <x v="74"/>
    <x v="41"/>
    <x v="3"/>
    <x v="10"/>
    <x v="1"/>
    <n v="1987.36"/>
    <s v="Revolut"/>
    <s v="Direct Debit"/>
    <s v="Employer Bonus"/>
  </r>
  <r>
    <s v="TXN101175"/>
    <x v="74"/>
    <x v="76"/>
    <x v="1"/>
    <x v="22"/>
    <x v="0"/>
    <n v="25.01"/>
    <s v="Main Bank"/>
    <s v="Credit Card"/>
    <s v="Netflix"/>
  </r>
  <r>
    <s v="TXN102854"/>
    <x v="74"/>
    <x v="9"/>
    <x v="3"/>
    <x v="6"/>
    <x v="1"/>
    <n v="767.02"/>
    <s v="Savings"/>
    <s v="Debit Card"/>
    <s v="Employer Bonus"/>
  </r>
  <r>
    <s v="TXN102535"/>
    <x v="74"/>
    <x v="70"/>
    <x v="7"/>
    <x v="18"/>
    <x v="0"/>
    <n v="73.760000000000005"/>
    <s v="Main Bank"/>
    <s v="Direct Debit"/>
    <s v="Pharmacy"/>
  </r>
  <r>
    <s v="TXN100095"/>
    <x v="74"/>
    <x v="87"/>
    <x v="5"/>
    <x v="20"/>
    <x v="0"/>
    <n v="572.47"/>
    <s v="Main Bank"/>
    <s v="Debit Card"/>
    <s v="Booking.com"/>
  </r>
  <r>
    <s v="TXN103482"/>
    <x v="75"/>
    <x v="85"/>
    <x v="2"/>
    <x v="16"/>
    <x v="0"/>
    <n v="189.11"/>
    <s v="Revolut"/>
    <s v="Direct Debit"/>
    <s v="IKEA"/>
  </r>
  <r>
    <s v="TXN102796"/>
    <x v="75"/>
    <x v="76"/>
    <x v="1"/>
    <x v="22"/>
    <x v="0"/>
    <n v="27.79"/>
    <s v="Main Bank"/>
    <s v="Credit Card"/>
    <s v="Netflix"/>
  </r>
  <r>
    <s v="TXN102925"/>
    <x v="75"/>
    <x v="15"/>
    <x v="6"/>
    <x v="11"/>
    <x v="0"/>
    <n v="63.26"/>
    <s v="Main Bank"/>
    <s v="Debit Card"/>
    <s v="Auto Service"/>
  </r>
  <r>
    <s v="TXN102468"/>
    <x v="75"/>
    <x v="47"/>
    <x v="4"/>
    <x v="19"/>
    <x v="0"/>
    <n v="217.42"/>
    <s v="Main Bank"/>
    <s v="Debit Card"/>
    <s v="Landlord"/>
  </r>
  <r>
    <s v="TXN100358"/>
    <x v="75"/>
    <x v="44"/>
    <x v="2"/>
    <x v="16"/>
    <x v="0"/>
    <n v="143.05000000000001"/>
    <s v="Main Bank"/>
    <s v="Debit Card"/>
    <s v="Zalando"/>
  </r>
  <r>
    <s v="TXN100797"/>
    <x v="75"/>
    <x v="72"/>
    <x v="3"/>
    <x v="8"/>
    <x v="1"/>
    <n v="334.84"/>
    <s v="Revolut"/>
    <s v="Credit Card"/>
    <s v="Employer"/>
  </r>
  <r>
    <s v="TXN100311"/>
    <x v="75"/>
    <x v="88"/>
    <x v="6"/>
    <x v="11"/>
    <x v="0"/>
    <n v="35.880000000000003"/>
    <s v="Revolut"/>
    <s v="Debit Card"/>
    <s v="Shell"/>
  </r>
  <r>
    <s v="TXN101715"/>
    <x v="76"/>
    <x v="43"/>
    <x v="4"/>
    <x v="17"/>
    <x v="0"/>
    <n v="195.77"/>
    <s v="Main Bank"/>
    <s v="Debit Card"/>
    <s v="Landlord"/>
  </r>
  <r>
    <s v="TXN100617"/>
    <x v="76"/>
    <x v="38"/>
    <x v="4"/>
    <x v="7"/>
    <x v="0"/>
    <n v="322.86"/>
    <s v="Savings"/>
    <s v="Direct Debit"/>
    <s v="Vodafone"/>
  </r>
  <r>
    <s v="TXN101692"/>
    <x v="76"/>
    <x v="44"/>
    <x v="2"/>
    <x v="16"/>
    <x v="0"/>
    <n v="97.13"/>
    <s v="Main Bank"/>
    <s v="Credit Card"/>
    <s v="Zalando"/>
  </r>
  <r>
    <s v="TXN102657"/>
    <x v="76"/>
    <x v="31"/>
    <x v="3"/>
    <x v="6"/>
    <x v="1"/>
    <n v="798.69"/>
    <s v="Main Bank"/>
    <s v="Credit Card"/>
    <s v="Employer"/>
  </r>
  <r>
    <s v="TXN101916"/>
    <x v="76"/>
    <x v="19"/>
    <x v="7"/>
    <x v="14"/>
    <x v="0"/>
    <n v="45.81"/>
    <s v="Revolut"/>
    <s v="Direct Debit"/>
    <s v="Gym"/>
  </r>
  <r>
    <s v="TXN100704"/>
    <x v="76"/>
    <x v="54"/>
    <x v="0"/>
    <x v="5"/>
    <x v="0"/>
    <n v="76.239999999999995"/>
    <s v="Main Bank"/>
    <s v="Credit Card"/>
    <s v="Lidl"/>
  </r>
  <r>
    <s v="TXN102360"/>
    <x v="76"/>
    <x v="1"/>
    <x v="0"/>
    <x v="0"/>
    <x v="0"/>
    <n v="45.6"/>
    <s v="Main Bank"/>
    <s v="Debit Card"/>
    <s v="EDEKA"/>
  </r>
  <r>
    <s v="TXN103152"/>
    <x v="76"/>
    <x v="29"/>
    <x v="0"/>
    <x v="1"/>
    <x v="0"/>
    <n v="60.24"/>
    <s v="Revolut"/>
    <s v="Direct Debit"/>
    <s v="REWE"/>
  </r>
  <r>
    <s v="TXN100029"/>
    <x v="76"/>
    <x v="3"/>
    <x v="1"/>
    <x v="2"/>
    <x v="0"/>
    <n v="39.840000000000003"/>
    <s v="Revolut"/>
    <s v="Direct Debit"/>
    <s v="Spotify"/>
  </r>
  <r>
    <s v="TXN102344"/>
    <x v="76"/>
    <x v="88"/>
    <x v="6"/>
    <x v="11"/>
    <x v="0"/>
    <n v="53.02"/>
    <s v="Revolut"/>
    <s v="Bank Transfer"/>
    <s v="Shell"/>
  </r>
  <r>
    <s v="TXN100895"/>
    <x v="76"/>
    <x v="18"/>
    <x v="1"/>
    <x v="13"/>
    <x v="0"/>
    <n v="29.88"/>
    <s v="Main Bank"/>
    <s v="Debit Card"/>
    <s v="Netflix"/>
  </r>
  <r>
    <s v="TXN102895"/>
    <x v="77"/>
    <x v="14"/>
    <x v="0"/>
    <x v="0"/>
    <x v="0"/>
    <n v="37.450000000000003"/>
    <s v="Main Bank"/>
    <s v="Debit Card"/>
    <s v="REWE"/>
  </r>
  <r>
    <s v="TXN101189"/>
    <x v="77"/>
    <x v="34"/>
    <x v="0"/>
    <x v="5"/>
    <x v="0"/>
    <n v="47.54"/>
    <s v="Main Bank"/>
    <s v="Direct Debit"/>
    <s v="Local Restaurant"/>
  </r>
  <r>
    <s v="TXN101567"/>
    <x v="77"/>
    <x v="80"/>
    <x v="1"/>
    <x v="22"/>
    <x v="0"/>
    <n v="75.239999999999995"/>
    <s v="Revolut"/>
    <s v="Cash"/>
    <s v="Cinema"/>
  </r>
  <r>
    <s v="TXN100826"/>
    <x v="77"/>
    <x v="13"/>
    <x v="3"/>
    <x v="10"/>
    <x v="1"/>
    <n v="2109.34"/>
    <s v="Main Bank"/>
    <s v="Credit Card"/>
    <s v="Freelance Client"/>
  </r>
  <r>
    <s v="TXN101265"/>
    <x v="77"/>
    <x v="38"/>
    <x v="4"/>
    <x v="7"/>
    <x v="0"/>
    <n v="142.26"/>
    <s v="Revolut"/>
    <s v="Bank Transfer"/>
    <s v="Vodafone"/>
  </r>
  <r>
    <s v="TXN102955"/>
    <x v="77"/>
    <x v="9"/>
    <x v="3"/>
    <x v="6"/>
    <x v="1"/>
    <n v="762.38"/>
    <s v="Main Bank"/>
    <s v="Debit Card"/>
    <s v="Employer Bonus"/>
  </r>
  <r>
    <s v="TXN100832"/>
    <x v="78"/>
    <x v="33"/>
    <x v="2"/>
    <x v="16"/>
    <x v="0"/>
    <n v="82.32"/>
    <s v="Savings"/>
    <s v="Bank Transfer"/>
    <s v="Amazon"/>
  </r>
  <r>
    <s v="TXN100461"/>
    <x v="78"/>
    <x v="50"/>
    <x v="4"/>
    <x v="17"/>
    <x v="0"/>
    <n v="181.94"/>
    <s v="Main Bank"/>
    <s v="Bank Transfer"/>
    <s v="Energy Provider"/>
  </r>
  <r>
    <s v="TXN101511"/>
    <x v="78"/>
    <x v="31"/>
    <x v="3"/>
    <x v="6"/>
    <x v="1"/>
    <n v="702.44"/>
    <s v="Revolut"/>
    <s v="Debit Card"/>
    <s v="Employer"/>
  </r>
  <r>
    <s v="TXN101161"/>
    <x v="78"/>
    <x v="11"/>
    <x v="3"/>
    <x v="8"/>
    <x v="1"/>
    <n v="306.19"/>
    <s v="Main Bank"/>
    <s v="Bank Transfer"/>
    <s v="Freelance Client"/>
  </r>
  <r>
    <s v="TXN103295"/>
    <x v="78"/>
    <x v="31"/>
    <x v="3"/>
    <x v="6"/>
    <x v="1"/>
    <n v="566.03"/>
    <s v="Savings"/>
    <s v="Debit Card"/>
    <s v="Employer"/>
  </r>
  <r>
    <s v="TXN100661"/>
    <x v="78"/>
    <x v="40"/>
    <x v="6"/>
    <x v="12"/>
    <x v="0"/>
    <n v="72.239999999999995"/>
    <s v="Main Bank"/>
    <s v="Direct Debit"/>
    <s v="DB"/>
  </r>
  <r>
    <s v="TXN102079"/>
    <x v="79"/>
    <x v="9"/>
    <x v="3"/>
    <x v="6"/>
    <x v="1"/>
    <n v="802.8"/>
    <s v="Main Bank"/>
    <s v="Bank Transfer"/>
    <s v="Employer Bonus"/>
  </r>
  <r>
    <s v="TXN101639"/>
    <x v="79"/>
    <x v="9"/>
    <x v="3"/>
    <x v="6"/>
    <x v="1"/>
    <n v="603.79"/>
    <s v="Main Bank"/>
    <s v="Direct Debit"/>
    <s v="Employer Bonus"/>
  </r>
  <r>
    <s v="TXN103495"/>
    <x v="79"/>
    <x v="3"/>
    <x v="1"/>
    <x v="2"/>
    <x v="0"/>
    <n v="72.73"/>
    <s v="Revolut"/>
    <s v="Credit Card"/>
    <s v="Spotify"/>
  </r>
  <r>
    <s v="TXN102630"/>
    <x v="79"/>
    <x v="73"/>
    <x v="6"/>
    <x v="12"/>
    <x v="0"/>
    <n v="68.33"/>
    <s v="Revolut"/>
    <s v="Bank Transfer"/>
    <s v="Aral"/>
  </r>
  <r>
    <s v="TXN101120"/>
    <x v="79"/>
    <x v="81"/>
    <x v="0"/>
    <x v="5"/>
    <x v="0"/>
    <n v="28.1"/>
    <s v="Revolut"/>
    <s v="Bank Transfer"/>
    <s v="REWE"/>
  </r>
  <r>
    <s v="TXN101899"/>
    <x v="80"/>
    <x v="52"/>
    <x v="6"/>
    <x v="11"/>
    <x v="0"/>
    <n v="47.79"/>
    <s v="Revolut"/>
    <s v="Bank Transfer"/>
    <s v="Local Transit"/>
  </r>
  <r>
    <s v="TXN101304"/>
    <x v="80"/>
    <x v="20"/>
    <x v="2"/>
    <x v="3"/>
    <x v="0"/>
    <n v="100.18"/>
    <s v="Revolut"/>
    <s v="Debit Card"/>
    <s v="Amazon"/>
  </r>
  <r>
    <s v="TXN100114"/>
    <x v="80"/>
    <x v="16"/>
    <x v="3"/>
    <x v="10"/>
    <x v="1"/>
    <n v="2575.2600000000002"/>
    <s v="Revolut"/>
    <s v="Debit Card"/>
    <s v="Employer"/>
  </r>
  <r>
    <s v="TXN101141"/>
    <x v="80"/>
    <x v="31"/>
    <x v="3"/>
    <x v="6"/>
    <x v="1"/>
    <n v="627.34"/>
    <s v="Main Bank"/>
    <s v="Direct Debit"/>
    <s v="Employer"/>
  </r>
  <r>
    <s v="TXN101497"/>
    <x v="80"/>
    <x v="76"/>
    <x v="1"/>
    <x v="22"/>
    <x v="0"/>
    <n v="43.23"/>
    <s v="Main Bank"/>
    <s v="Debit Card"/>
    <s v="Netflix"/>
  </r>
  <r>
    <s v="TXN100796"/>
    <x v="81"/>
    <x v="41"/>
    <x v="3"/>
    <x v="10"/>
    <x v="1"/>
    <n v="2409.02"/>
    <s v="Revolut"/>
    <s v="Credit Card"/>
    <s v="Employer Bonus"/>
  </r>
  <r>
    <s v="TXN101065"/>
    <x v="81"/>
    <x v="78"/>
    <x v="6"/>
    <x v="15"/>
    <x v="0"/>
    <n v="100.9"/>
    <s v="Main Bank"/>
    <s v="Bank Transfer"/>
    <s v="Auto Service"/>
  </r>
  <r>
    <s v="TXN101160"/>
    <x v="81"/>
    <x v="47"/>
    <x v="4"/>
    <x v="19"/>
    <x v="0"/>
    <n v="289.64999999999998"/>
    <s v="Main Bank"/>
    <s v="Bank Transfer"/>
    <s v="Landlord"/>
  </r>
  <r>
    <s v="TXN101626"/>
    <x v="81"/>
    <x v="84"/>
    <x v="7"/>
    <x v="21"/>
    <x v="0"/>
    <n v="52.85"/>
    <s v="Savings"/>
    <s v="Debit Card"/>
    <s v="Gym"/>
  </r>
  <r>
    <s v="TXN102267"/>
    <x v="81"/>
    <x v="80"/>
    <x v="1"/>
    <x v="22"/>
    <x v="0"/>
    <n v="21.72"/>
    <s v="Revolut"/>
    <s v="Bank Transfer"/>
    <s v="Cinema"/>
  </r>
  <r>
    <s v="TXN100511"/>
    <x v="81"/>
    <x v="49"/>
    <x v="1"/>
    <x v="13"/>
    <x v="0"/>
    <n v="61.09"/>
    <s v="Main Bank"/>
    <s v="Bank Transfer"/>
    <s v="Spotify"/>
  </r>
  <r>
    <s v="TXN102519"/>
    <x v="82"/>
    <x v="60"/>
    <x v="1"/>
    <x v="22"/>
    <x v="0"/>
    <n v="29.41"/>
    <s v="Main Bank"/>
    <s v="Direct Debit"/>
    <s v="Spotify"/>
  </r>
  <r>
    <s v="TXN100548"/>
    <x v="82"/>
    <x v="74"/>
    <x v="1"/>
    <x v="13"/>
    <x v="0"/>
    <n v="36.409999999999997"/>
    <s v="Main Bank"/>
    <s v="Bank Transfer"/>
    <s v="Cinema"/>
  </r>
  <r>
    <s v="TXN101980"/>
    <x v="82"/>
    <x v="9"/>
    <x v="3"/>
    <x v="6"/>
    <x v="1"/>
    <n v="817.29"/>
    <s v="Main Bank"/>
    <s v="Debit Card"/>
    <s v="Employer Bonus"/>
  </r>
  <r>
    <s v="TXN101686"/>
    <x v="82"/>
    <x v="72"/>
    <x v="3"/>
    <x v="8"/>
    <x v="1"/>
    <n v="327.27"/>
    <s v="Main Bank"/>
    <s v="Debit Card"/>
    <s v="Employer"/>
  </r>
  <r>
    <s v="TXN100014"/>
    <x v="83"/>
    <x v="26"/>
    <x v="0"/>
    <x v="1"/>
    <x v="0"/>
    <n v="43.48"/>
    <s v="Revolut"/>
    <s v="Credit Card"/>
    <s v="Local Restaurant"/>
  </r>
  <r>
    <s v="TXN100865"/>
    <x v="84"/>
    <x v="15"/>
    <x v="6"/>
    <x v="11"/>
    <x v="0"/>
    <n v="40.26"/>
    <s v="Main Bank"/>
    <s v="Debit Card"/>
    <s v="Auto Service"/>
  </r>
  <r>
    <s v="TXN100142"/>
    <x v="84"/>
    <x v="21"/>
    <x v="0"/>
    <x v="1"/>
    <x v="0"/>
    <n v="89.81"/>
    <s v="Revolut"/>
    <s v="Credit Card"/>
    <s v="EDEKA"/>
  </r>
  <r>
    <s v="TXN102106"/>
    <x v="84"/>
    <x v="14"/>
    <x v="0"/>
    <x v="0"/>
    <x v="0"/>
    <n v="92.2"/>
    <s v="Main Bank"/>
    <s v="Cash"/>
    <s v="REWE"/>
  </r>
  <r>
    <s v="TXN100754"/>
    <x v="84"/>
    <x v="88"/>
    <x v="6"/>
    <x v="11"/>
    <x v="0"/>
    <n v="56.41"/>
    <s v="Savings"/>
    <s v="Debit Card"/>
    <s v="Shell"/>
  </r>
  <r>
    <s v="TXN100499"/>
    <x v="85"/>
    <x v="41"/>
    <x v="3"/>
    <x v="10"/>
    <x v="1"/>
    <n v="2192.88"/>
    <s v="Revolut"/>
    <s v="Debit Card"/>
    <s v="Employer Bonus"/>
  </r>
  <r>
    <s v="TXN101543"/>
    <x v="85"/>
    <x v="24"/>
    <x v="2"/>
    <x v="16"/>
    <x v="0"/>
    <n v="116.04"/>
    <s v="Revolut"/>
    <s v="Debit Card"/>
    <s v="MediaMarkt"/>
  </r>
  <r>
    <s v="TXN102920"/>
    <x v="85"/>
    <x v="29"/>
    <x v="0"/>
    <x v="1"/>
    <x v="0"/>
    <n v="12.77"/>
    <s v="Revolut"/>
    <s v="Debit Card"/>
    <s v="REWE"/>
  </r>
  <r>
    <s v="TXN103000"/>
    <x v="85"/>
    <x v="31"/>
    <x v="3"/>
    <x v="6"/>
    <x v="1"/>
    <n v="621.12"/>
    <s v="Revolut"/>
    <s v="Debit Card"/>
    <s v="Employer"/>
  </r>
  <r>
    <s v="TXN101296"/>
    <x v="85"/>
    <x v="29"/>
    <x v="0"/>
    <x v="1"/>
    <x v="0"/>
    <n v="14.69"/>
    <s v="Revolut"/>
    <s v="Cash"/>
    <s v="REWE"/>
  </r>
  <r>
    <s v="TXN102695"/>
    <x v="85"/>
    <x v="16"/>
    <x v="3"/>
    <x v="10"/>
    <x v="1"/>
    <n v="2523.0300000000002"/>
    <s v="Main Bank"/>
    <s v="Direct Debit"/>
    <s v="Employer"/>
  </r>
  <r>
    <s v="TXN102684"/>
    <x v="86"/>
    <x v="78"/>
    <x v="6"/>
    <x v="15"/>
    <x v="0"/>
    <n v="180.33"/>
    <s v="Main Bank"/>
    <s v="Debit Card"/>
    <s v="Auto Service"/>
  </r>
  <r>
    <s v="TXN101714"/>
    <x v="86"/>
    <x v="66"/>
    <x v="2"/>
    <x v="3"/>
    <x v="0"/>
    <n v="175.31"/>
    <s v="Main Bank"/>
    <s v="Credit Card"/>
    <s v="MediaMarkt"/>
  </r>
  <r>
    <s v="TXN103316"/>
    <x v="86"/>
    <x v="60"/>
    <x v="1"/>
    <x v="22"/>
    <x v="0"/>
    <n v="39.5"/>
    <s v="Revolut"/>
    <s v="Debit Card"/>
    <s v="Spotify"/>
  </r>
  <r>
    <s v="TXN100527"/>
    <x v="86"/>
    <x v="52"/>
    <x v="6"/>
    <x v="11"/>
    <x v="0"/>
    <n v="41.45"/>
    <s v="Main Bank"/>
    <s v="Debit Card"/>
    <s v="Local Transit"/>
  </r>
  <r>
    <s v="TXN101408"/>
    <x v="86"/>
    <x v="11"/>
    <x v="3"/>
    <x v="8"/>
    <x v="1"/>
    <n v="398.71"/>
    <s v="Main Bank"/>
    <s v="Debit Card"/>
    <s v="Freelance Client"/>
  </r>
  <r>
    <s v="TXN101312"/>
    <x v="87"/>
    <x v="13"/>
    <x v="3"/>
    <x v="10"/>
    <x v="1"/>
    <n v="2745.3"/>
    <s v="Revolut"/>
    <s v="Bank Transfer"/>
    <s v="Freelance Client"/>
  </r>
  <r>
    <s v="TXN100817"/>
    <x v="87"/>
    <x v="32"/>
    <x v="1"/>
    <x v="2"/>
    <x v="0"/>
    <n v="59.39"/>
    <s v="Main Bank"/>
    <s v="Debit Card"/>
    <s v="Cinema"/>
  </r>
  <r>
    <s v="TXN101366"/>
    <x v="87"/>
    <x v="21"/>
    <x v="0"/>
    <x v="1"/>
    <x v="0"/>
    <n v="125.58"/>
    <s v="Main Bank"/>
    <s v="Direct Debit"/>
    <s v="EDEKA"/>
  </r>
  <r>
    <s v="TXN103175"/>
    <x v="87"/>
    <x v="53"/>
    <x v="4"/>
    <x v="19"/>
    <x v="0"/>
    <n v="317.12"/>
    <s v="Revolut"/>
    <s v="Direct Debit"/>
    <s v="Energy Provider"/>
  </r>
  <r>
    <s v="TXN100328"/>
    <x v="87"/>
    <x v="77"/>
    <x v="1"/>
    <x v="22"/>
    <x v="0"/>
    <n v="23.47"/>
    <s v="Main Bank"/>
    <s v="Debit Card"/>
    <s v="Steam"/>
  </r>
  <r>
    <s v="TXN102122"/>
    <x v="87"/>
    <x v="85"/>
    <x v="2"/>
    <x v="16"/>
    <x v="0"/>
    <n v="75.2"/>
    <s v="Savings"/>
    <s v="Bank Transfer"/>
    <s v="IKEA"/>
  </r>
  <r>
    <s v="TXN101805"/>
    <x v="87"/>
    <x v="78"/>
    <x v="6"/>
    <x v="15"/>
    <x v="0"/>
    <n v="222.01"/>
    <s v="Main Bank"/>
    <s v="Credit Card"/>
    <s v="Auto Service"/>
  </r>
  <r>
    <s v="TXN103045"/>
    <x v="87"/>
    <x v="58"/>
    <x v="7"/>
    <x v="21"/>
    <x v="0"/>
    <n v="39.380000000000003"/>
    <s v="Revolut"/>
    <s v="Bank Transfer"/>
    <s v="Doctor"/>
  </r>
  <r>
    <s v="TXN101440"/>
    <x v="88"/>
    <x v="77"/>
    <x v="1"/>
    <x v="22"/>
    <x v="0"/>
    <n v="48.04"/>
    <s v="Savings"/>
    <s v="Direct Debit"/>
    <s v="Steam"/>
  </r>
  <r>
    <s v="TXN100743"/>
    <x v="88"/>
    <x v="19"/>
    <x v="7"/>
    <x v="14"/>
    <x v="0"/>
    <n v="43.51"/>
    <s v="Revolut"/>
    <s v="Credit Card"/>
    <s v="Gym"/>
  </r>
  <r>
    <s v="TXN100379"/>
    <x v="88"/>
    <x v="11"/>
    <x v="3"/>
    <x v="8"/>
    <x v="1"/>
    <n v="342.97"/>
    <s v="Main Bank"/>
    <s v="Cash"/>
    <s v="Freelance Client"/>
  </r>
  <r>
    <s v="TXN101136"/>
    <x v="88"/>
    <x v="47"/>
    <x v="4"/>
    <x v="19"/>
    <x v="0"/>
    <n v="180.41"/>
    <s v="Revolut"/>
    <s v="Debit Card"/>
    <s v="Landlord"/>
  </r>
  <r>
    <s v="TXN100877"/>
    <x v="88"/>
    <x v="46"/>
    <x v="7"/>
    <x v="18"/>
    <x v="0"/>
    <n v="101.45"/>
    <s v="Main Bank"/>
    <s v="Debit Card"/>
    <s v="Gym"/>
  </r>
  <r>
    <s v="TXN101854"/>
    <x v="88"/>
    <x v="41"/>
    <x v="3"/>
    <x v="10"/>
    <x v="1"/>
    <n v="2466.85"/>
    <s v="Main Bank"/>
    <s v="Bank Transfer"/>
    <s v="Employer Bonus"/>
  </r>
  <r>
    <s v="TXN102201"/>
    <x v="88"/>
    <x v="72"/>
    <x v="3"/>
    <x v="8"/>
    <x v="1"/>
    <n v="333.23"/>
    <s v="Main Bank"/>
    <s v="Debit Card"/>
    <s v="Employer"/>
  </r>
  <r>
    <s v="TXN100536"/>
    <x v="88"/>
    <x v="41"/>
    <x v="3"/>
    <x v="10"/>
    <x v="1"/>
    <n v="2253.17"/>
    <s v="Main Bank"/>
    <s v="Bank Transfer"/>
    <s v="Employer Bonus"/>
  </r>
  <r>
    <s v="TXN100042"/>
    <x v="88"/>
    <x v="22"/>
    <x v="2"/>
    <x v="4"/>
    <x v="0"/>
    <n v="203.75"/>
    <s v="Main Bank"/>
    <s v="Debit Card"/>
    <s v="Zalando"/>
  </r>
  <r>
    <s v="TXN101623"/>
    <x v="88"/>
    <x v="33"/>
    <x v="2"/>
    <x v="16"/>
    <x v="0"/>
    <n v="158.34"/>
    <s v="Savings"/>
    <s v="Debit Card"/>
    <s v="Amazon"/>
  </r>
  <r>
    <s v="TXN101940"/>
    <x v="89"/>
    <x v="63"/>
    <x v="4"/>
    <x v="19"/>
    <x v="0"/>
    <n v="197.71"/>
    <s v="Main Bank"/>
    <s v="Debit Card"/>
    <s v="Vodafone"/>
  </r>
  <r>
    <s v="TXN100413"/>
    <x v="89"/>
    <x v="55"/>
    <x v="3"/>
    <x v="8"/>
    <x v="1"/>
    <n v="329.09"/>
    <s v="Main Bank"/>
    <s v="Bank Transfer"/>
    <s v="Employer Bonus"/>
  </r>
  <r>
    <s v="TXN102214"/>
    <x v="89"/>
    <x v="67"/>
    <x v="3"/>
    <x v="6"/>
    <x v="1"/>
    <n v="746.83"/>
    <s v="Main Bank"/>
    <s v="Bank Transfer"/>
    <s v="Freelance Client"/>
  </r>
  <r>
    <s v="TXN101659"/>
    <x v="89"/>
    <x v="73"/>
    <x v="6"/>
    <x v="12"/>
    <x v="0"/>
    <n v="57.63"/>
    <s v="Main Bank"/>
    <s v="Cash"/>
    <s v="Aral"/>
  </r>
  <r>
    <s v="TXN101109"/>
    <x v="90"/>
    <x v="84"/>
    <x v="7"/>
    <x v="21"/>
    <x v="0"/>
    <n v="32.54"/>
    <s v="Main Bank"/>
    <s v="Bank Transfer"/>
    <s v="Gym"/>
  </r>
  <r>
    <s v="TXN101665"/>
    <x v="90"/>
    <x v="11"/>
    <x v="3"/>
    <x v="8"/>
    <x v="1"/>
    <n v="329.47"/>
    <s v="Main Bank"/>
    <s v="Debit Card"/>
    <s v="Freelance Client"/>
  </r>
  <r>
    <s v="TXN101020"/>
    <x v="90"/>
    <x v="63"/>
    <x v="4"/>
    <x v="19"/>
    <x v="0"/>
    <n v="339.91"/>
    <s v="Revolut"/>
    <s v="Bank Transfer"/>
    <s v="Vodafone"/>
  </r>
  <r>
    <s v="TXN103130"/>
    <x v="90"/>
    <x v="16"/>
    <x v="3"/>
    <x v="10"/>
    <x v="1"/>
    <n v="2434.41"/>
    <s v="Revolut"/>
    <s v="Debit Card"/>
    <s v="Employer"/>
  </r>
  <r>
    <s v="TXN102349"/>
    <x v="91"/>
    <x v="65"/>
    <x v="1"/>
    <x v="2"/>
    <x v="0"/>
    <n v="23.73"/>
    <s v="Main Bank"/>
    <s v="Debit Card"/>
    <s v="Netflix"/>
  </r>
  <r>
    <s v="TXN100274"/>
    <x v="91"/>
    <x v="67"/>
    <x v="3"/>
    <x v="6"/>
    <x v="1"/>
    <n v="717.33"/>
    <s v="Main Bank"/>
    <s v="Credit Card"/>
    <s v="Freelance Client"/>
  </r>
  <r>
    <s v="TXN101159"/>
    <x v="91"/>
    <x v="72"/>
    <x v="3"/>
    <x v="8"/>
    <x v="1"/>
    <n v="326.83999999999997"/>
    <s v="Main Bank"/>
    <s v="Debit Card"/>
    <s v="Employer"/>
  </r>
  <r>
    <s v="TXN102808"/>
    <x v="92"/>
    <x v="26"/>
    <x v="0"/>
    <x v="1"/>
    <x v="0"/>
    <n v="34.03"/>
    <s v="Main Bank"/>
    <s v="Debit Card"/>
    <s v="Local Restaurant"/>
  </r>
  <r>
    <s v="TXN101203"/>
    <x v="92"/>
    <x v="71"/>
    <x v="4"/>
    <x v="17"/>
    <x v="0"/>
    <n v="251.14"/>
    <s v="Revolut"/>
    <s v="Bank Transfer"/>
    <s v="Vodafone"/>
  </r>
  <r>
    <s v="TXN102437"/>
    <x v="92"/>
    <x v="59"/>
    <x v="6"/>
    <x v="11"/>
    <x v="0"/>
    <n v="18.100000000000001"/>
    <s v="Main Bank"/>
    <s v="Debit Card"/>
    <s v="Aral"/>
  </r>
  <r>
    <s v="TXN103461"/>
    <x v="93"/>
    <x v="14"/>
    <x v="0"/>
    <x v="0"/>
    <x v="0"/>
    <n v="20.52"/>
    <s v="Revolut"/>
    <s v="Bank Transfer"/>
    <s v="REWE"/>
  </r>
  <r>
    <s v="TXN101682"/>
    <x v="94"/>
    <x v="55"/>
    <x v="3"/>
    <x v="8"/>
    <x v="1"/>
    <n v="332.87"/>
    <s v="Savings"/>
    <s v="Debit Card"/>
    <s v="Employer Bonus"/>
  </r>
  <r>
    <s v="TXN101401"/>
    <x v="94"/>
    <x v="34"/>
    <x v="0"/>
    <x v="5"/>
    <x v="0"/>
    <n v="44.42"/>
    <s v="Savings"/>
    <s v="Direct Debit"/>
    <s v="Local Restaurant"/>
  </r>
  <r>
    <s v="TXN100922"/>
    <x v="95"/>
    <x v="22"/>
    <x v="2"/>
    <x v="4"/>
    <x v="0"/>
    <n v="47.75"/>
    <s v="Main Bank"/>
    <s v="Direct Debit"/>
    <s v="Zalando"/>
  </r>
  <r>
    <s v="TXN103439"/>
    <x v="95"/>
    <x v="72"/>
    <x v="3"/>
    <x v="8"/>
    <x v="1"/>
    <n v="336.36"/>
    <s v="Main Bank"/>
    <s v="Debit Card"/>
    <s v="Employer"/>
  </r>
  <r>
    <s v="TXN102605"/>
    <x v="95"/>
    <x v="38"/>
    <x v="4"/>
    <x v="7"/>
    <x v="0"/>
    <n v="272.29000000000002"/>
    <s v="Main Bank"/>
    <s v="Cash"/>
    <s v="Vodafone"/>
  </r>
  <r>
    <s v="TXN102155"/>
    <x v="95"/>
    <x v="63"/>
    <x v="4"/>
    <x v="19"/>
    <x v="0"/>
    <n v="386.65"/>
    <s v="Main Bank"/>
    <s v="Bank Transfer"/>
    <s v="Vodafone"/>
  </r>
  <r>
    <s v="TXN100271"/>
    <x v="96"/>
    <x v="9"/>
    <x v="3"/>
    <x v="6"/>
    <x v="1"/>
    <n v="787.55"/>
    <s v="Main Bank"/>
    <s v="Bank Transfer"/>
    <s v="Employer Bonus"/>
  </r>
  <r>
    <s v="TXN100995"/>
    <x v="96"/>
    <x v="42"/>
    <x v="6"/>
    <x v="15"/>
    <x v="0"/>
    <n v="23.75"/>
    <s v="Savings"/>
    <s v="Direct Debit"/>
    <s v="Local Transit"/>
  </r>
  <r>
    <s v="TXN100303"/>
    <x v="96"/>
    <x v="68"/>
    <x v="2"/>
    <x v="4"/>
    <x v="0"/>
    <n v="177.16"/>
    <s v="Revolut"/>
    <s v="Bank Transfer"/>
    <s v="MediaMarkt"/>
  </r>
  <r>
    <s v="TXN100211"/>
    <x v="96"/>
    <x v="44"/>
    <x v="2"/>
    <x v="16"/>
    <x v="0"/>
    <n v="207.6"/>
    <s v="Revolut"/>
    <s v="Bank Transfer"/>
    <s v="Zalando"/>
  </r>
  <r>
    <s v="TXN101712"/>
    <x v="96"/>
    <x v="43"/>
    <x v="4"/>
    <x v="17"/>
    <x v="0"/>
    <n v="162.85"/>
    <s v="Main Bank"/>
    <s v="Bank Transfer"/>
    <s v="Landlord"/>
  </r>
  <r>
    <s v="TXN101747"/>
    <x v="96"/>
    <x v="47"/>
    <x v="4"/>
    <x v="19"/>
    <x v="0"/>
    <n v="202.93"/>
    <s v="Main Bank"/>
    <s v="Bank Transfer"/>
    <s v="Landlord"/>
  </r>
  <r>
    <s v="TXN102355"/>
    <x v="96"/>
    <x v="82"/>
    <x v="7"/>
    <x v="18"/>
    <x v="0"/>
    <n v="92.99"/>
    <s v="Main Bank"/>
    <s v="Debit Card"/>
    <s v="Doctor"/>
  </r>
  <r>
    <s v="TXN102785"/>
    <x v="96"/>
    <x v="41"/>
    <x v="3"/>
    <x v="10"/>
    <x v="1"/>
    <n v="2676.19"/>
    <s v="Revolut"/>
    <s v="Debit Card"/>
    <s v="Employer Bonus"/>
  </r>
  <r>
    <s v="TXN103392"/>
    <x v="96"/>
    <x v="11"/>
    <x v="3"/>
    <x v="8"/>
    <x v="1"/>
    <n v="359.76"/>
    <s v="Revolut"/>
    <s v="Direct Debit"/>
    <s v="Freelance Client"/>
  </r>
  <r>
    <s v="TXN102299"/>
    <x v="96"/>
    <x v="10"/>
    <x v="4"/>
    <x v="7"/>
    <x v="0"/>
    <n v="142.30000000000001"/>
    <s v="Revolut"/>
    <s v="Bank Transfer"/>
    <s v="Landlord"/>
  </r>
  <r>
    <s v="TXN102583"/>
    <x v="97"/>
    <x v="85"/>
    <x v="2"/>
    <x v="16"/>
    <x v="0"/>
    <n v="136.63999999999999"/>
    <s v="Savings"/>
    <s v="Debit Card"/>
    <s v="IKEA"/>
  </r>
  <r>
    <s v="TXN102269"/>
    <x v="97"/>
    <x v="7"/>
    <x v="0"/>
    <x v="0"/>
    <x v="0"/>
    <n v="44.47"/>
    <s v="Main Bank"/>
    <s v="Debit Card"/>
    <s v="Local Restaurant"/>
  </r>
  <r>
    <s v="TXN102453"/>
    <x v="97"/>
    <x v="44"/>
    <x v="2"/>
    <x v="16"/>
    <x v="0"/>
    <n v="182.82"/>
    <s v="Savings"/>
    <s v="Credit Card"/>
    <s v="Zalando"/>
  </r>
  <r>
    <s v="TXN101112"/>
    <x v="97"/>
    <x v="26"/>
    <x v="0"/>
    <x v="1"/>
    <x v="0"/>
    <n v="63.61"/>
    <s v="Revolut"/>
    <s v="Direct Debit"/>
    <s v="Local Restaurant"/>
  </r>
  <r>
    <s v="TXN100317"/>
    <x v="97"/>
    <x v="42"/>
    <x v="6"/>
    <x v="15"/>
    <x v="0"/>
    <n v="33.06"/>
    <s v="Main Bank"/>
    <s v="Debit Card"/>
    <s v="Local Transit"/>
  </r>
  <r>
    <s v="TXN101393"/>
    <x v="97"/>
    <x v="25"/>
    <x v="0"/>
    <x v="0"/>
    <x v="0"/>
    <n v="42.56"/>
    <s v="Revolut"/>
    <s v="Credit Card"/>
    <s v="McDonald's"/>
  </r>
  <r>
    <s v="TXN100900"/>
    <x v="97"/>
    <x v="53"/>
    <x v="4"/>
    <x v="19"/>
    <x v="0"/>
    <n v="108.67"/>
    <s v="Main Bank"/>
    <s v="Debit Card"/>
    <s v="Energy Provider"/>
  </r>
  <r>
    <s v="TXN100984"/>
    <x v="97"/>
    <x v="71"/>
    <x v="4"/>
    <x v="17"/>
    <x v="0"/>
    <n v="167.72"/>
    <s v="Revolut"/>
    <s v="Credit Card"/>
    <s v="Vodafone"/>
  </r>
  <r>
    <s v="TXN103297"/>
    <x v="97"/>
    <x v="18"/>
    <x v="1"/>
    <x v="13"/>
    <x v="0"/>
    <n v="39.51"/>
    <s v="Revolut"/>
    <s v="Bank Transfer"/>
    <s v="Netflix"/>
  </r>
  <r>
    <s v="TXN100466"/>
    <x v="98"/>
    <x v="30"/>
    <x v="6"/>
    <x v="11"/>
    <x v="0"/>
    <n v="175.67"/>
    <s v="Revolut"/>
    <s v="Cash"/>
    <s v="DB"/>
  </r>
  <r>
    <s v="TXN102440"/>
    <x v="98"/>
    <x v="81"/>
    <x v="0"/>
    <x v="5"/>
    <x v="0"/>
    <n v="98.92"/>
    <s v="Revolut"/>
    <s v="Debit Card"/>
    <s v="REWE"/>
  </r>
  <r>
    <s v="TXN100884"/>
    <x v="98"/>
    <x v="75"/>
    <x v="4"/>
    <x v="7"/>
    <x v="0"/>
    <n v="458.01"/>
    <s v="Main Bank"/>
    <s v="Debit Card"/>
    <s v="Energy Provider"/>
  </r>
  <r>
    <s v="TXN100811"/>
    <x v="98"/>
    <x v="72"/>
    <x v="3"/>
    <x v="8"/>
    <x v="1"/>
    <n v="299.19"/>
    <s v="Main Bank"/>
    <s v="Debit Card"/>
    <s v="Employer"/>
  </r>
  <r>
    <s v="TXN101359"/>
    <x v="99"/>
    <x v="2"/>
    <x v="0"/>
    <x v="1"/>
    <x v="0"/>
    <n v="76.88"/>
    <s v="Main Bank"/>
    <s v="Debit Card"/>
    <s v="Lidl"/>
  </r>
  <r>
    <s v="TXN101696"/>
    <x v="99"/>
    <x v="53"/>
    <x v="4"/>
    <x v="19"/>
    <x v="0"/>
    <n v="219.77"/>
    <s v="Main Bank"/>
    <s v="Debit Card"/>
    <s v="Energy Provider"/>
  </r>
  <r>
    <s v="TXN101128"/>
    <x v="99"/>
    <x v="30"/>
    <x v="6"/>
    <x v="11"/>
    <x v="0"/>
    <n v="86.76"/>
    <s v="Main Bank"/>
    <s v="Debit Card"/>
    <s v="DB"/>
  </r>
  <r>
    <s v="TXN101849"/>
    <x v="99"/>
    <x v="55"/>
    <x v="3"/>
    <x v="8"/>
    <x v="1"/>
    <n v="336.9"/>
    <s v="Main Bank"/>
    <s v="Direct Debit"/>
    <s v="Employer Bonus"/>
  </r>
  <r>
    <s v="TXN101624"/>
    <x v="99"/>
    <x v="72"/>
    <x v="3"/>
    <x v="8"/>
    <x v="1"/>
    <n v="382.77"/>
    <s v="Main Bank"/>
    <s v="Direct Debit"/>
    <s v="Employer"/>
  </r>
  <r>
    <s v="TXN101746"/>
    <x v="100"/>
    <x v="4"/>
    <x v="2"/>
    <x v="3"/>
    <x v="0"/>
    <n v="441.99"/>
    <s v="Main Bank"/>
    <s v="Bank Transfer"/>
    <s v="Zalando"/>
  </r>
  <r>
    <s v="TXN100395"/>
    <x v="101"/>
    <x v="40"/>
    <x v="6"/>
    <x v="12"/>
    <x v="0"/>
    <n v="86.07"/>
    <s v="Revolut"/>
    <s v="Bank Transfer"/>
    <s v="DB"/>
  </r>
  <r>
    <s v="TXN102561"/>
    <x v="101"/>
    <x v="12"/>
    <x v="5"/>
    <x v="9"/>
    <x v="0"/>
    <n v="583.03"/>
    <s v="Main Bank"/>
    <s v="Bank Transfer"/>
    <s v="Lufthansa"/>
  </r>
  <r>
    <s v="TXN100419"/>
    <x v="101"/>
    <x v="74"/>
    <x v="1"/>
    <x v="13"/>
    <x v="0"/>
    <n v="70.64"/>
    <s v="Savings"/>
    <s v="Debit Card"/>
    <s v="Cinema"/>
  </r>
  <r>
    <s v="TXN100219"/>
    <x v="101"/>
    <x v="3"/>
    <x v="1"/>
    <x v="2"/>
    <x v="0"/>
    <n v="21.62"/>
    <s v="Main Bank"/>
    <s v="Bank Transfer"/>
    <s v="Spotify"/>
  </r>
  <r>
    <s v="TXN102991"/>
    <x v="101"/>
    <x v="14"/>
    <x v="0"/>
    <x v="0"/>
    <x v="0"/>
    <n v="54.68"/>
    <s v="Main Bank"/>
    <s v="Debit Card"/>
    <s v="REWE"/>
  </r>
  <r>
    <s v="TXN103360"/>
    <x v="101"/>
    <x v="32"/>
    <x v="1"/>
    <x v="2"/>
    <x v="0"/>
    <n v="40.21"/>
    <s v="Revolut"/>
    <s v="Debit Card"/>
    <s v="Cinema"/>
  </r>
  <r>
    <s v="TXN101620"/>
    <x v="102"/>
    <x v="70"/>
    <x v="7"/>
    <x v="18"/>
    <x v="0"/>
    <n v="34.22"/>
    <s v="Main Bank"/>
    <s v="Debit Card"/>
    <s v="Pharmacy"/>
  </r>
  <r>
    <s v="TXN101808"/>
    <x v="102"/>
    <x v="14"/>
    <x v="0"/>
    <x v="0"/>
    <x v="0"/>
    <n v="23.47"/>
    <s v="Revolut"/>
    <s v="Bank Transfer"/>
    <s v="REWE"/>
  </r>
  <r>
    <s v="TXN103107"/>
    <x v="102"/>
    <x v="58"/>
    <x v="7"/>
    <x v="21"/>
    <x v="0"/>
    <n v="144.96"/>
    <s v="Main Bank"/>
    <s v="Bank Transfer"/>
    <s v="Doctor"/>
  </r>
  <r>
    <s v="TXN102415"/>
    <x v="102"/>
    <x v="68"/>
    <x v="2"/>
    <x v="4"/>
    <x v="0"/>
    <n v="243.16"/>
    <s v="Main Bank"/>
    <s v="Debit Card"/>
    <s v="MediaMarkt"/>
  </r>
  <r>
    <s v="TXN101061"/>
    <x v="102"/>
    <x v="55"/>
    <x v="3"/>
    <x v="8"/>
    <x v="1"/>
    <n v="334.87"/>
    <s v="Revolut"/>
    <s v="Bank Transfer"/>
    <s v="Employer Bonus"/>
  </r>
  <r>
    <s v="TXN101041"/>
    <x v="102"/>
    <x v="33"/>
    <x v="2"/>
    <x v="16"/>
    <x v="0"/>
    <n v="96.21"/>
    <s v="Revolut"/>
    <s v="Bank Transfer"/>
    <s v="Amazon"/>
  </r>
  <r>
    <s v="TXN100655"/>
    <x v="102"/>
    <x v="23"/>
    <x v="6"/>
    <x v="15"/>
    <x v="0"/>
    <n v="38.270000000000003"/>
    <s v="Main Bank"/>
    <s v="Bank Transfer"/>
    <s v="Shell"/>
  </r>
  <r>
    <s v="TXN103379"/>
    <x v="102"/>
    <x v="47"/>
    <x v="4"/>
    <x v="19"/>
    <x v="0"/>
    <n v="177.47"/>
    <s v="Main Bank"/>
    <s v="Debit Card"/>
    <s v="Landlord"/>
  </r>
  <r>
    <s v="TXN102702"/>
    <x v="103"/>
    <x v="41"/>
    <x v="3"/>
    <x v="10"/>
    <x v="1"/>
    <n v="1486.49"/>
    <s v="Revolut"/>
    <s v="Debit Card"/>
    <s v="Employer Bonus"/>
  </r>
  <r>
    <s v="TXN101544"/>
    <x v="103"/>
    <x v="29"/>
    <x v="0"/>
    <x v="1"/>
    <x v="0"/>
    <n v="24.95"/>
    <s v="Revolut"/>
    <s v="Debit Card"/>
    <s v="REWE"/>
  </r>
  <r>
    <s v="TXN102241"/>
    <x v="104"/>
    <x v="87"/>
    <x v="5"/>
    <x v="20"/>
    <x v="0"/>
    <n v="403.01"/>
    <s v="Main Bank"/>
    <s v="Credit Card"/>
    <s v="Booking.com"/>
  </r>
  <r>
    <s v="TXN100137"/>
    <x v="104"/>
    <x v="68"/>
    <x v="2"/>
    <x v="4"/>
    <x v="0"/>
    <n v="183.11"/>
    <s v="Main Bank"/>
    <s v="Credit Card"/>
    <s v="MediaMarkt"/>
  </r>
  <r>
    <s v="TXN100891"/>
    <x v="105"/>
    <x v="58"/>
    <x v="7"/>
    <x v="21"/>
    <x v="0"/>
    <n v="250"/>
    <s v="Main Bank"/>
    <s v="Bank Transfer"/>
    <s v="Doctor"/>
  </r>
  <r>
    <s v="TXN101325"/>
    <x v="105"/>
    <x v="55"/>
    <x v="3"/>
    <x v="8"/>
    <x v="1"/>
    <n v="409.99"/>
    <s v="Main Bank"/>
    <s v="Credit Card"/>
    <s v="Employer Bonus"/>
  </r>
  <r>
    <s v="TXN101745"/>
    <x v="105"/>
    <x v="23"/>
    <x v="6"/>
    <x v="15"/>
    <x v="0"/>
    <n v="38.07"/>
    <s v="Main Bank"/>
    <s v="Credit Card"/>
    <s v="Shell"/>
  </r>
  <r>
    <s v="TXN103114"/>
    <x v="105"/>
    <x v="38"/>
    <x v="4"/>
    <x v="7"/>
    <x v="0"/>
    <n v="298.41000000000003"/>
    <s v="Savings"/>
    <s v="Bank Transfer"/>
    <s v="Vodafone"/>
  </r>
  <r>
    <s v="TXN100690"/>
    <x v="105"/>
    <x v="14"/>
    <x v="0"/>
    <x v="0"/>
    <x v="0"/>
    <n v="25.69"/>
    <s v="Revolut"/>
    <s v="Bank Transfer"/>
    <s v="REWE"/>
  </r>
  <r>
    <s v="TXN100653"/>
    <x v="106"/>
    <x v="4"/>
    <x v="2"/>
    <x v="3"/>
    <x v="0"/>
    <n v="189.81"/>
    <s v="Main Bank"/>
    <s v="Credit Card"/>
    <s v="Zalando"/>
  </r>
  <r>
    <s v="TXN100277"/>
    <x v="106"/>
    <x v="89"/>
    <x v="5"/>
    <x v="23"/>
    <x v="0"/>
    <n v="653.19000000000005"/>
    <s v="Main Bank"/>
    <s v="Cash"/>
    <s v="Lufthansa"/>
  </r>
  <r>
    <s v="TXN102156"/>
    <x v="106"/>
    <x v="6"/>
    <x v="0"/>
    <x v="1"/>
    <x v="0"/>
    <n v="105.46"/>
    <s v="Main Bank"/>
    <s v="Bank Transfer"/>
    <s v="McDonald's"/>
  </r>
  <r>
    <s v="TXN103309"/>
    <x v="106"/>
    <x v="40"/>
    <x v="6"/>
    <x v="12"/>
    <x v="0"/>
    <n v="25.59"/>
    <s v="Main Bank"/>
    <s v="Debit Card"/>
    <s v="DB"/>
  </r>
  <r>
    <s v="TXN103262"/>
    <x v="106"/>
    <x v="33"/>
    <x v="2"/>
    <x v="16"/>
    <x v="0"/>
    <n v="69.45"/>
    <s v="Revolut"/>
    <s v="Credit Card"/>
    <s v="Amazon"/>
  </r>
  <r>
    <s v="TXN101143"/>
    <x v="106"/>
    <x v="49"/>
    <x v="1"/>
    <x v="13"/>
    <x v="0"/>
    <n v="10.73"/>
    <s v="Revolut"/>
    <s v="Debit Card"/>
    <s v="Spotify"/>
  </r>
  <r>
    <s v="TXN101392"/>
    <x v="106"/>
    <x v="63"/>
    <x v="4"/>
    <x v="19"/>
    <x v="0"/>
    <n v="75.290000000000006"/>
    <s v="Revolut"/>
    <s v="Bank Transfer"/>
    <s v="Vodafone"/>
  </r>
  <r>
    <s v="TXN103014"/>
    <x v="106"/>
    <x v="36"/>
    <x v="6"/>
    <x v="15"/>
    <x v="0"/>
    <n v="18.170000000000002"/>
    <s v="Main Bank"/>
    <s v="Debit Card"/>
    <s v="Aral"/>
  </r>
  <r>
    <s v="TXN100506"/>
    <x v="106"/>
    <x v="25"/>
    <x v="0"/>
    <x v="0"/>
    <x v="0"/>
    <n v="57.26"/>
    <s v="Main Bank"/>
    <s v="Bank Transfer"/>
    <s v="McDonald's"/>
  </r>
  <r>
    <s v="TXN102297"/>
    <x v="106"/>
    <x v="54"/>
    <x v="0"/>
    <x v="5"/>
    <x v="0"/>
    <n v="47.13"/>
    <s v="Main Bank"/>
    <s v="Debit Card"/>
    <s v="Lidl"/>
  </r>
  <r>
    <s v="TXN100332"/>
    <x v="106"/>
    <x v="64"/>
    <x v="7"/>
    <x v="21"/>
    <x v="0"/>
    <n v="47.37"/>
    <s v="Revolut"/>
    <s v="Debit Card"/>
    <s v="Pharmacy"/>
  </r>
  <r>
    <s v="TXN103393"/>
    <x v="107"/>
    <x v="55"/>
    <x v="3"/>
    <x v="8"/>
    <x v="1"/>
    <n v="375.32"/>
    <s v="Main Bank"/>
    <s v="Credit Card"/>
    <s v="Employer Bonus"/>
  </r>
  <r>
    <s v="TXN102185"/>
    <x v="107"/>
    <x v="3"/>
    <x v="1"/>
    <x v="2"/>
    <x v="0"/>
    <n v="42.59"/>
    <s v="Revolut"/>
    <s v="Debit Card"/>
    <s v="Spotify"/>
  </r>
  <r>
    <s v="TXN100409"/>
    <x v="107"/>
    <x v="13"/>
    <x v="3"/>
    <x v="10"/>
    <x v="1"/>
    <n v="2721.66"/>
    <s v="Main Bank"/>
    <s v="Credit Card"/>
    <s v="Freelance Client"/>
  </r>
  <r>
    <s v="TXN102379"/>
    <x v="108"/>
    <x v="22"/>
    <x v="2"/>
    <x v="4"/>
    <x v="0"/>
    <n v="46.72"/>
    <s v="Main Bank"/>
    <s v="Direct Debit"/>
    <s v="Zalando"/>
  </r>
  <r>
    <s v="TXN101280"/>
    <x v="108"/>
    <x v="44"/>
    <x v="2"/>
    <x v="16"/>
    <x v="0"/>
    <n v="89.63"/>
    <s v="Main Bank"/>
    <s v="Debit Card"/>
    <s v="Zalando"/>
  </r>
  <r>
    <s v="TXN102183"/>
    <x v="108"/>
    <x v="47"/>
    <x v="4"/>
    <x v="19"/>
    <x v="0"/>
    <n v="280.97000000000003"/>
    <s v="Main Bank"/>
    <s v="Debit Card"/>
    <s v="Landlord"/>
  </r>
  <r>
    <s v="TXN101018"/>
    <x v="109"/>
    <x v="22"/>
    <x v="2"/>
    <x v="4"/>
    <x v="0"/>
    <n v="111.56"/>
    <s v="Main Bank"/>
    <s v="Direct Debit"/>
    <s v="Zalando"/>
  </r>
  <r>
    <s v="TXN100063"/>
    <x v="109"/>
    <x v="31"/>
    <x v="3"/>
    <x v="6"/>
    <x v="1"/>
    <n v="722.25"/>
    <s v="Revolut"/>
    <s v="Cash"/>
    <s v="Employer"/>
  </r>
  <r>
    <s v="TXN102301"/>
    <x v="109"/>
    <x v="13"/>
    <x v="3"/>
    <x v="10"/>
    <x v="1"/>
    <n v="2579.77"/>
    <s v="Revolut"/>
    <s v="Bank Transfer"/>
    <s v="Freelance Client"/>
  </r>
  <r>
    <s v="TXN100241"/>
    <x v="109"/>
    <x v="72"/>
    <x v="3"/>
    <x v="8"/>
    <x v="1"/>
    <n v="357.07"/>
    <s v="Main Bank"/>
    <s v="Debit Card"/>
    <s v="Employer"/>
  </r>
  <r>
    <s v="TXN100079"/>
    <x v="109"/>
    <x v="73"/>
    <x v="6"/>
    <x v="12"/>
    <x v="0"/>
    <n v="143.38999999999999"/>
    <s v="Savings"/>
    <s v="Debit Card"/>
    <s v="Aral"/>
  </r>
  <r>
    <s v="TXN100804"/>
    <x v="109"/>
    <x v="32"/>
    <x v="1"/>
    <x v="2"/>
    <x v="0"/>
    <n v="23.9"/>
    <s v="Savings"/>
    <s v="Debit Card"/>
    <s v="Cinema"/>
  </r>
  <r>
    <s v="TXN102643"/>
    <x v="109"/>
    <x v="83"/>
    <x v="5"/>
    <x v="9"/>
    <x v="0"/>
    <n v="347.35"/>
    <s v="Main Bank"/>
    <s v="Cash"/>
    <s v="Travel Agency"/>
  </r>
  <r>
    <s v="TXN101314"/>
    <x v="110"/>
    <x v="11"/>
    <x v="3"/>
    <x v="8"/>
    <x v="1"/>
    <n v="306.26"/>
    <s v="Main Bank"/>
    <s v="Bank Transfer"/>
    <s v="Freelance Client"/>
  </r>
  <r>
    <s v="TXN101718"/>
    <x v="110"/>
    <x v="84"/>
    <x v="7"/>
    <x v="21"/>
    <x v="0"/>
    <n v="55.13"/>
    <s v="Main Bank"/>
    <s v="Bank Transfer"/>
    <s v="Gym"/>
  </r>
  <r>
    <s v="TXN103343"/>
    <x v="110"/>
    <x v="3"/>
    <x v="1"/>
    <x v="2"/>
    <x v="0"/>
    <n v="14.23"/>
    <s v="Main Bank"/>
    <s v="Cash"/>
    <s v="Spotify"/>
  </r>
  <r>
    <s v="TXN101965"/>
    <x v="110"/>
    <x v="4"/>
    <x v="2"/>
    <x v="3"/>
    <x v="0"/>
    <n v="44.59"/>
    <s v="Main Bank"/>
    <s v="Cash"/>
    <s v="Zalando"/>
  </r>
  <r>
    <s v="TXN101144"/>
    <x v="110"/>
    <x v="62"/>
    <x v="2"/>
    <x v="4"/>
    <x v="0"/>
    <n v="87.91"/>
    <s v="Main Bank"/>
    <s v="Credit Card"/>
    <s v="IKEA"/>
  </r>
  <r>
    <s v="TXN102909"/>
    <x v="110"/>
    <x v="54"/>
    <x v="0"/>
    <x v="5"/>
    <x v="0"/>
    <n v="41.03"/>
    <s v="Main Bank"/>
    <s v="Credit Card"/>
    <s v="Lidl"/>
  </r>
  <r>
    <s v="TXN103119"/>
    <x v="110"/>
    <x v="21"/>
    <x v="0"/>
    <x v="1"/>
    <x v="0"/>
    <n v="19.05"/>
    <s v="Savings"/>
    <s v="Cash"/>
    <s v="EDEKA"/>
  </r>
  <r>
    <s v="TXN102892"/>
    <x v="110"/>
    <x v="58"/>
    <x v="7"/>
    <x v="21"/>
    <x v="0"/>
    <n v="21.62"/>
    <s v="Revolut"/>
    <s v="Debit Card"/>
    <s v="Doctor"/>
  </r>
  <r>
    <s v="TXN103195"/>
    <x v="110"/>
    <x v="23"/>
    <x v="6"/>
    <x v="15"/>
    <x v="0"/>
    <n v="181.01"/>
    <s v="Revolut"/>
    <s v="Cash"/>
    <s v="Shell"/>
  </r>
  <r>
    <s v="TXN100788"/>
    <x v="111"/>
    <x v="73"/>
    <x v="6"/>
    <x v="12"/>
    <x v="0"/>
    <n v="69.78"/>
    <s v="Savings"/>
    <s v="Credit Card"/>
    <s v="Aral"/>
  </r>
  <r>
    <s v="TXN102871"/>
    <x v="111"/>
    <x v="11"/>
    <x v="3"/>
    <x v="8"/>
    <x v="1"/>
    <n v="344.85"/>
    <s v="Main Bank"/>
    <s v="Debit Card"/>
    <s v="Freelance Client"/>
  </r>
  <r>
    <s v="TXN102189"/>
    <x v="111"/>
    <x v="89"/>
    <x v="5"/>
    <x v="23"/>
    <x v="0"/>
    <n v="211.55"/>
    <s v="Main Bank"/>
    <s v="Debit Card"/>
    <s v="Lufthansa"/>
  </r>
  <r>
    <s v="TXN101448"/>
    <x v="111"/>
    <x v="72"/>
    <x v="3"/>
    <x v="8"/>
    <x v="1"/>
    <n v="344.02"/>
    <s v="Savings"/>
    <s v="Debit Card"/>
    <s v="Employer"/>
  </r>
  <r>
    <s v="TXN101561"/>
    <x v="111"/>
    <x v="88"/>
    <x v="6"/>
    <x v="11"/>
    <x v="0"/>
    <n v="250"/>
    <s v="Main Bank"/>
    <s v="Debit Card"/>
    <s v="Shell"/>
  </r>
  <r>
    <s v="TXN102492"/>
    <x v="111"/>
    <x v="6"/>
    <x v="0"/>
    <x v="1"/>
    <x v="0"/>
    <n v="102.7"/>
    <s v="Main Bank"/>
    <s v="Cash"/>
    <s v="McDonald's"/>
  </r>
  <r>
    <s v="TXN100681"/>
    <x v="111"/>
    <x v="55"/>
    <x v="3"/>
    <x v="8"/>
    <x v="1"/>
    <n v="350.63"/>
    <s v="Main Bank"/>
    <s v="Bank Transfer"/>
    <s v="Employer Bonus"/>
  </r>
  <r>
    <s v="TXN102212"/>
    <x v="111"/>
    <x v="16"/>
    <x v="3"/>
    <x v="10"/>
    <x v="1"/>
    <n v="2569.38"/>
    <s v="Main Bank"/>
    <s v="Debit Card"/>
    <s v="Employer"/>
  </r>
  <r>
    <s v="TXN101577"/>
    <x v="111"/>
    <x v="63"/>
    <x v="4"/>
    <x v="19"/>
    <x v="0"/>
    <n v="187.05"/>
    <s v="Revolut"/>
    <s v="Bank Transfer"/>
    <s v="Vodafone"/>
  </r>
  <r>
    <s v="TXN103472"/>
    <x v="111"/>
    <x v="89"/>
    <x v="5"/>
    <x v="23"/>
    <x v="0"/>
    <n v="408.29"/>
    <s v="Revolut"/>
    <s v="Direct Debit"/>
    <s v="Lufthansa"/>
  </r>
  <r>
    <s v="TXN100485"/>
    <x v="111"/>
    <x v="44"/>
    <x v="2"/>
    <x v="16"/>
    <x v="0"/>
    <n v="70.33"/>
    <s v="Main Bank"/>
    <s v="Bank Transfer"/>
    <s v="Zalando"/>
  </r>
  <r>
    <s v="TXN100897"/>
    <x v="111"/>
    <x v="7"/>
    <x v="0"/>
    <x v="0"/>
    <x v="0"/>
    <n v="26.33"/>
    <s v="Revolut"/>
    <s v="Debit Card"/>
    <s v="Local Restaurant"/>
  </r>
  <r>
    <s v="TXN100853"/>
    <x v="111"/>
    <x v="25"/>
    <x v="0"/>
    <x v="0"/>
    <x v="0"/>
    <n v="35.75"/>
    <s v="Main Bank"/>
    <s v="Credit Card"/>
    <s v="McDonald's"/>
  </r>
  <r>
    <s v="TXN100275"/>
    <x v="112"/>
    <x v="68"/>
    <x v="2"/>
    <x v="4"/>
    <x v="0"/>
    <n v="153.99"/>
    <s v="Main Bank"/>
    <s v="Debit Card"/>
    <s v="MediaMarkt"/>
  </r>
  <r>
    <s v="TXN103084"/>
    <x v="112"/>
    <x v="22"/>
    <x v="2"/>
    <x v="4"/>
    <x v="0"/>
    <n v="89.36"/>
    <s v="Revolut"/>
    <s v="Credit Card"/>
    <s v="Zalando"/>
  </r>
  <r>
    <s v="TXN100448"/>
    <x v="112"/>
    <x v="58"/>
    <x v="7"/>
    <x v="21"/>
    <x v="0"/>
    <n v="34"/>
    <s v="Main Bank"/>
    <s v="Debit Card"/>
    <s v="Doctor"/>
  </r>
  <r>
    <s v="TXN101982"/>
    <x v="112"/>
    <x v="16"/>
    <x v="3"/>
    <x v="10"/>
    <x v="1"/>
    <n v="2699.76"/>
    <s v="Revolut"/>
    <s v="Bank Transfer"/>
    <s v="Employer"/>
  </r>
  <r>
    <s v="TXN100268"/>
    <x v="112"/>
    <x v="70"/>
    <x v="7"/>
    <x v="18"/>
    <x v="0"/>
    <n v="130.38"/>
    <s v="Main Bank"/>
    <s v="Credit Card"/>
    <s v="Pharmacy"/>
  </r>
  <r>
    <s v="TXN100852"/>
    <x v="112"/>
    <x v="39"/>
    <x v="7"/>
    <x v="14"/>
    <x v="0"/>
    <n v="145.04"/>
    <s v="Revolut"/>
    <s v="Credit Card"/>
    <s v="Doctor"/>
  </r>
  <r>
    <s v="TXN101959"/>
    <x v="113"/>
    <x v="49"/>
    <x v="1"/>
    <x v="13"/>
    <x v="0"/>
    <n v="9.4499999999999993"/>
    <s v="Main Bank"/>
    <s v="Credit Card"/>
    <s v="Spotify"/>
  </r>
  <r>
    <s v="TXN100227"/>
    <x v="113"/>
    <x v="55"/>
    <x v="3"/>
    <x v="8"/>
    <x v="1"/>
    <n v="369.69"/>
    <s v="Revolut"/>
    <s v="Bank Transfer"/>
    <s v="Employer Bonus"/>
  </r>
  <r>
    <s v="TXN102829"/>
    <x v="113"/>
    <x v="88"/>
    <x v="6"/>
    <x v="11"/>
    <x v="0"/>
    <n v="75.36"/>
    <s v="Main Bank"/>
    <s v="Bank Transfer"/>
    <s v="Shell"/>
  </r>
  <r>
    <s v="TXN100923"/>
    <x v="113"/>
    <x v="11"/>
    <x v="3"/>
    <x v="8"/>
    <x v="1"/>
    <n v="352.34"/>
    <s v="Revolut"/>
    <s v="Direct Debit"/>
    <s v="Freelance Client"/>
  </r>
  <r>
    <s v="TXN102332"/>
    <x v="113"/>
    <x v="47"/>
    <x v="4"/>
    <x v="19"/>
    <x v="0"/>
    <n v="444.59"/>
    <s v="Revolut"/>
    <s v="Debit Card"/>
    <s v="Landlord"/>
  </r>
  <r>
    <s v="TXN102424"/>
    <x v="113"/>
    <x v="4"/>
    <x v="2"/>
    <x v="3"/>
    <x v="0"/>
    <n v="98.5"/>
    <s v="Revolut"/>
    <s v="Cash"/>
    <s v="Zalando"/>
  </r>
  <r>
    <s v="TXN100695"/>
    <x v="114"/>
    <x v="63"/>
    <x v="4"/>
    <x v="19"/>
    <x v="0"/>
    <n v="211.81"/>
    <s v="Revolut"/>
    <s v="Debit Card"/>
    <s v="Vodafone"/>
  </r>
  <r>
    <s v="TXN102048"/>
    <x v="114"/>
    <x v="64"/>
    <x v="7"/>
    <x v="21"/>
    <x v="0"/>
    <n v="27.78"/>
    <s v="Main Bank"/>
    <s v="Debit Card"/>
    <s v="Pharmacy"/>
  </r>
  <r>
    <s v="TXN103023"/>
    <x v="114"/>
    <x v="60"/>
    <x v="1"/>
    <x v="22"/>
    <x v="0"/>
    <n v="58.65"/>
    <s v="Main Bank"/>
    <s v="Bank Transfer"/>
    <s v="Spotify"/>
  </r>
  <r>
    <s v="TXN102961"/>
    <x v="114"/>
    <x v="1"/>
    <x v="0"/>
    <x v="0"/>
    <x v="0"/>
    <n v="13.2"/>
    <s v="Main Bank"/>
    <s v="Credit Card"/>
    <s v="EDEKA"/>
  </r>
  <r>
    <s v="TXN102150"/>
    <x v="114"/>
    <x v="16"/>
    <x v="3"/>
    <x v="10"/>
    <x v="1"/>
    <n v="2298.5500000000002"/>
    <s v="Main Bank"/>
    <s v="Credit Card"/>
    <s v="Employer"/>
  </r>
  <r>
    <s v="TXN102073"/>
    <x v="114"/>
    <x v="25"/>
    <x v="0"/>
    <x v="0"/>
    <x v="0"/>
    <n v="115.1"/>
    <s v="Main Bank"/>
    <s v="Debit Card"/>
    <s v="McDonald's"/>
  </r>
  <r>
    <s v="TXN102027"/>
    <x v="114"/>
    <x v="64"/>
    <x v="7"/>
    <x v="21"/>
    <x v="0"/>
    <n v="101.9"/>
    <s v="Main Bank"/>
    <s v="Bank Transfer"/>
    <s v="Pharmacy"/>
  </r>
  <r>
    <s v="TXN102113"/>
    <x v="115"/>
    <x v="7"/>
    <x v="0"/>
    <x v="0"/>
    <x v="0"/>
    <n v="113.47"/>
    <s v="Main Bank"/>
    <s v="Bank Transfer"/>
    <s v="Local Restaurant"/>
  </r>
  <r>
    <s v="TXN100478"/>
    <x v="115"/>
    <x v="24"/>
    <x v="2"/>
    <x v="16"/>
    <x v="0"/>
    <n v="156.77000000000001"/>
    <s v="Revolut"/>
    <s v="Direct Debit"/>
    <s v="MediaMarkt"/>
  </r>
  <r>
    <s v="TXN102098"/>
    <x v="115"/>
    <x v="61"/>
    <x v="1"/>
    <x v="2"/>
    <x v="0"/>
    <n v="40.590000000000003"/>
    <s v="Main Bank"/>
    <s v="Credit Card"/>
    <s v="Steam"/>
  </r>
  <r>
    <s v="TXN102094"/>
    <x v="115"/>
    <x v="68"/>
    <x v="2"/>
    <x v="4"/>
    <x v="0"/>
    <n v="258.17"/>
    <s v="Main Bank"/>
    <s v="Debit Card"/>
    <s v="MediaMarkt"/>
  </r>
  <r>
    <s v="TXN101169"/>
    <x v="116"/>
    <x v="38"/>
    <x v="4"/>
    <x v="7"/>
    <x v="0"/>
    <n v="330.62"/>
    <s v="Revolut"/>
    <s v="Direct Debit"/>
    <s v="Vodafone"/>
  </r>
  <r>
    <s v="TXN103413"/>
    <x v="116"/>
    <x v="63"/>
    <x v="4"/>
    <x v="19"/>
    <x v="0"/>
    <n v="299.79000000000002"/>
    <s v="Main Bank"/>
    <s v="Debit Card"/>
    <s v="Vodafone"/>
  </r>
  <r>
    <s v="TXN101063"/>
    <x v="116"/>
    <x v="89"/>
    <x v="5"/>
    <x v="23"/>
    <x v="0"/>
    <n v="223.08"/>
    <s v="Main Bank"/>
    <s v="Debit Card"/>
    <s v="Lufthansa"/>
  </r>
  <r>
    <s v="TXN102417"/>
    <x v="116"/>
    <x v="36"/>
    <x v="6"/>
    <x v="15"/>
    <x v="0"/>
    <n v="46.91"/>
    <s v="Main Bank"/>
    <s v="Debit Card"/>
    <s v="Aral"/>
  </r>
  <r>
    <s v="TXN100224"/>
    <x v="116"/>
    <x v="36"/>
    <x v="6"/>
    <x v="15"/>
    <x v="0"/>
    <n v="56.62"/>
    <s v="Revolut"/>
    <s v="Debit Card"/>
    <s v="Aral"/>
  </r>
  <r>
    <s v="TXN101491"/>
    <x v="117"/>
    <x v="54"/>
    <x v="0"/>
    <x v="5"/>
    <x v="0"/>
    <n v="142.96"/>
    <s v="Main Bank"/>
    <s v="Bank Transfer"/>
    <s v="Lidl"/>
  </r>
  <r>
    <s v="TXN103201"/>
    <x v="117"/>
    <x v="33"/>
    <x v="2"/>
    <x v="16"/>
    <x v="0"/>
    <n v="73.52"/>
    <s v="Main Bank"/>
    <s v="Credit Card"/>
    <s v="Amazon"/>
  </r>
  <r>
    <s v="TXN100206"/>
    <x v="117"/>
    <x v="50"/>
    <x v="4"/>
    <x v="17"/>
    <x v="0"/>
    <n v="385.41"/>
    <s v="Revolut"/>
    <s v="Direct Debit"/>
    <s v="Energy Provider"/>
  </r>
  <r>
    <s v="TXN101104"/>
    <x v="117"/>
    <x v="67"/>
    <x v="3"/>
    <x v="6"/>
    <x v="1"/>
    <n v="785.77"/>
    <s v="Main Bank"/>
    <s v="Bank Transfer"/>
    <s v="Freelance Client"/>
  </r>
  <r>
    <s v="TXN103148"/>
    <x v="117"/>
    <x v="3"/>
    <x v="1"/>
    <x v="2"/>
    <x v="0"/>
    <n v="23.93"/>
    <s v="Main Bank"/>
    <s v="Credit Card"/>
    <s v="Spotify"/>
  </r>
  <r>
    <s v="TXN102698"/>
    <x v="117"/>
    <x v="6"/>
    <x v="0"/>
    <x v="1"/>
    <x v="0"/>
    <n v="113.78"/>
    <s v="Savings"/>
    <s v="Debit Card"/>
    <s v="McDonald's"/>
  </r>
  <r>
    <s v="TXN101199"/>
    <x v="117"/>
    <x v="28"/>
    <x v="7"/>
    <x v="14"/>
    <x v="0"/>
    <n v="28.3"/>
    <s v="Revolut"/>
    <s v="Cash"/>
    <s v="Pharmacy"/>
  </r>
  <r>
    <s v="TXN102727"/>
    <x v="118"/>
    <x v="43"/>
    <x v="4"/>
    <x v="17"/>
    <x v="0"/>
    <n v="275.64999999999998"/>
    <s v="Main Bank"/>
    <s v="Debit Card"/>
    <s v="Landlord"/>
  </r>
  <r>
    <s v="TXN100429"/>
    <x v="118"/>
    <x v="42"/>
    <x v="6"/>
    <x v="15"/>
    <x v="0"/>
    <n v="98.5"/>
    <s v="Savings"/>
    <s v="Debit Card"/>
    <s v="Local Transit"/>
  </r>
  <r>
    <s v="TXN103210"/>
    <x v="118"/>
    <x v="74"/>
    <x v="1"/>
    <x v="13"/>
    <x v="0"/>
    <n v="33.119999999999997"/>
    <s v="Main Bank"/>
    <s v="Bank Transfer"/>
    <s v="Cinema"/>
  </r>
  <r>
    <s v="TXN102606"/>
    <x v="118"/>
    <x v="20"/>
    <x v="2"/>
    <x v="3"/>
    <x v="0"/>
    <n v="61.44"/>
    <s v="Main Bank"/>
    <s v="Debit Card"/>
    <s v="Amazon"/>
  </r>
  <r>
    <s v="TXN100382"/>
    <x v="118"/>
    <x v="28"/>
    <x v="7"/>
    <x v="14"/>
    <x v="0"/>
    <n v="56.76"/>
    <s v="Revolut"/>
    <s v="Debit Card"/>
    <s v="Pharmacy"/>
  </r>
  <r>
    <s v="TXN100349"/>
    <x v="119"/>
    <x v="37"/>
    <x v="6"/>
    <x v="12"/>
    <x v="0"/>
    <n v="28.93"/>
    <s v="Revolut"/>
    <s v="Debit Card"/>
    <s v="Shell"/>
  </r>
  <r>
    <s v="TXN102786"/>
    <x v="119"/>
    <x v="6"/>
    <x v="0"/>
    <x v="1"/>
    <x v="0"/>
    <n v="35.340000000000003"/>
    <s v="Main Bank"/>
    <s v="Bank Transfer"/>
    <s v="McDonald's"/>
  </r>
  <r>
    <s v="TXN100286"/>
    <x v="119"/>
    <x v="38"/>
    <x v="4"/>
    <x v="7"/>
    <x v="0"/>
    <n v="498.44"/>
    <s v="Revolut"/>
    <s v="Debit Card"/>
    <s v="Vodafone"/>
  </r>
  <r>
    <s v="TXN102784"/>
    <x v="119"/>
    <x v="90"/>
    <x v="5"/>
    <x v="20"/>
    <x v="0"/>
    <n v="445.09"/>
    <s v="Main Bank"/>
    <s v="Direct Debit"/>
    <s v="Hotel"/>
  </r>
  <r>
    <s v="TXN101534"/>
    <x v="119"/>
    <x v="48"/>
    <x v="0"/>
    <x v="5"/>
    <x v="0"/>
    <n v="72.55"/>
    <s v="Main Bank"/>
    <s v="Bank Transfer"/>
    <s v="EDEKA"/>
  </r>
  <r>
    <s v="TXN101525"/>
    <x v="120"/>
    <x v="62"/>
    <x v="2"/>
    <x v="4"/>
    <x v="0"/>
    <n v="120.29"/>
    <s v="Revolut"/>
    <s v="Bank Transfer"/>
    <s v="IKEA"/>
  </r>
  <r>
    <s v="TXN102752"/>
    <x v="120"/>
    <x v="77"/>
    <x v="1"/>
    <x v="22"/>
    <x v="0"/>
    <n v="28.7"/>
    <s v="Revolut"/>
    <s v="Debit Card"/>
    <s v="Steam"/>
  </r>
  <r>
    <s v="TXN101506"/>
    <x v="120"/>
    <x v="30"/>
    <x v="6"/>
    <x v="11"/>
    <x v="0"/>
    <n v="88.82"/>
    <s v="Revolut"/>
    <s v="Debit Card"/>
    <s v="DB"/>
  </r>
  <r>
    <s v="TXN103259"/>
    <x v="120"/>
    <x v="15"/>
    <x v="6"/>
    <x v="11"/>
    <x v="0"/>
    <n v="122.66"/>
    <s v="Revolut"/>
    <s v="Cash"/>
    <s v="Auto Service"/>
  </r>
  <r>
    <s v="TXN102686"/>
    <x v="120"/>
    <x v="71"/>
    <x v="4"/>
    <x v="17"/>
    <x v="0"/>
    <n v="115"/>
    <s v="Main Bank"/>
    <s v="Bank Transfer"/>
    <s v="Vodafone"/>
  </r>
  <r>
    <s v="TXN100919"/>
    <x v="120"/>
    <x v="79"/>
    <x v="5"/>
    <x v="23"/>
    <x v="0"/>
    <n v="187.06"/>
    <s v="Revolut"/>
    <s v="Debit Card"/>
    <s v="Travel Agency"/>
  </r>
  <r>
    <s v="TXN102035"/>
    <x v="120"/>
    <x v="76"/>
    <x v="1"/>
    <x v="22"/>
    <x v="0"/>
    <n v="15.74"/>
    <s v="Main Bank"/>
    <s v="Debit Card"/>
    <s v="Netflix"/>
  </r>
  <r>
    <s v="TXN101148"/>
    <x v="120"/>
    <x v="76"/>
    <x v="1"/>
    <x v="22"/>
    <x v="0"/>
    <n v="8.33"/>
    <s v="Revolut"/>
    <s v="Debit Card"/>
    <s v="Netflix"/>
  </r>
  <r>
    <s v="TXN102711"/>
    <x v="120"/>
    <x v="79"/>
    <x v="5"/>
    <x v="23"/>
    <x v="0"/>
    <n v="449.31"/>
    <s v="Savings"/>
    <s v="Bank Transfer"/>
    <s v="Travel Agency"/>
  </r>
  <r>
    <s v="TXN101365"/>
    <x v="120"/>
    <x v="19"/>
    <x v="7"/>
    <x v="14"/>
    <x v="0"/>
    <n v="45.68"/>
    <s v="Revolut"/>
    <s v="Credit Card"/>
    <s v="Gym"/>
  </r>
  <r>
    <s v="TXN102907"/>
    <x v="121"/>
    <x v="41"/>
    <x v="3"/>
    <x v="10"/>
    <x v="1"/>
    <n v="2776.98"/>
    <s v="Revolut"/>
    <s v="Debit Card"/>
    <s v="Employer Bonus"/>
  </r>
  <r>
    <s v="TXN102023"/>
    <x v="121"/>
    <x v="9"/>
    <x v="3"/>
    <x v="6"/>
    <x v="1"/>
    <n v="569.38"/>
    <s v="Main Bank"/>
    <s v="Direct Debit"/>
    <s v="Employer Bonus"/>
  </r>
  <r>
    <s v="TXN100894"/>
    <x v="121"/>
    <x v="40"/>
    <x v="6"/>
    <x v="12"/>
    <x v="0"/>
    <n v="42.22"/>
    <s v="Revolut"/>
    <s v="Debit Card"/>
    <s v="DB"/>
  </r>
  <r>
    <s v="TXN102140"/>
    <x v="122"/>
    <x v="13"/>
    <x v="3"/>
    <x v="10"/>
    <x v="1"/>
    <n v="2603.9"/>
    <s v="Main Bank"/>
    <s v="Bank Transfer"/>
    <s v="Freelance Client"/>
  </r>
  <r>
    <s v="TXN100220"/>
    <x v="122"/>
    <x v="31"/>
    <x v="3"/>
    <x v="6"/>
    <x v="1"/>
    <n v="626.44000000000005"/>
    <s v="Main Bank"/>
    <s v="Debit Card"/>
    <s v="Employer"/>
  </r>
  <r>
    <s v="TXN101975"/>
    <x v="122"/>
    <x v="54"/>
    <x v="0"/>
    <x v="5"/>
    <x v="0"/>
    <n v="65.040000000000006"/>
    <s v="Main Bank"/>
    <s v="Credit Card"/>
    <s v="Lidl"/>
  </r>
  <r>
    <s v="TXN100785"/>
    <x v="122"/>
    <x v="2"/>
    <x v="0"/>
    <x v="1"/>
    <x v="0"/>
    <n v="22.54"/>
    <s v="Savings"/>
    <s v="Direct Debit"/>
    <s v="Lidl"/>
  </r>
  <r>
    <s v="TXN101236"/>
    <x v="122"/>
    <x v="88"/>
    <x v="6"/>
    <x v="11"/>
    <x v="0"/>
    <n v="112.77"/>
    <s v="Savings"/>
    <s v="Debit Card"/>
    <s v="Shell"/>
  </r>
  <r>
    <s v="TXN101002"/>
    <x v="122"/>
    <x v="62"/>
    <x v="2"/>
    <x v="4"/>
    <x v="0"/>
    <n v="57.64"/>
    <s v="Revolut"/>
    <s v="Debit Card"/>
    <s v="IKEA"/>
  </r>
  <r>
    <s v="TXN100077"/>
    <x v="122"/>
    <x v="27"/>
    <x v="5"/>
    <x v="9"/>
    <x v="0"/>
    <n v="396.03"/>
    <s v="Revolut"/>
    <s v="Credit Card"/>
    <s v="Hotel"/>
  </r>
  <r>
    <s v="TXN102614"/>
    <x v="122"/>
    <x v="82"/>
    <x v="7"/>
    <x v="18"/>
    <x v="0"/>
    <n v="84.7"/>
    <s v="Revolut"/>
    <s v="Direct Debit"/>
    <s v="Doctor"/>
  </r>
  <r>
    <s v="TXN103193"/>
    <x v="123"/>
    <x v="72"/>
    <x v="3"/>
    <x v="8"/>
    <x v="1"/>
    <n v="331.52"/>
    <s v="Main Bank"/>
    <s v="Debit Card"/>
    <s v="Employer"/>
  </r>
  <r>
    <s v="TXN102036"/>
    <x v="123"/>
    <x v="73"/>
    <x v="6"/>
    <x v="12"/>
    <x v="0"/>
    <n v="77.930000000000007"/>
    <s v="Main Bank"/>
    <s v="Bank Transfer"/>
    <s v="Aral"/>
  </r>
  <r>
    <s v="TXN100862"/>
    <x v="123"/>
    <x v="22"/>
    <x v="2"/>
    <x v="4"/>
    <x v="0"/>
    <n v="162.53"/>
    <s v="Main Bank"/>
    <s v="Credit Card"/>
    <s v="Zalando"/>
  </r>
  <r>
    <s v="TXN100169"/>
    <x v="123"/>
    <x v="75"/>
    <x v="4"/>
    <x v="7"/>
    <x v="0"/>
    <n v="219.18"/>
    <s v="Savings"/>
    <s v="Direct Debit"/>
    <s v="Energy Provider"/>
  </r>
  <r>
    <s v="TXN100588"/>
    <x v="124"/>
    <x v="8"/>
    <x v="0"/>
    <x v="5"/>
    <x v="0"/>
    <n v="37.69"/>
    <s v="Main Bank"/>
    <s v="Bank Transfer"/>
    <s v="McDonald's"/>
  </r>
  <r>
    <s v="TXN103184"/>
    <x v="124"/>
    <x v="48"/>
    <x v="0"/>
    <x v="5"/>
    <x v="0"/>
    <n v="43.97"/>
    <s v="Main Bank"/>
    <s v="Credit Card"/>
    <s v="EDEKA"/>
  </r>
  <r>
    <s v="TXN100723"/>
    <x v="124"/>
    <x v="63"/>
    <x v="4"/>
    <x v="19"/>
    <x v="0"/>
    <n v="712.03"/>
    <s v="Main Bank"/>
    <s v="Credit Card"/>
    <s v="Vodafone"/>
  </r>
  <r>
    <s v="TXN102273"/>
    <x v="124"/>
    <x v="22"/>
    <x v="2"/>
    <x v="4"/>
    <x v="0"/>
    <n v="86.17"/>
    <s v="Main Bank"/>
    <s v="Direct Debit"/>
    <s v="Zalando"/>
  </r>
  <r>
    <s v="TXN101407"/>
    <x v="124"/>
    <x v="55"/>
    <x v="3"/>
    <x v="8"/>
    <x v="1"/>
    <n v="340.63"/>
    <s v="Revolut"/>
    <s v="Debit Card"/>
    <s v="Employer Bonus"/>
  </r>
  <r>
    <s v="TXN101769"/>
    <x v="125"/>
    <x v="36"/>
    <x v="6"/>
    <x v="15"/>
    <x v="0"/>
    <n v="16.12"/>
    <s v="Main Bank"/>
    <s v="Credit Card"/>
    <s v="Aral"/>
  </r>
  <r>
    <s v="TXN102618"/>
    <x v="125"/>
    <x v="0"/>
    <x v="0"/>
    <x v="0"/>
    <x v="0"/>
    <n v="36.96"/>
    <s v="Revolut"/>
    <s v="Bank Transfer"/>
    <s v="Lidl"/>
  </r>
  <r>
    <s v="TXN101462"/>
    <x v="125"/>
    <x v="76"/>
    <x v="1"/>
    <x v="22"/>
    <x v="0"/>
    <n v="46.3"/>
    <s v="Main Bank"/>
    <s v="Direct Debit"/>
    <s v="Netflix"/>
  </r>
  <r>
    <s v="TXN103049"/>
    <x v="125"/>
    <x v="30"/>
    <x v="6"/>
    <x v="11"/>
    <x v="0"/>
    <n v="162.21"/>
    <s v="Revolut"/>
    <s v="Direct Debit"/>
    <s v="DB"/>
  </r>
  <r>
    <s v="TXN102102"/>
    <x v="125"/>
    <x v="68"/>
    <x v="2"/>
    <x v="4"/>
    <x v="0"/>
    <n v="164.14"/>
    <s v="Main Bank"/>
    <s v="Direct Debit"/>
    <s v="MediaMarkt"/>
  </r>
  <r>
    <s v="TXN102636"/>
    <x v="125"/>
    <x v="77"/>
    <x v="1"/>
    <x v="22"/>
    <x v="0"/>
    <n v="64.53"/>
    <s v="Savings"/>
    <s v="Bank Transfer"/>
    <s v="Steam"/>
  </r>
  <r>
    <s v="TXN100323"/>
    <x v="126"/>
    <x v="32"/>
    <x v="1"/>
    <x v="2"/>
    <x v="0"/>
    <n v="17.62"/>
    <s v="Revolut"/>
    <s v="Bank Transfer"/>
    <s v="Cinema"/>
  </r>
  <r>
    <s v="TXN101645"/>
    <x v="126"/>
    <x v="10"/>
    <x v="4"/>
    <x v="7"/>
    <x v="0"/>
    <n v="309.55"/>
    <s v="Revolut"/>
    <s v="Debit Card"/>
    <s v="Landlord"/>
  </r>
  <r>
    <s v="TXN100175"/>
    <x v="126"/>
    <x v="77"/>
    <x v="1"/>
    <x v="22"/>
    <x v="0"/>
    <n v="8.93"/>
    <s v="Main Bank"/>
    <s v="Bank Transfer"/>
    <s v="Steam"/>
  </r>
  <r>
    <s v="TXN102408"/>
    <x v="126"/>
    <x v="7"/>
    <x v="0"/>
    <x v="0"/>
    <x v="0"/>
    <n v="24.87"/>
    <s v="Revolut"/>
    <s v="Credit Card"/>
    <s v="Local Restaurant"/>
  </r>
  <r>
    <s v="TXN100539"/>
    <x v="127"/>
    <x v="24"/>
    <x v="2"/>
    <x v="16"/>
    <x v="0"/>
    <n v="131.88"/>
    <s v="Revolut"/>
    <s v="Debit Card"/>
    <s v="MediaMarkt"/>
  </r>
  <r>
    <s v="TXN101092"/>
    <x v="127"/>
    <x v="35"/>
    <x v="1"/>
    <x v="13"/>
    <x v="0"/>
    <n v="15.47"/>
    <s v="Revolut"/>
    <s v="Credit Card"/>
    <s v="Steam"/>
  </r>
  <r>
    <s v="TXN102480"/>
    <x v="127"/>
    <x v="89"/>
    <x v="5"/>
    <x v="23"/>
    <x v="0"/>
    <n v="558.44000000000005"/>
    <s v="Main Bank"/>
    <s v="Debit Card"/>
    <s v="Lufthansa"/>
  </r>
  <r>
    <s v="TXN102146"/>
    <x v="127"/>
    <x v="55"/>
    <x v="3"/>
    <x v="8"/>
    <x v="1"/>
    <n v="332.15"/>
    <s v="Main Bank"/>
    <s v="Debit Card"/>
    <s v="Employer Bonus"/>
  </r>
  <r>
    <s v="TXN101542"/>
    <x v="127"/>
    <x v="53"/>
    <x v="4"/>
    <x v="19"/>
    <x v="0"/>
    <n v="199.78"/>
    <s v="Main Bank"/>
    <s v="Debit Card"/>
    <s v="Energy Provider"/>
  </r>
  <r>
    <s v="TXN100057"/>
    <x v="127"/>
    <x v="47"/>
    <x v="4"/>
    <x v="19"/>
    <x v="0"/>
    <n v="365.73"/>
    <s v="Revolut"/>
    <s v="Bank Transfer"/>
    <s v="Landlord"/>
  </r>
  <r>
    <s v="TXN100173"/>
    <x v="128"/>
    <x v="62"/>
    <x v="2"/>
    <x v="4"/>
    <x v="0"/>
    <n v="229.16"/>
    <s v="Savings"/>
    <s v="Credit Card"/>
    <s v="IKEA"/>
  </r>
  <r>
    <s v="TXN100612"/>
    <x v="128"/>
    <x v="91"/>
    <x v="5"/>
    <x v="23"/>
    <x v="0"/>
    <n v="374.08"/>
    <s v="Savings"/>
    <s v="Cash"/>
    <s v="Hotel"/>
  </r>
  <r>
    <s v="TXN100534"/>
    <x v="128"/>
    <x v="5"/>
    <x v="2"/>
    <x v="4"/>
    <x v="0"/>
    <n v="193.33"/>
    <s v="Savings"/>
    <s v="Credit Card"/>
    <s v="Amazon"/>
  </r>
  <r>
    <s v="TXN100515"/>
    <x v="128"/>
    <x v="38"/>
    <x v="4"/>
    <x v="7"/>
    <x v="0"/>
    <n v="269.83"/>
    <s v="Main Bank"/>
    <s v="Credit Card"/>
    <s v="Vodafone"/>
  </r>
  <r>
    <s v="TXN101303"/>
    <x v="129"/>
    <x v="43"/>
    <x v="4"/>
    <x v="17"/>
    <x v="0"/>
    <n v="376.87"/>
    <s v="Main Bank"/>
    <s v="Credit Card"/>
    <s v="Landlord"/>
  </r>
  <r>
    <s v="TXN100647"/>
    <x v="129"/>
    <x v="61"/>
    <x v="1"/>
    <x v="2"/>
    <x v="0"/>
    <n v="54.17"/>
    <s v="Revolut"/>
    <s v="Debit Card"/>
    <s v="Steam"/>
  </r>
  <r>
    <s v="TXN101183"/>
    <x v="129"/>
    <x v="80"/>
    <x v="1"/>
    <x v="22"/>
    <x v="0"/>
    <n v="43.74"/>
    <s v="Main Bank"/>
    <s v="Cash"/>
    <s v="Cinema"/>
  </r>
  <r>
    <s v="TXN101786"/>
    <x v="129"/>
    <x v="31"/>
    <x v="3"/>
    <x v="6"/>
    <x v="1"/>
    <n v="802.59"/>
    <s v="Savings"/>
    <s v="Credit Card"/>
    <s v="Employer"/>
  </r>
  <r>
    <s v="TXN102319"/>
    <x v="130"/>
    <x v="51"/>
    <x v="6"/>
    <x v="15"/>
    <x v="0"/>
    <n v="200.7"/>
    <s v="Revolut"/>
    <s v="Debit Card"/>
    <s v="DB"/>
  </r>
  <r>
    <s v="TXN100447"/>
    <x v="130"/>
    <x v="41"/>
    <x v="3"/>
    <x v="10"/>
    <x v="1"/>
    <n v="2451.44"/>
    <s v="Main Bank"/>
    <s v="Debit Card"/>
    <s v="Employer Bonus"/>
  </r>
  <r>
    <s v="TXN100590"/>
    <x v="130"/>
    <x v="7"/>
    <x v="0"/>
    <x v="0"/>
    <x v="0"/>
    <n v="71.02"/>
    <s v="Savings"/>
    <s v="Debit Card"/>
    <s v="Local Restaurant"/>
  </r>
  <r>
    <s v="TXN102612"/>
    <x v="131"/>
    <x v="71"/>
    <x v="4"/>
    <x v="17"/>
    <x v="0"/>
    <n v="427.77"/>
    <s v="Main Bank"/>
    <s v="Bank Transfer"/>
    <s v="Vodafone"/>
  </r>
  <r>
    <s v="TXN103484"/>
    <x v="131"/>
    <x v="9"/>
    <x v="3"/>
    <x v="6"/>
    <x v="1"/>
    <n v="848.94"/>
    <s v="Main Bank"/>
    <s v="Bank Transfer"/>
    <s v="Employer Bonus"/>
  </r>
  <r>
    <s v="TXN101202"/>
    <x v="131"/>
    <x v="38"/>
    <x v="4"/>
    <x v="7"/>
    <x v="0"/>
    <n v="369.66"/>
    <s v="Main Bank"/>
    <s v="Bank Transfer"/>
    <s v="Vodafone"/>
  </r>
  <r>
    <s v="TXN103345"/>
    <x v="131"/>
    <x v="62"/>
    <x v="2"/>
    <x v="4"/>
    <x v="0"/>
    <n v="63.68"/>
    <s v="Revolut"/>
    <s v="Bank Transfer"/>
    <s v="IKEA"/>
  </r>
  <r>
    <s v="TXN101767"/>
    <x v="132"/>
    <x v="19"/>
    <x v="7"/>
    <x v="14"/>
    <x v="0"/>
    <n v="35.78"/>
    <s v="Revolut"/>
    <s v="Debit Card"/>
    <s v="Gym"/>
  </r>
  <r>
    <s v="TXN102545"/>
    <x v="132"/>
    <x v="53"/>
    <x v="4"/>
    <x v="19"/>
    <x v="0"/>
    <n v="425.41"/>
    <s v="Main Bank"/>
    <s v="Bank Transfer"/>
    <s v="Energy Provider"/>
  </r>
  <r>
    <s v="TXN101252"/>
    <x v="132"/>
    <x v="20"/>
    <x v="2"/>
    <x v="3"/>
    <x v="0"/>
    <n v="144.74"/>
    <s v="Main Bank"/>
    <s v="Credit Card"/>
    <s v="Amazon"/>
  </r>
  <r>
    <s v="TXN100370"/>
    <x v="132"/>
    <x v="50"/>
    <x v="4"/>
    <x v="17"/>
    <x v="0"/>
    <n v="451.31"/>
    <s v="Revolut"/>
    <s v="Credit Card"/>
    <s v="Energy Provider"/>
  </r>
  <r>
    <s v="TXN102169"/>
    <x v="132"/>
    <x v="80"/>
    <x v="1"/>
    <x v="22"/>
    <x v="0"/>
    <n v="79.790000000000006"/>
    <s v="Revolut"/>
    <s v="Bank Transfer"/>
    <s v="Cinema"/>
  </r>
  <r>
    <s v="TXN102275"/>
    <x v="132"/>
    <x v="11"/>
    <x v="3"/>
    <x v="8"/>
    <x v="1"/>
    <n v="376.69"/>
    <s v="Main Bank"/>
    <s v="Debit Card"/>
    <s v="Freelance Client"/>
  </r>
  <r>
    <s v="TXN102265"/>
    <x v="132"/>
    <x v="35"/>
    <x v="1"/>
    <x v="13"/>
    <x v="0"/>
    <n v="19.04"/>
    <s v="Main Bank"/>
    <s v="Debit Card"/>
    <s v="Steam"/>
  </r>
  <r>
    <s v="TXN103066"/>
    <x v="132"/>
    <x v="25"/>
    <x v="0"/>
    <x v="0"/>
    <x v="0"/>
    <n v="38.57"/>
    <s v="Savings"/>
    <s v="Credit Card"/>
    <s v="McDonald's"/>
  </r>
  <r>
    <s v="TXN102743"/>
    <x v="132"/>
    <x v="1"/>
    <x v="0"/>
    <x v="0"/>
    <x v="0"/>
    <n v="10.039999999999999"/>
    <s v="Savings"/>
    <s v="Debit Card"/>
    <s v="EDEKA"/>
  </r>
  <r>
    <s v="TXN101729"/>
    <x v="132"/>
    <x v="16"/>
    <x v="3"/>
    <x v="10"/>
    <x v="1"/>
    <n v="2653.39"/>
    <s v="Main Bank"/>
    <s v="Debit Card"/>
    <s v="Employer"/>
  </r>
  <r>
    <s v="TXN100701"/>
    <x v="132"/>
    <x v="20"/>
    <x v="2"/>
    <x v="3"/>
    <x v="0"/>
    <n v="191.78"/>
    <s v="Main Bank"/>
    <s v="Debit Card"/>
    <s v="Amazon"/>
  </r>
  <r>
    <s v="TXN100658"/>
    <x v="133"/>
    <x v="59"/>
    <x v="6"/>
    <x v="11"/>
    <x v="0"/>
    <n v="17.21"/>
    <s v="Main Bank"/>
    <s v="Debit Card"/>
    <s v="Aral"/>
  </r>
  <r>
    <s v="TXN100561"/>
    <x v="133"/>
    <x v="84"/>
    <x v="7"/>
    <x v="21"/>
    <x v="0"/>
    <n v="54.67"/>
    <s v="Main Bank"/>
    <s v="Debit Card"/>
    <s v="Gym"/>
  </r>
  <r>
    <s v="TXN101149"/>
    <x v="133"/>
    <x v="67"/>
    <x v="3"/>
    <x v="6"/>
    <x v="1"/>
    <n v="677.49"/>
    <s v="Revolut"/>
    <s v="Credit Card"/>
    <s v="Freelance Client"/>
  </r>
  <r>
    <s v="TXN102423"/>
    <x v="133"/>
    <x v="39"/>
    <x v="7"/>
    <x v="14"/>
    <x v="0"/>
    <n v="65.069999999999993"/>
    <s v="Main Bank"/>
    <s v="Debit Card"/>
    <s v="Doctor"/>
  </r>
  <r>
    <s v="TXN101869"/>
    <x v="133"/>
    <x v="54"/>
    <x v="0"/>
    <x v="5"/>
    <x v="0"/>
    <n v="22.45"/>
    <s v="Main Bank"/>
    <s v="Debit Card"/>
    <s v="Lidl"/>
  </r>
  <r>
    <s v="TXN103358"/>
    <x v="133"/>
    <x v="73"/>
    <x v="6"/>
    <x v="12"/>
    <x v="0"/>
    <n v="54.68"/>
    <s v="Main Bank"/>
    <s v="Debit Card"/>
    <s v="Aral"/>
  </r>
  <r>
    <s v="TXN100766"/>
    <x v="133"/>
    <x v="85"/>
    <x v="2"/>
    <x v="16"/>
    <x v="0"/>
    <n v="324.77999999999997"/>
    <s v="Main Bank"/>
    <s v="Bank Transfer"/>
    <s v="IKEA"/>
  </r>
  <r>
    <s v="TXN102365"/>
    <x v="134"/>
    <x v="44"/>
    <x v="2"/>
    <x v="16"/>
    <x v="0"/>
    <n v="417.68"/>
    <s v="Main Bank"/>
    <s v="Debit Card"/>
    <s v="Zalando"/>
  </r>
  <r>
    <s v="TXN102218"/>
    <x v="134"/>
    <x v="7"/>
    <x v="0"/>
    <x v="0"/>
    <x v="0"/>
    <n v="23.83"/>
    <s v="Main Bank"/>
    <s v="Debit Card"/>
    <s v="Local Restaurant"/>
  </r>
  <r>
    <s v="TXN100412"/>
    <x v="134"/>
    <x v="41"/>
    <x v="3"/>
    <x v="10"/>
    <x v="1"/>
    <n v="2505.52"/>
    <s v="Main Bank"/>
    <s v="Debit Card"/>
    <s v="Employer Bonus"/>
  </r>
  <r>
    <s v="TXN102680"/>
    <x v="134"/>
    <x v="5"/>
    <x v="2"/>
    <x v="4"/>
    <x v="0"/>
    <n v="180.83"/>
    <s v="Main Bank"/>
    <s v="Debit Card"/>
    <s v="Amazon"/>
  </r>
  <r>
    <s v="TXN101416"/>
    <x v="134"/>
    <x v="9"/>
    <x v="3"/>
    <x v="6"/>
    <x v="1"/>
    <n v="805.1"/>
    <s v="Main Bank"/>
    <s v="Debit Card"/>
    <s v="Employer Bonus"/>
  </r>
  <r>
    <s v="TXN101685"/>
    <x v="134"/>
    <x v="1"/>
    <x v="0"/>
    <x v="0"/>
    <x v="0"/>
    <n v="34.119999999999997"/>
    <s v="Revolut"/>
    <s v="Debit Card"/>
    <s v="EDEKA"/>
  </r>
  <r>
    <s v="TXN100174"/>
    <x v="134"/>
    <x v="0"/>
    <x v="0"/>
    <x v="0"/>
    <x v="0"/>
    <n v="129.56"/>
    <s v="Savings"/>
    <s v="Debit Card"/>
    <s v="Lidl"/>
  </r>
  <r>
    <s v="TXN102604"/>
    <x v="135"/>
    <x v="34"/>
    <x v="0"/>
    <x v="5"/>
    <x v="0"/>
    <n v="20.47"/>
    <s v="Savings"/>
    <s v="Bank Transfer"/>
    <s v="Local Restaurant"/>
  </r>
  <r>
    <s v="TXN102325"/>
    <x v="135"/>
    <x v="16"/>
    <x v="3"/>
    <x v="10"/>
    <x v="1"/>
    <n v="2405.64"/>
    <s v="Main Bank"/>
    <s v="Debit Card"/>
    <s v="Employer"/>
  </r>
  <r>
    <s v="TXN100829"/>
    <x v="135"/>
    <x v="28"/>
    <x v="7"/>
    <x v="14"/>
    <x v="0"/>
    <n v="46.65"/>
    <s v="Revolut"/>
    <s v="Direct Debit"/>
    <s v="Pharmacy"/>
  </r>
  <r>
    <s v="TXN100097"/>
    <x v="135"/>
    <x v="57"/>
    <x v="2"/>
    <x v="3"/>
    <x v="0"/>
    <n v="124.73"/>
    <s v="Savings"/>
    <s v="Debit Card"/>
    <s v="IKEA"/>
  </r>
  <r>
    <s v="TXN101761"/>
    <x v="135"/>
    <x v="24"/>
    <x v="2"/>
    <x v="16"/>
    <x v="0"/>
    <n v="58.96"/>
    <s v="Main Bank"/>
    <s v="Bank Transfer"/>
    <s v="MediaMarkt"/>
  </r>
  <r>
    <s v="TXN100565"/>
    <x v="135"/>
    <x v="36"/>
    <x v="6"/>
    <x v="15"/>
    <x v="0"/>
    <n v="82.82"/>
    <s v="Main Bank"/>
    <s v="Credit Card"/>
    <s v="Aral"/>
  </r>
  <r>
    <s v="TXN100295"/>
    <x v="135"/>
    <x v="14"/>
    <x v="0"/>
    <x v="0"/>
    <x v="0"/>
    <n v="22.09"/>
    <s v="Main Bank"/>
    <s v="Cash"/>
    <s v="REWE"/>
  </r>
  <r>
    <s v="TXN102615"/>
    <x v="135"/>
    <x v="34"/>
    <x v="0"/>
    <x v="5"/>
    <x v="0"/>
    <n v="98.99"/>
    <s v="Main Bank"/>
    <s v="Debit Card"/>
    <s v="Local Restaurant"/>
  </r>
  <r>
    <s v="TXN103111"/>
    <x v="135"/>
    <x v="80"/>
    <x v="1"/>
    <x v="22"/>
    <x v="0"/>
    <n v="24.55"/>
    <s v="Revolut"/>
    <s v="Debit Card"/>
    <s v="Cinema"/>
  </r>
  <r>
    <s v="TXN103150"/>
    <x v="135"/>
    <x v="62"/>
    <x v="2"/>
    <x v="4"/>
    <x v="0"/>
    <n v="46"/>
    <s v="Savings"/>
    <s v="Direct Debit"/>
    <s v="IKEA"/>
  </r>
  <r>
    <s v="TXN100872"/>
    <x v="136"/>
    <x v="7"/>
    <x v="0"/>
    <x v="0"/>
    <x v="0"/>
    <n v="30.15"/>
    <s v="Main Bank"/>
    <s v="Credit Card"/>
    <s v="Local Restaurant"/>
  </r>
  <r>
    <s v="TXN102622"/>
    <x v="136"/>
    <x v="31"/>
    <x v="3"/>
    <x v="6"/>
    <x v="1"/>
    <n v="697.89"/>
    <s v="Main Bank"/>
    <s v="Debit Card"/>
    <s v="Employer"/>
  </r>
  <r>
    <s v="TXN103368"/>
    <x v="136"/>
    <x v="7"/>
    <x v="0"/>
    <x v="0"/>
    <x v="0"/>
    <n v="27.96"/>
    <s v="Main Bank"/>
    <s v="Credit Card"/>
    <s v="Local Restaurant"/>
  </r>
  <r>
    <s v="TXN100519"/>
    <x v="136"/>
    <x v="72"/>
    <x v="3"/>
    <x v="8"/>
    <x v="1"/>
    <n v="372.33"/>
    <s v="Savings"/>
    <s v="Bank Transfer"/>
    <s v="Employer"/>
  </r>
  <r>
    <s v="TXN100475"/>
    <x v="136"/>
    <x v="68"/>
    <x v="2"/>
    <x v="4"/>
    <x v="0"/>
    <n v="88.94"/>
    <s v="Main Bank"/>
    <s v="Cash"/>
    <s v="MediaMarkt"/>
  </r>
  <r>
    <s v="TXN102060"/>
    <x v="136"/>
    <x v="24"/>
    <x v="2"/>
    <x v="16"/>
    <x v="0"/>
    <n v="156.86000000000001"/>
    <s v="Revolut"/>
    <s v="Bank Transfer"/>
    <s v="MediaMarkt"/>
  </r>
  <r>
    <s v="TXN100756"/>
    <x v="137"/>
    <x v="91"/>
    <x v="5"/>
    <x v="23"/>
    <x v="0"/>
    <n v="895.65"/>
    <s v="Main Bank"/>
    <s v="Debit Card"/>
    <s v="Hotel"/>
  </r>
  <r>
    <s v="TXN100626"/>
    <x v="137"/>
    <x v="15"/>
    <x v="6"/>
    <x v="11"/>
    <x v="0"/>
    <n v="143.77000000000001"/>
    <s v="Savings"/>
    <s v="Credit Card"/>
    <s v="Auto Service"/>
  </r>
  <r>
    <s v="TXN102217"/>
    <x v="137"/>
    <x v="16"/>
    <x v="3"/>
    <x v="10"/>
    <x v="1"/>
    <n v="2421.5500000000002"/>
    <s v="Main Bank"/>
    <s v="Debit Card"/>
    <s v="Employer"/>
  </r>
  <r>
    <s v="TXN102666"/>
    <x v="137"/>
    <x v="26"/>
    <x v="0"/>
    <x v="1"/>
    <x v="0"/>
    <n v="36.4"/>
    <s v="Main Bank"/>
    <s v="Bank Transfer"/>
    <s v="Local Restaurant"/>
  </r>
  <r>
    <s v="TXN101929"/>
    <x v="137"/>
    <x v="35"/>
    <x v="1"/>
    <x v="13"/>
    <x v="0"/>
    <n v="35.15"/>
    <s v="Main Bank"/>
    <s v="Bank Transfer"/>
    <s v="Steam"/>
  </r>
  <r>
    <s v="TXN100747"/>
    <x v="137"/>
    <x v="88"/>
    <x v="6"/>
    <x v="11"/>
    <x v="0"/>
    <n v="16.97"/>
    <s v="Main Bank"/>
    <s v="Bank Transfer"/>
    <s v="Shell"/>
  </r>
  <r>
    <s v="TXN102383"/>
    <x v="137"/>
    <x v="16"/>
    <x v="3"/>
    <x v="10"/>
    <x v="1"/>
    <n v="2559.86"/>
    <s v="Main Bank"/>
    <s v="Credit Card"/>
    <s v="Employer"/>
  </r>
  <r>
    <s v="TXN102611"/>
    <x v="137"/>
    <x v="31"/>
    <x v="3"/>
    <x v="6"/>
    <x v="1"/>
    <n v="620.79999999999995"/>
    <s v="Main Bank"/>
    <s v="Bank Transfer"/>
    <s v="Employer"/>
  </r>
  <r>
    <s v="TXN101604"/>
    <x v="138"/>
    <x v="73"/>
    <x v="6"/>
    <x v="12"/>
    <x v="0"/>
    <n v="49.38"/>
    <s v="Revolut"/>
    <s v="Credit Card"/>
    <s v="Aral"/>
  </r>
  <r>
    <s v="TXN101253"/>
    <x v="138"/>
    <x v="63"/>
    <x v="4"/>
    <x v="19"/>
    <x v="0"/>
    <n v="320.99"/>
    <s v="Main Bank"/>
    <s v="Debit Card"/>
    <s v="Vodafone"/>
  </r>
  <r>
    <s v="TXN102985"/>
    <x v="138"/>
    <x v="62"/>
    <x v="2"/>
    <x v="4"/>
    <x v="0"/>
    <n v="147.69"/>
    <s v="Savings"/>
    <s v="Bank Transfer"/>
    <s v="IKEA"/>
  </r>
  <r>
    <s v="TXN103296"/>
    <x v="138"/>
    <x v="38"/>
    <x v="4"/>
    <x v="7"/>
    <x v="0"/>
    <n v="914.26"/>
    <s v="Main Bank"/>
    <s v="Debit Card"/>
    <s v="Vodafone"/>
  </r>
  <r>
    <s v="TXN102414"/>
    <x v="138"/>
    <x v="53"/>
    <x v="4"/>
    <x v="19"/>
    <x v="0"/>
    <n v="141.77000000000001"/>
    <s v="Main Bank"/>
    <s v="Credit Card"/>
    <s v="Energy Provider"/>
  </r>
  <r>
    <s v="TXN102022"/>
    <x v="138"/>
    <x v="5"/>
    <x v="2"/>
    <x v="4"/>
    <x v="0"/>
    <n v="116.06"/>
    <s v="Main Bank"/>
    <s v="Debit Card"/>
    <s v="Amazon"/>
  </r>
  <r>
    <s v="TXN103229"/>
    <x v="139"/>
    <x v="75"/>
    <x v="4"/>
    <x v="7"/>
    <x v="0"/>
    <n v="115.37"/>
    <s v="Revolut"/>
    <s v="Credit Card"/>
    <s v="Energy Provider"/>
  </r>
  <r>
    <s v="TXN102460"/>
    <x v="139"/>
    <x v="40"/>
    <x v="6"/>
    <x v="12"/>
    <x v="0"/>
    <n v="78.62"/>
    <s v="Revolut"/>
    <s v="Direct Debit"/>
    <s v="DB"/>
  </r>
  <r>
    <s v="TXN100640"/>
    <x v="139"/>
    <x v="51"/>
    <x v="6"/>
    <x v="15"/>
    <x v="0"/>
    <n v="165.85"/>
    <s v="Main Bank"/>
    <s v="Debit Card"/>
    <s v="DB"/>
  </r>
  <r>
    <s v="TXN100967"/>
    <x v="139"/>
    <x v="84"/>
    <x v="7"/>
    <x v="21"/>
    <x v="0"/>
    <n v="72.45"/>
    <s v="Main Bank"/>
    <s v="Debit Card"/>
    <s v="Gym"/>
  </r>
  <r>
    <s v="TXN101958"/>
    <x v="139"/>
    <x v="51"/>
    <x v="6"/>
    <x v="15"/>
    <x v="0"/>
    <n v="59.6"/>
    <s v="Main Bank"/>
    <s v="Cash"/>
    <s v="DB"/>
  </r>
  <r>
    <s v="TXN101954"/>
    <x v="139"/>
    <x v="46"/>
    <x v="7"/>
    <x v="18"/>
    <x v="0"/>
    <n v="107.99"/>
    <s v="Main Bank"/>
    <s v="Debit Card"/>
    <s v="Gym"/>
  </r>
  <r>
    <s v="TXN100656"/>
    <x v="140"/>
    <x v="0"/>
    <x v="0"/>
    <x v="0"/>
    <x v="0"/>
    <n v="54.17"/>
    <s v="Main Bank"/>
    <s v="Credit Card"/>
    <s v="Lidl"/>
  </r>
  <r>
    <s v="TXN102641"/>
    <x v="140"/>
    <x v="29"/>
    <x v="0"/>
    <x v="1"/>
    <x v="0"/>
    <n v="43.19"/>
    <s v="Main Bank"/>
    <s v="Direct Debit"/>
    <s v="REWE"/>
  </r>
  <r>
    <s v="TXN100956"/>
    <x v="140"/>
    <x v="52"/>
    <x v="6"/>
    <x v="11"/>
    <x v="0"/>
    <n v="90.12"/>
    <s v="Main Bank"/>
    <s v="Debit Card"/>
    <s v="Local Transit"/>
  </r>
  <r>
    <s v="TXN102058"/>
    <x v="140"/>
    <x v="59"/>
    <x v="6"/>
    <x v="11"/>
    <x v="0"/>
    <n v="36.04"/>
    <s v="Main Bank"/>
    <s v="Cash"/>
    <s v="Aral"/>
  </r>
  <r>
    <s v="TXN103378"/>
    <x v="141"/>
    <x v="48"/>
    <x v="0"/>
    <x v="5"/>
    <x v="0"/>
    <n v="29.72"/>
    <s v="Savings"/>
    <s v="Debit Card"/>
    <s v="EDEKA"/>
  </r>
  <r>
    <s v="TXN103146"/>
    <x v="141"/>
    <x v="52"/>
    <x v="6"/>
    <x v="11"/>
    <x v="0"/>
    <n v="142.68"/>
    <s v="Main Bank"/>
    <s v="Bank Transfer"/>
    <s v="Local Transit"/>
  </r>
  <r>
    <s v="TXN102537"/>
    <x v="141"/>
    <x v="28"/>
    <x v="7"/>
    <x v="14"/>
    <x v="0"/>
    <n v="103.23"/>
    <s v="Revolut"/>
    <s v="Debit Card"/>
    <s v="Pharmacy"/>
  </r>
  <r>
    <s v="TXN102855"/>
    <x v="141"/>
    <x v="75"/>
    <x v="4"/>
    <x v="7"/>
    <x v="0"/>
    <n v="441.33"/>
    <s v="Main Bank"/>
    <s v="Debit Card"/>
    <s v="Energy Provider"/>
  </r>
  <r>
    <s v="TXN100108"/>
    <x v="141"/>
    <x v="46"/>
    <x v="7"/>
    <x v="18"/>
    <x v="0"/>
    <n v="33.35"/>
    <s v="Main Bank"/>
    <s v="Direct Debit"/>
    <s v="Gym"/>
  </r>
  <r>
    <s v="TXN102559"/>
    <x v="141"/>
    <x v="63"/>
    <x v="4"/>
    <x v="19"/>
    <x v="0"/>
    <n v="212.71"/>
    <s v="Main Bank"/>
    <s v="Debit Card"/>
    <s v="Vodafone"/>
  </r>
  <r>
    <s v="TXN102487"/>
    <x v="141"/>
    <x v="5"/>
    <x v="2"/>
    <x v="4"/>
    <x v="0"/>
    <n v="104.29"/>
    <s v="Main Bank"/>
    <s v="Cash"/>
    <s v="Amazon"/>
  </r>
  <r>
    <s v="TXN103217"/>
    <x v="141"/>
    <x v="21"/>
    <x v="0"/>
    <x v="1"/>
    <x v="0"/>
    <n v="20.97"/>
    <s v="Main Bank"/>
    <s v="Debit Card"/>
    <s v="EDEKA"/>
  </r>
  <r>
    <s v="TXN100629"/>
    <x v="141"/>
    <x v="71"/>
    <x v="4"/>
    <x v="17"/>
    <x v="0"/>
    <n v="198.66"/>
    <s v="Main Bank"/>
    <s v="Cash"/>
    <s v="Vodafone"/>
  </r>
  <r>
    <s v="TXN101545"/>
    <x v="142"/>
    <x v="55"/>
    <x v="3"/>
    <x v="8"/>
    <x v="1"/>
    <n v="348.66"/>
    <s v="Main Bank"/>
    <s v="Debit Card"/>
    <s v="Employer Bonus"/>
  </r>
  <r>
    <s v="TXN103453"/>
    <x v="142"/>
    <x v="80"/>
    <x v="1"/>
    <x v="22"/>
    <x v="0"/>
    <n v="47.79"/>
    <s v="Main Bank"/>
    <s v="Cash"/>
    <s v="Cinema"/>
  </r>
  <r>
    <s v="TXN102965"/>
    <x v="142"/>
    <x v="11"/>
    <x v="3"/>
    <x v="8"/>
    <x v="1"/>
    <n v="409.12"/>
    <s v="Revolut"/>
    <s v="Debit Card"/>
    <s v="Freelance Client"/>
  </r>
  <r>
    <s v="TXN102792"/>
    <x v="142"/>
    <x v="16"/>
    <x v="3"/>
    <x v="10"/>
    <x v="1"/>
    <n v="2803.81"/>
    <s v="Main Bank"/>
    <s v="Bank Transfer"/>
    <s v="Employer"/>
  </r>
  <r>
    <s v="TXN101212"/>
    <x v="142"/>
    <x v="85"/>
    <x v="2"/>
    <x v="16"/>
    <x v="0"/>
    <n v="226.2"/>
    <s v="Main Bank"/>
    <s v="Direct Debit"/>
    <s v="IKEA"/>
  </r>
  <r>
    <s v="TXN102832"/>
    <x v="142"/>
    <x v="74"/>
    <x v="1"/>
    <x v="13"/>
    <x v="0"/>
    <n v="119.2"/>
    <s v="Revolut"/>
    <s v="Debit Card"/>
    <s v="Cinema"/>
  </r>
  <r>
    <s v="TXN101607"/>
    <x v="142"/>
    <x v="53"/>
    <x v="4"/>
    <x v="19"/>
    <x v="0"/>
    <n v="425.6"/>
    <s v="Main Bank"/>
    <s v="Debit Card"/>
    <s v="Energy Provider"/>
  </r>
  <r>
    <s v="TXN101031"/>
    <x v="142"/>
    <x v="38"/>
    <x v="4"/>
    <x v="7"/>
    <x v="0"/>
    <n v="510.18"/>
    <s v="Main Bank"/>
    <s v="Cash"/>
    <s v="Vodafone"/>
  </r>
  <r>
    <s v="TXN100488"/>
    <x v="142"/>
    <x v="6"/>
    <x v="0"/>
    <x v="1"/>
    <x v="0"/>
    <n v="11.27"/>
    <s v="Savings"/>
    <s v="Credit Card"/>
    <s v="McDonald's"/>
  </r>
  <r>
    <s v="TXN102294"/>
    <x v="142"/>
    <x v="66"/>
    <x v="2"/>
    <x v="3"/>
    <x v="0"/>
    <n v="207.38"/>
    <s v="Main Bank"/>
    <s v="Bank Transfer"/>
    <s v="MediaMarkt"/>
  </r>
  <r>
    <s v="TXN103493"/>
    <x v="143"/>
    <x v="67"/>
    <x v="3"/>
    <x v="6"/>
    <x v="1"/>
    <n v="719.28"/>
    <s v="Main Bank"/>
    <s v="Debit Card"/>
    <s v="Freelance Client"/>
  </r>
  <r>
    <s v="TXN101625"/>
    <x v="143"/>
    <x v="1"/>
    <x v="0"/>
    <x v="0"/>
    <x v="0"/>
    <n v="172.9"/>
    <s v="Main Bank"/>
    <s v="Credit Card"/>
    <s v="EDEKA"/>
  </r>
  <r>
    <s v="TXN103341"/>
    <x v="143"/>
    <x v="16"/>
    <x v="3"/>
    <x v="10"/>
    <x v="1"/>
    <n v="2347.27"/>
    <s v="Main Bank"/>
    <s v="Credit Card"/>
    <s v="Employer"/>
  </r>
  <r>
    <s v="TXN102873"/>
    <x v="143"/>
    <x v="13"/>
    <x v="3"/>
    <x v="10"/>
    <x v="1"/>
    <n v="2706.23"/>
    <s v="Main Bank"/>
    <s v="Bank Transfer"/>
    <s v="Freelance Client"/>
  </r>
  <r>
    <s v="TXN101898"/>
    <x v="144"/>
    <x v="14"/>
    <x v="0"/>
    <x v="0"/>
    <x v="0"/>
    <n v="29.9"/>
    <s v="Main Bank"/>
    <s v="Credit Card"/>
    <s v="REWE"/>
  </r>
  <r>
    <s v="TXN100160"/>
    <x v="144"/>
    <x v="58"/>
    <x v="7"/>
    <x v="21"/>
    <x v="0"/>
    <n v="90.03"/>
    <s v="Revolut"/>
    <s v="Bank Transfer"/>
    <s v="Doctor"/>
  </r>
  <r>
    <s v="TXN102488"/>
    <x v="144"/>
    <x v="11"/>
    <x v="3"/>
    <x v="8"/>
    <x v="1"/>
    <n v="345.03"/>
    <s v="Main Bank"/>
    <s v="Debit Card"/>
    <s v="Freelance Client"/>
  </r>
  <r>
    <s v="TXN102033"/>
    <x v="144"/>
    <x v="20"/>
    <x v="2"/>
    <x v="3"/>
    <x v="0"/>
    <n v="96.88"/>
    <s v="Main Bank"/>
    <s v="Bank Transfer"/>
    <s v="Amazon"/>
  </r>
  <r>
    <s v="TXN100775"/>
    <x v="144"/>
    <x v="79"/>
    <x v="5"/>
    <x v="23"/>
    <x v="0"/>
    <n v="373.4"/>
    <s v="Revolut"/>
    <s v="Credit Card"/>
    <s v="Travel Agency"/>
  </r>
  <r>
    <s v="TXN103136"/>
    <x v="145"/>
    <x v="80"/>
    <x v="1"/>
    <x v="22"/>
    <x v="0"/>
    <n v="97.54"/>
    <s v="Main Bank"/>
    <s v="Debit Card"/>
    <s v="Cinema"/>
  </r>
  <r>
    <s v="TXN102689"/>
    <x v="145"/>
    <x v="5"/>
    <x v="2"/>
    <x v="4"/>
    <x v="0"/>
    <n v="57.15"/>
    <s v="Main Bank"/>
    <s v="Bank Transfer"/>
    <s v="Amazon"/>
  </r>
  <r>
    <s v="TXN101672"/>
    <x v="145"/>
    <x v="55"/>
    <x v="3"/>
    <x v="8"/>
    <x v="1"/>
    <n v="339.9"/>
    <s v="Main Bank"/>
    <s v="Bank Transfer"/>
    <s v="Employer Bonus"/>
  </r>
  <r>
    <s v="TXN103473"/>
    <x v="145"/>
    <x v="65"/>
    <x v="1"/>
    <x v="2"/>
    <x v="0"/>
    <n v="30.02"/>
    <s v="Revolut"/>
    <s v="Credit Card"/>
    <s v="Netflix"/>
  </r>
  <r>
    <s v="TXN101717"/>
    <x v="145"/>
    <x v="47"/>
    <x v="4"/>
    <x v="19"/>
    <x v="0"/>
    <n v="241.86"/>
    <s v="Revolut"/>
    <s v="Bank Transfer"/>
    <s v="Landlord"/>
  </r>
  <r>
    <s v="TXN102859"/>
    <x v="145"/>
    <x v="53"/>
    <x v="4"/>
    <x v="19"/>
    <x v="0"/>
    <n v="108.69"/>
    <s v="Main Bank"/>
    <s v="Debit Card"/>
    <s v="Energy Provider"/>
  </r>
  <r>
    <s v="TXN100040"/>
    <x v="145"/>
    <x v="5"/>
    <x v="2"/>
    <x v="4"/>
    <x v="0"/>
    <n v="150.97999999999999"/>
    <s v="Main Bank"/>
    <s v="Credit Card"/>
    <s v="Amazon"/>
  </r>
  <r>
    <s v="TXN101352"/>
    <x v="145"/>
    <x v="68"/>
    <x v="2"/>
    <x v="4"/>
    <x v="0"/>
    <n v="69.47"/>
    <s v="Main Bank"/>
    <s v="Debit Card"/>
    <s v="MediaMarkt"/>
  </r>
  <r>
    <s v="TXN100524"/>
    <x v="145"/>
    <x v="11"/>
    <x v="3"/>
    <x v="8"/>
    <x v="1"/>
    <n v="303.77"/>
    <s v="Main Bank"/>
    <s v="Cash"/>
    <s v="Freelance Client"/>
  </r>
  <r>
    <s v="TXN100692"/>
    <x v="145"/>
    <x v="73"/>
    <x v="6"/>
    <x v="12"/>
    <x v="0"/>
    <n v="19.71"/>
    <s v="Savings"/>
    <s v="Credit Card"/>
    <s v="Aral"/>
  </r>
  <r>
    <s v="TXN100426"/>
    <x v="145"/>
    <x v="4"/>
    <x v="2"/>
    <x v="3"/>
    <x v="0"/>
    <n v="500"/>
    <s v="Main Bank"/>
    <s v="Debit Card"/>
    <s v="Zalando"/>
  </r>
  <r>
    <s v="TXN100638"/>
    <x v="145"/>
    <x v="54"/>
    <x v="0"/>
    <x v="5"/>
    <x v="0"/>
    <n v="112.08"/>
    <s v="Savings"/>
    <s v="Debit Card"/>
    <s v="Lidl"/>
  </r>
  <r>
    <s v="TXN101433"/>
    <x v="145"/>
    <x v="68"/>
    <x v="2"/>
    <x v="4"/>
    <x v="0"/>
    <n v="118.51"/>
    <s v="Main Bank"/>
    <s v="Debit Card"/>
    <s v="MediaMarkt"/>
  </r>
  <r>
    <s v="TXN103185"/>
    <x v="145"/>
    <x v="33"/>
    <x v="2"/>
    <x v="16"/>
    <x v="0"/>
    <n v="61.38"/>
    <s v="Revolut"/>
    <s v="Debit Card"/>
    <s v="Amazon"/>
  </r>
  <r>
    <s v="TXN103381"/>
    <x v="146"/>
    <x v="45"/>
    <x v="6"/>
    <x v="12"/>
    <x v="0"/>
    <n v="58.94"/>
    <s v="Main Bank"/>
    <s v="Debit Card"/>
    <s v="Local Transit"/>
  </r>
  <r>
    <s v="TXN100581"/>
    <x v="146"/>
    <x v="22"/>
    <x v="2"/>
    <x v="4"/>
    <x v="0"/>
    <n v="70.36"/>
    <s v="Main Bank"/>
    <s v="Debit Card"/>
    <s v="Zalando"/>
  </r>
  <r>
    <s v="TXN101829"/>
    <x v="147"/>
    <x v="27"/>
    <x v="5"/>
    <x v="9"/>
    <x v="0"/>
    <n v="929.26"/>
    <s v="Main Bank"/>
    <s v="Bank Transfer"/>
    <s v="Hotel"/>
  </r>
  <r>
    <s v="TXN101049"/>
    <x v="147"/>
    <x v="72"/>
    <x v="3"/>
    <x v="8"/>
    <x v="1"/>
    <n v="359.21"/>
    <s v="Main Bank"/>
    <s v="Bank Transfer"/>
    <s v="Employer"/>
  </r>
  <r>
    <s v="TXN102908"/>
    <x v="147"/>
    <x v="1"/>
    <x v="0"/>
    <x v="0"/>
    <x v="0"/>
    <n v="61.05"/>
    <s v="Revolut"/>
    <s v="Direct Debit"/>
    <s v="EDEKA"/>
  </r>
  <r>
    <s v="TXN103305"/>
    <x v="147"/>
    <x v="7"/>
    <x v="0"/>
    <x v="0"/>
    <x v="0"/>
    <n v="127.26"/>
    <s v="Savings"/>
    <s v="Bank Transfer"/>
    <s v="Local Restaurant"/>
  </r>
  <r>
    <s v="TXN101787"/>
    <x v="147"/>
    <x v="32"/>
    <x v="1"/>
    <x v="2"/>
    <x v="0"/>
    <n v="15.13"/>
    <s v="Revolut"/>
    <s v="Credit Card"/>
    <s v="Cinema"/>
  </r>
  <r>
    <s v="TXN101826"/>
    <x v="147"/>
    <x v="33"/>
    <x v="2"/>
    <x v="16"/>
    <x v="0"/>
    <n v="296.10000000000002"/>
    <s v="Main Bank"/>
    <s v="Bank Transfer"/>
    <s v="Amazon"/>
  </r>
  <r>
    <s v="TXN102407"/>
    <x v="148"/>
    <x v="78"/>
    <x v="6"/>
    <x v="15"/>
    <x v="0"/>
    <n v="63.11"/>
    <s v="Revolut"/>
    <s v="Debit Card"/>
    <s v="Auto Service"/>
  </r>
  <r>
    <s v="TXN102503"/>
    <x v="148"/>
    <x v="62"/>
    <x v="2"/>
    <x v="4"/>
    <x v="0"/>
    <n v="130.72999999999999"/>
    <s v="Revolut"/>
    <s v="Bank Transfer"/>
    <s v="IKEA"/>
  </r>
  <r>
    <s v="TXN101835"/>
    <x v="148"/>
    <x v="11"/>
    <x v="3"/>
    <x v="8"/>
    <x v="1"/>
    <n v="351.91"/>
    <s v="Main Bank"/>
    <s v="Credit Card"/>
    <s v="Freelance Client"/>
  </r>
  <r>
    <s v="TXN102037"/>
    <x v="148"/>
    <x v="50"/>
    <x v="4"/>
    <x v="17"/>
    <x v="0"/>
    <n v="317.14"/>
    <s v="Main Bank"/>
    <s v="Credit Card"/>
    <s v="Energy Provider"/>
  </r>
  <r>
    <s v="TXN102216"/>
    <x v="148"/>
    <x v="14"/>
    <x v="0"/>
    <x v="0"/>
    <x v="0"/>
    <n v="33.83"/>
    <s v="Main Bank"/>
    <s v="Debit Card"/>
    <s v="REWE"/>
  </r>
  <r>
    <s v="TXN100051"/>
    <x v="148"/>
    <x v="13"/>
    <x v="3"/>
    <x v="10"/>
    <x v="1"/>
    <n v="2619.31"/>
    <s v="Main Bank"/>
    <s v="Debit Card"/>
    <s v="Freelance Client"/>
  </r>
  <r>
    <s v="TXN102720"/>
    <x v="148"/>
    <x v="43"/>
    <x v="4"/>
    <x v="17"/>
    <x v="0"/>
    <n v="426.36"/>
    <s v="Revolut"/>
    <s v="Bank Transfer"/>
    <s v="Landlord"/>
  </r>
  <r>
    <s v="TXN100007"/>
    <x v="148"/>
    <x v="71"/>
    <x v="4"/>
    <x v="17"/>
    <x v="0"/>
    <n v="446.63"/>
    <s v="Savings"/>
    <s v="Bank Transfer"/>
    <s v="Vodafone"/>
  </r>
  <r>
    <s v="TXN103395"/>
    <x v="149"/>
    <x v="16"/>
    <x v="3"/>
    <x v="10"/>
    <x v="1"/>
    <n v="2730.09"/>
    <s v="Main Bank"/>
    <s v="Debit Card"/>
    <s v="Employer"/>
  </r>
  <r>
    <s v="TXN100248"/>
    <x v="149"/>
    <x v="41"/>
    <x v="3"/>
    <x v="10"/>
    <x v="1"/>
    <n v="2525.19"/>
    <s v="Revolut"/>
    <s v="Credit Card"/>
    <s v="Employer Bonus"/>
  </r>
  <r>
    <s v="TXN100639"/>
    <x v="150"/>
    <x v="7"/>
    <x v="0"/>
    <x v="0"/>
    <x v="0"/>
    <n v="24.13"/>
    <s v="Main Bank"/>
    <s v="Cash"/>
    <s v="Local Restaurant"/>
  </r>
  <r>
    <s v="TXN102930"/>
    <x v="150"/>
    <x v="73"/>
    <x v="6"/>
    <x v="12"/>
    <x v="0"/>
    <n v="131.94"/>
    <s v="Main Bank"/>
    <s v="Bank Transfer"/>
    <s v="Aral"/>
  </r>
  <r>
    <s v="TXN100697"/>
    <x v="150"/>
    <x v="8"/>
    <x v="0"/>
    <x v="5"/>
    <x v="0"/>
    <n v="64.88"/>
    <s v="Main Bank"/>
    <s v="Direct Debit"/>
    <s v="McDonald's"/>
  </r>
  <r>
    <s v="TXN102389"/>
    <x v="150"/>
    <x v="70"/>
    <x v="7"/>
    <x v="18"/>
    <x v="0"/>
    <n v="30.2"/>
    <s v="Main Bank"/>
    <s v="Direct Debit"/>
    <s v="Pharmacy"/>
  </r>
  <r>
    <s v="TXN101060"/>
    <x v="151"/>
    <x v="80"/>
    <x v="1"/>
    <x v="22"/>
    <x v="0"/>
    <n v="22.6"/>
    <s v="Main Bank"/>
    <s v="Bank Transfer"/>
    <s v="Cinema"/>
  </r>
  <r>
    <s v="TXN102788"/>
    <x v="151"/>
    <x v="29"/>
    <x v="0"/>
    <x v="1"/>
    <x v="0"/>
    <n v="180"/>
    <s v="Main Bank"/>
    <s v="Credit Card"/>
    <s v="REWE"/>
  </r>
  <r>
    <s v="TXN100848"/>
    <x v="151"/>
    <x v="67"/>
    <x v="3"/>
    <x v="6"/>
    <x v="1"/>
    <n v="674.8"/>
    <s v="Revolut"/>
    <s v="Credit Card"/>
    <s v="Freelance Client"/>
  </r>
  <r>
    <s v="TXN103286"/>
    <x v="151"/>
    <x v="47"/>
    <x v="4"/>
    <x v="19"/>
    <x v="0"/>
    <n v="190.34"/>
    <s v="Main Bank"/>
    <s v="Cash"/>
    <s v="Landlord"/>
  </r>
  <r>
    <s v="TXN102917"/>
    <x v="151"/>
    <x v="70"/>
    <x v="7"/>
    <x v="18"/>
    <x v="0"/>
    <n v="51.02"/>
    <s v="Main Bank"/>
    <s v="Debit Card"/>
    <s v="Pharmacy"/>
  </r>
  <r>
    <s v="TXN100710"/>
    <x v="152"/>
    <x v="49"/>
    <x v="1"/>
    <x v="13"/>
    <x v="0"/>
    <n v="46.51"/>
    <s v="Main Bank"/>
    <s v="Credit Card"/>
    <s v="Spotify"/>
  </r>
  <r>
    <s v="TXN101316"/>
    <x v="152"/>
    <x v="60"/>
    <x v="1"/>
    <x v="22"/>
    <x v="0"/>
    <n v="84.99"/>
    <s v="Savings"/>
    <s v="Cash"/>
    <s v="Spotify"/>
  </r>
  <r>
    <s v="TXN100258"/>
    <x v="153"/>
    <x v="39"/>
    <x v="7"/>
    <x v="14"/>
    <x v="0"/>
    <n v="35.36"/>
    <s v="Main Bank"/>
    <s v="Credit Card"/>
    <s v="Doctor"/>
  </r>
  <r>
    <s v="TXN101987"/>
    <x v="153"/>
    <x v="39"/>
    <x v="7"/>
    <x v="14"/>
    <x v="0"/>
    <n v="52.66"/>
    <s v="Revolut"/>
    <s v="Debit Card"/>
    <s v="Doctor"/>
  </r>
  <r>
    <s v="TXN103442"/>
    <x v="153"/>
    <x v="22"/>
    <x v="2"/>
    <x v="4"/>
    <x v="0"/>
    <n v="356.34"/>
    <s v="Main Bank"/>
    <s v="Direct Debit"/>
    <s v="Zalando"/>
  </r>
  <r>
    <s v="TXN102708"/>
    <x v="154"/>
    <x v="29"/>
    <x v="0"/>
    <x v="1"/>
    <x v="0"/>
    <n v="21.42"/>
    <s v="Main Bank"/>
    <s v="Credit Card"/>
    <s v="REWE"/>
  </r>
  <r>
    <s v="TXN101166"/>
    <x v="154"/>
    <x v="31"/>
    <x v="3"/>
    <x v="6"/>
    <x v="1"/>
    <n v="916.54"/>
    <s v="Main Bank"/>
    <s v="Bank Transfer"/>
    <s v="Employer"/>
  </r>
  <r>
    <s v="TXN101064"/>
    <x v="154"/>
    <x v="78"/>
    <x v="6"/>
    <x v="15"/>
    <x v="0"/>
    <n v="93.83"/>
    <s v="Savings"/>
    <s v="Credit Card"/>
    <s v="Auto Service"/>
  </r>
  <r>
    <s v="TXN103299"/>
    <x v="154"/>
    <x v="30"/>
    <x v="6"/>
    <x v="11"/>
    <x v="0"/>
    <n v="91.49"/>
    <s v="Main Bank"/>
    <s v="Bank Transfer"/>
    <s v="DB"/>
  </r>
  <r>
    <s v="TXN100753"/>
    <x v="154"/>
    <x v="77"/>
    <x v="1"/>
    <x v="22"/>
    <x v="0"/>
    <n v="59.66"/>
    <s v="Revolut"/>
    <s v="Direct Debit"/>
    <s v="Steam"/>
  </r>
  <r>
    <s v="TXN100757"/>
    <x v="154"/>
    <x v="65"/>
    <x v="1"/>
    <x v="2"/>
    <x v="0"/>
    <n v="40.22"/>
    <s v="Main Bank"/>
    <s v="Bank Transfer"/>
    <s v="Netflix"/>
  </r>
  <r>
    <s v="TXN103081"/>
    <x v="154"/>
    <x v="19"/>
    <x v="7"/>
    <x v="14"/>
    <x v="0"/>
    <n v="17.71"/>
    <s v="Main Bank"/>
    <s v="Bank Transfer"/>
    <s v="Gym"/>
  </r>
  <r>
    <s v="TXN100256"/>
    <x v="154"/>
    <x v="57"/>
    <x v="2"/>
    <x v="3"/>
    <x v="0"/>
    <n v="25.74"/>
    <s v="Main Bank"/>
    <s v="Debit Card"/>
    <s v="IKEA"/>
  </r>
  <r>
    <s v="TXN101319"/>
    <x v="154"/>
    <x v="50"/>
    <x v="4"/>
    <x v="17"/>
    <x v="0"/>
    <n v="139.51"/>
    <s v="Main Bank"/>
    <s v="Bank Transfer"/>
    <s v="Energy Provider"/>
  </r>
  <r>
    <s v="TXN103287"/>
    <x v="154"/>
    <x v="73"/>
    <x v="6"/>
    <x v="12"/>
    <x v="0"/>
    <n v="166.17"/>
    <s v="Revolut"/>
    <s v="Credit Card"/>
    <s v="Aral"/>
  </r>
  <r>
    <s v="TXN101299"/>
    <x v="154"/>
    <x v="77"/>
    <x v="1"/>
    <x v="22"/>
    <x v="0"/>
    <n v="26.93"/>
    <s v="Main Bank"/>
    <s v="Debit Card"/>
    <s v="Steam"/>
  </r>
  <r>
    <s v="TXN100700"/>
    <x v="155"/>
    <x v="66"/>
    <x v="2"/>
    <x v="3"/>
    <x v="0"/>
    <n v="251.93"/>
    <s v="Main Bank"/>
    <s v="Debit Card"/>
    <s v="MediaMarkt"/>
  </r>
  <r>
    <s v="TXN103431"/>
    <x v="155"/>
    <x v="44"/>
    <x v="2"/>
    <x v="16"/>
    <x v="0"/>
    <n v="156.99"/>
    <s v="Main Bank"/>
    <s v="Debit Card"/>
    <s v="Zalando"/>
  </r>
  <r>
    <s v="TXN103339"/>
    <x v="155"/>
    <x v="80"/>
    <x v="1"/>
    <x v="22"/>
    <x v="0"/>
    <n v="12.73"/>
    <s v="Revolut"/>
    <s v="Bank Transfer"/>
    <s v="Cinema"/>
  </r>
  <r>
    <s v="TXN102277"/>
    <x v="155"/>
    <x v="19"/>
    <x v="7"/>
    <x v="14"/>
    <x v="0"/>
    <n v="132.97"/>
    <s v="Revolut"/>
    <s v="Direct Debit"/>
    <s v="Gym"/>
  </r>
  <r>
    <s v="TXN102439"/>
    <x v="156"/>
    <x v="62"/>
    <x v="2"/>
    <x v="4"/>
    <x v="0"/>
    <n v="101.17"/>
    <s v="Revolut"/>
    <s v="Cash"/>
    <s v="IKEA"/>
  </r>
  <r>
    <s v="TXN102822"/>
    <x v="156"/>
    <x v="48"/>
    <x v="0"/>
    <x v="5"/>
    <x v="0"/>
    <n v="35.03"/>
    <s v="Main Bank"/>
    <s v="Debit Card"/>
    <s v="EDEKA"/>
  </r>
  <r>
    <s v="TXN100914"/>
    <x v="156"/>
    <x v="59"/>
    <x v="6"/>
    <x v="11"/>
    <x v="0"/>
    <n v="86.65"/>
    <s v="Main Bank"/>
    <s v="Debit Card"/>
    <s v="Aral"/>
  </r>
  <r>
    <s v="TXN102772"/>
    <x v="156"/>
    <x v="48"/>
    <x v="0"/>
    <x v="5"/>
    <x v="0"/>
    <n v="14.49"/>
    <s v="Revolut"/>
    <s v="Debit Card"/>
    <s v="EDEKA"/>
  </r>
  <r>
    <s v="TXN103198"/>
    <x v="156"/>
    <x v="55"/>
    <x v="3"/>
    <x v="8"/>
    <x v="1"/>
    <n v="356.27"/>
    <s v="Revolut"/>
    <s v="Debit Card"/>
    <s v="Employer Bonus"/>
  </r>
  <r>
    <s v="TXN102623"/>
    <x v="156"/>
    <x v="15"/>
    <x v="6"/>
    <x v="11"/>
    <x v="0"/>
    <n v="81.290000000000006"/>
    <s v="Savings"/>
    <s v="Bank Transfer"/>
    <s v="Auto Service"/>
  </r>
  <r>
    <s v="TXN101341"/>
    <x v="156"/>
    <x v="29"/>
    <x v="0"/>
    <x v="1"/>
    <x v="0"/>
    <n v="32.61"/>
    <s v="Revolut"/>
    <s v="Credit Card"/>
    <s v="REWE"/>
  </r>
  <r>
    <s v="TXN102923"/>
    <x v="156"/>
    <x v="72"/>
    <x v="3"/>
    <x v="8"/>
    <x v="1"/>
    <n v="362.69"/>
    <s v="Revolut"/>
    <s v="Debit Card"/>
    <s v="Employer"/>
  </r>
  <r>
    <s v="TXN100269"/>
    <x v="157"/>
    <x v="23"/>
    <x v="6"/>
    <x v="15"/>
    <x v="0"/>
    <n v="99.78"/>
    <s v="Savings"/>
    <s v="Bank Transfer"/>
    <s v="Shell"/>
  </r>
  <r>
    <s v="TXN102795"/>
    <x v="158"/>
    <x v="36"/>
    <x v="6"/>
    <x v="15"/>
    <x v="0"/>
    <n v="59.65"/>
    <s v="Main Bank"/>
    <s v="Bank Transfer"/>
    <s v="Aral"/>
  </r>
  <r>
    <s v="TXN101038"/>
    <x v="158"/>
    <x v="84"/>
    <x v="7"/>
    <x v="21"/>
    <x v="0"/>
    <n v="41.75"/>
    <s v="Main Bank"/>
    <s v="Debit Card"/>
    <s v="Gym"/>
  </r>
  <r>
    <s v="TXN100034"/>
    <x v="158"/>
    <x v="9"/>
    <x v="3"/>
    <x v="6"/>
    <x v="1"/>
    <n v="695.12"/>
    <s v="Main Bank"/>
    <s v="Debit Card"/>
    <s v="Employer Bonus"/>
  </r>
  <r>
    <s v="TXN101098"/>
    <x v="158"/>
    <x v="14"/>
    <x v="0"/>
    <x v="0"/>
    <x v="0"/>
    <n v="63.87"/>
    <s v="Main Bank"/>
    <s v="Credit Card"/>
    <s v="REWE"/>
  </r>
  <r>
    <s v="TXN101164"/>
    <x v="158"/>
    <x v="39"/>
    <x v="7"/>
    <x v="14"/>
    <x v="0"/>
    <n v="53.53"/>
    <s v="Main Bank"/>
    <s v="Bank Transfer"/>
    <s v="Doctor"/>
  </r>
  <r>
    <s v="TXN102597"/>
    <x v="158"/>
    <x v="81"/>
    <x v="0"/>
    <x v="5"/>
    <x v="0"/>
    <n v="51.98"/>
    <s v="Main Bank"/>
    <s v="Credit Card"/>
    <s v="REWE"/>
  </r>
  <r>
    <s v="TXN103110"/>
    <x v="158"/>
    <x v="61"/>
    <x v="1"/>
    <x v="2"/>
    <x v="0"/>
    <n v="26.3"/>
    <s v="Main Bank"/>
    <s v="Bank Transfer"/>
    <s v="Steam"/>
  </r>
  <r>
    <s v="TXN103028"/>
    <x v="158"/>
    <x v="74"/>
    <x v="1"/>
    <x v="13"/>
    <x v="0"/>
    <n v="33.99"/>
    <s v="Main Bank"/>
    <s v="Debit Card"/>
    <s v="Cinema"/>
  </r>
  <r>
    <s v="TXN101662"/>
    <x v="158"/>
    <x v="66"/>
    <x v="2"/>
    <x v="3"/>
    <x v="0"/>
    <n v="278.8"/>
    <s v="Main Bank"/>
    <s v="Direct Debit"/>
    <s v="MediaMarkt"/>
  </r>
  <r>
    <s v="TXN102993"/>
    <x v="159"/>
    <x v="85"/>
    <x v="2"/>
    <x v="16"/>
    <x v="0"/>
    <n v="138.41"/>
    <s v="Main Bank"/>
    <s v="Credit Card"/>
    <s v="IKEA"/>
  </r>
  <r>
    <s v="TXN101736"/>
    <x v="159"/>
    <x v="11"/>
    <x v="3"/>
    <x v="8"/>
    <x v="1"/>
    <n v="330.41"/>
    <s v="Revolut"/>
    <s v="Debit Card"/>
    <s v="Freelance Client"/>
  </r>
  <r>
    <s v="TXN102905"/>
    <x v="159"/>
    <x v="33"/>
    <x v="2"/>
    <x v="16"/>
    <x v="0"/>
    <n v="82.46"/>
    <s v="Main Bank"/>
    <s v="Debit Card"/>
    <s v="Amazon"/>
  </r>
  <r>
    <s v="TXN100966"/>
    <x v="159"/>
    <x v="30"/>
    <x v="6"/>
    <x v="11"/>
    <x v="0"/>
    <n v="69.27"/>
    <s v="Main Bank"/>
    <s v="Debit Card"/>
    <s v="DB"/>
  </r>
  <r>
    <s v="TXN100038"/>
    <x v="159"/>
    <x v="43"/>
    <x v="4"/>
    <x v="17"/>
    <x v="0"/>
    <n v="151.38"/>
    <s v="Revolut"/>
    <s v="Bank Transfer"/>
    <s v="Landlord"/>
  </r>
  <r>
    <s v="TXN103108"/>
    <x v="159"/>
    <x v="38"/>
    <x v="4"/>
    <x v="7"/>
    <x v="0"/>
    <n v="148.54"/>
    <s v="Main Bank"/>
    <s v="Credit Card"/>
    <s v="Vodafone"/>
  </r>
  <r>
    <s v="TXN103451"/>
    <x v="159"/>
    <x v="24"/>
    <x v="2"/>
    <x v="16"/>
    <x v="0"/>
    <n v="392.4"/>
    <s v="Revolut"/>
    <s v="Debit Card"/>
    <s v="MediaMarkt"/>
  </r>
  <r>
    <s v="TXN101725"/>
    <x v="160"/>
    <x v="70"/>
    <x v="7"/>
    <x v="18"/>
    <x v="0"/>
    <n v="173.42"/>
    <s v="Main Bank"/>
    <s v="Direct Debit"/>
    <s v="Pharmacy"/>
  </r>
  <r>
    <s v="TXN102701"/>
    <x v="160"/>
    <x v="57"/>
    <x v="2"/>
    <x v="3"/>
    <x v="0"/>
    <n v="332.87"/>
    <s v="Main Bank"/>
    <s v="Direct Debit"/>
    <s v="IKEA"/>
  </r>
  <r>
    <s v="TXN103307"/>
    <x v="160"/>
    <x v="15"/>
    <x v="6"/>
    <x v="11"/>
    <x v="0"/>
    <n v="230.32"/>
    <s v="Revolut"/>
    <s v="Bank Transfer"/>
    <s v="Auto Service"/>
  </r>
  <r>
    <s v="TXN100646"/>
    <x v="160"/>
    <x v="67"/>
    <x v="3"/>
    <x v="6"/>
    <x v="1"/>
    <n v="796.65"/>
    <s v="Main Bank"/>
    <s v="Bank Transfer"/>
    <s v="Freelance Client"/>
  </r>
  <r>
    <s v="TXN102288"/>
    <x v="160"/>
    <x v="30"/>
    <x v="6"/>
    <x v="11"/>
    <x v="0"/>
    <n v="33.950000000000003"/>
    <s v="Main Bank"/>
    <s v="Bank Transfer"/>
    <s v="DB"/>
  </r>
  <r>
    <s v="TXN100750"/>
    <x v="160"/>
    <x v="3"/>
    <x v="1"/>
    <x v="2"/>
    <x v="0"/>
    <n v="118.89"/>
    <s v="Main Bank"/>
    <s v="Direct Debit"/>
    <s v="Spotify"/>
  </r>
  <r>
    <s v="TXN101978"/>
    <x v="161"/>
    <x v="40"/>
    <x v="6"/>
    <x v="12"/>
    <x v="0"/>
    <n v="199.74"/>
    <s v="Main Bank"/>
    <s v="Direct Debit"/>
    <s v="DB"/>
  </r>
  <r>
    <s v="TXN101370"/>
    <x v="161"/>
    <x v="0"/>
    <x v="0"/>
    <x v="0"/>
    <x v="0"/>
    <n v="66.56"/>
    <s v="Main Bank"/>
    <s v="Debit Card"/>
    <s v="Lidl"/>
  </r>
  <r>
    <s v="TXN100702"/>
    <x v="161"/>
    <x v="75"/>
    <x v="4"/>
    <x v="7"/>
    <x v="0"/>
    <n v="261.25"/>
    <s v="Main Bank"/>
    <s v="Cash"/>
    <s v="Energy Provider"/>
  </r>
  <r>
    <s v="TXN100067"/>
    <x v="161"/>
    <x v="25"/>
    <x v="0"/>
    <x v="0"/>
    <x v="0"/>
    <n v="24.12"/>
    <s v="Main Bank"/>
    <s v="Debit Card"/>
    <s v="McDonald's"/>
  </r>
  <r>
    <s v="TXN102464"/>
    <x v="161"/>
    <x v="22"/>
    <x v="2"/>
    <x v="4"/>
    <x v="0"/>
    <n v="89.15"/>
    <s v="Main Bank"/>
    <s v="Direct Debit"/>
    <s v="Zalando"/>
  </r>
  <r>
    <s v="TXN102099"/>
    <x v="162"/>
    <x v="86"/>
    <x v="5"/>
    <x v="9"/>
    <x v="0"/>
    <n v="584.61"/>
    <s v="Main Bank"/>
    <s v="Bank Transfer"/>
    <s v="Booking.com"/>
  </r>
  <r>
    <s v="TXN102714"/>
    <x v="162"/>
    <x v="52"/>
    <x v="6"/>
    <x v="11"/>
    <x v="0"/>
    <n v="17.3"/>
    <s v="Savings"/>
    <s v="Cash"/>
    <s v="Local Transit"/>
  </r>
  <r>
    <s v="TXN100993"/>
    <x v="162"/>
    <x v="26"/>
    <x v="0"/>
    <x v="1"/>
    <x v="0"/>
    <n v="52.45"/>
    <s v="Main Bank"/>
    <s v="Debit Card"/>
    <s v="Local Restaurant"/>
  </r>
  <r>
    <s v="TXN102883"/>
    <x v="162"/>
    <x v="25"/>
    <x v="0"/>
    <x v="0"/>
    <x v="0"/>
    <n v="63.91"/>
    <s v="Main Bank"/>
    <s v="Debit Card"/>
    <s v="McDonald's"/>
  </r>
  <r>
    <s v="TXN102126"/>
    <x v="162"/>
    <x v="65"/>
    <x v="1"/>
    <x v="2"/>
    <x v="0"/>
    <n v="23.77"/>
    <s v="Main Bank"/>
    <s v="Direct Debit"/>
    <s v="Netflix"/>
  </r>
  <r>
    <s v="TXN103165"/>
    <x v="162"/>
    <x v="10"/>
    <x v="4"/>
    <x v="7"/>
    <x v="0"/>
    <n v="409.97"/>
    <s v="Main Bank"/>
    <s v="Cash"/>
    <s v="Landlord"/>
  </r>
  <r>
    <s v="TXN103207"/>
    <x v="162"/>
    <x v="31"/>
    <x v="3"/>
    <x v="6"/>
    <x v="1"/>
    <n v="751.38"/>
    <s v="Main Bank"/>
    <s v="Credit Card"/>
    <s v="Employer"/>
  </r>
  <r>
    <s v="TXN101988"/>
    <x v="163"/>
    <x v="24"/>
    <x v="2"/>
    <x v="16"/>
    <x v="0"/>
    <n v="142.66999999999999"/>
    <s v="Main Bank"/>
    <s v="Bank Transfer"/>
    <s v="MediaMarkt"/>
  </r>
  <r>
    <s v="TXN102338"/>
    <x v="163"/>
    <x v="59"/>
    <x v="6"/>
    <x v="11"/>
    <x v="0"/>
    <n v="50.65"/>
    <s v="Main Bank"/>
    <s v="Debit Card"/>
    <s v="Aral"/>
  </r>
  <r>
    <s v="TXN101522"/>
    <x v="163"/>
    <x v="55"/>
    <x v="3"/>
    <x v="8"/>
    <x v="1"/>
    <n v="374.76"/>
    <s v="Main Bank"/>
    <s v="Cash"/>
    <s v="Employer Bonus"/>
  </r>
  <r>
    <s v="TXN102659"/>
    <x v="163"/>
    <x v="6"/>
    <x v="0"/>
    <x v="1"/>
    <x v="0"/>
    <n v="26.13"/>
    <s v="Main Bank"/>
    <s v="Credit Card"/>
    <s v="McDonald's"/>
  </r>
  <r>
    <s v="TXN101270"/>
    <x v="163"/>
    <x v="1"/>
    <x v="0"/>
    <x v="0"/>
    <x v="0"/>
    <n v="43.49"/>
    <s v="Revolut"/>
    <s v="Debit Card"/>
    <s v="EDEKA"/>
  </r>
  <r>
    <s v="TXN101362"/>
    <x v="163"/>
    <x v="25"/>
    <x v="0"/>
    <x v="0"/>
    <x v="0"/>
    <n v="62.01"/>
    <s v="Revolut"/>
    <s v="Bank Transfer"/>
    <s v="McDonald's"/>
  </r>
  <r>
    <s v="TXN100166"/>
    <x v="163"/>
    <x v="16"/>
    <x v="3"/>
    <x v="10"/>
    <x v="1"/>
    <n v="2725.53"/>
    <s v="Main Bank"/>
    <s v="Credit Card"/>
    <s v="Employer"/>
  </r>
  <r>
    <s v="TXN100732"/>
    <x v="164"/>
    <x v="11"/>
    <x v="3"/>
    <x v="8"/>
    <x v="1"/>
    <n v="346.4"/>
    <s v="Main Bank"/>
    <s v="Debit Card"/>
    <s v="Freelance Client"/>
  </r>
  <r>
    <s v="TXN101833"/>
    <x v="164"/>
    <x v="24"/>
    <x v="2"/>
    <x v="16"/>
    <x v="0"/>
    <n v="84.17"/>
    <s v="Main Bank"/>
    <s v="Direct Debit"/>
    <s v="MediaMarkt"/>
  </r>
  <r>
    <s v="TXN101388"/>
    <x v="164"/>
    <x v="8"/>
    <x v="0"/>
    <x v="5"/>
    <x v="0"/>
    <n v="88.02"/>
    <s v="Main Bank"/>
    <s v="Debit Card"/>
    <s v="McDonald's"/>
  </r>
  <r>
    <s v="TXN100182"/>
    <x v="164"/>
    <x v="47"/>
    <x v="4"/>
    <x v="19"/>
    <x v="0"/>
    <n v="114.22"/>
    <s v="Main Bank"/>
    <s v="Bank Transfer"/>
    <s v="Landlord"/>
  </r>
  <r>
    <s v="TXN101174"/>
    <x v="164"/>
    <x v="21"/>
    <x v="0"/>
    <x v="1"/>
    <x v="0"/>
    <n v="17.149999999999999"/>
    <s v="Main Bank"/>
    <s v="Debit Card"/>
    <s v="EDEKA"/>
  </r>
  <r>
    <s v="TXN103135"/>
    <x v="164"/>
    <x v="29"/>
    <x v="0"/>
    <x v="1"/>
    <x v="0"/>
    <n v="29.23"/>
    <s v="Main Bank"/>
    <s v="Debit Card"/>
    <s v="REWE"/>
  </r>
  <r>
    <s v="TXN103162"/>
    <x v="164"/>
    <x v="43"/>
    <x v="4"/>
    <x v="17"/>
    <x v="0"/>
    <n v="206.65"/>
    <s v="Revolut"/>
    <s v="Credit Card"/>
    <s v="Landlord"/>
  </r>
  <r>
    <s v="TXN101406"/>
    <x v="165"/>
    <x v="85"/>
    <x v="2"/>
    <x v="16"/>
    <x v="0"/>
    <n v="170.25"/>
    <s v="Main Bank"/>
    <s v="Debit Card"/>
    <s v="IKEA"/>
  </r>
  <r>
    <s v="TXN100047"/>
    <x v="165"/>
    <x v="0"/>
    <x v="0"/>
    <x v="0"/>
    <x v="0"/>
    <n v="29.21"/>
    <s v="Main Bank"/>
    <s v="Direct Debit"/>
    <s v="Lidl"/>
  </r>
  <r>
    <s v="TXN102062"/>
    <x v="165"/>
    <x v="33"/>
    <x v="2"/>
    <x v="16"/>
    <x v="0"/>
    <n v="131.94"/>
    <s v="Revolut"/>
    <s v="Debit Card"/>
    <s v="Amazon"/>
  </r>
  <r>
    <s v="TXN102703"/>
    <x v="165"/>
    <x v="14"/>
    <x v="0"/>
    <x v="0"/>
    <x v="0"/>
    <n v="45.2"/>
    <s v="Main Bank"/>
    <s v="Direct Debit"/>
    <s v="REWE"/>
  </r>
  <r>
    <s v="TXN101529"/>
    <x v="166"/>
    <x v="13"/>
    <x v="3"/>
    <x v="10"/>
    <x v="1"/>
    <n v="2774.24"/>
    <s v="Savings"/>
    <s v="Debit Card"/>
    <s v="Freelance Client"/>
  </r>
  <r>
    <s v="TXN100903"/>
    <x v="166"/>
    <x v="14"/>
    <x v="0"/>
    <x v="0"/>
    <x v="0"/>
    <n v="39.21"/>
    <s v="Main Bank"/>
    <s v="Debit Card"/>
    <s v="REWE"/>
  </r>
  <r>
    <s v="TXN100602"/>
    <x v="166"/>
    <x v="8"/>
    <x v="0"/>
    <x v="5"/>
    <x v="0"/>
    <n v="36.25"/>
    <s v="Main Bank"/>
    <s v="Debit Card"/>
    <s v="McDonald's"/>
  </r>
  <r>
    <s v="TXN102817"/>
    <x v="166"/>
    <x v="62"/>
    <x v="2"/>
    <x v="4"/>
    <x v="0"/>
    <n v="347.74"/>
    <s v="Main Bank"/>
    <s v="Debit Card"/>
    <s v="IKEA"/>
  </r>
  <r>
    <s v="TXN103373"/>
    <x v="166"/>
    <x v="1"/>
    <x v="0"/>
    <x v="0"/>
    <x v="0"/>
    <n v="64.09"/>
    <s v="Revolut"/>
    <s v="Bank Transfer"/>
    <s v="EDEKA"/>
  </r>
  <r>
    <s v="TXN100772"/>
    <x v="166"/>
    <x v="9"/>
    <x v="3"/>
    <x v="6"/>
    <x v="1"/>
    <n v="705.91"/>
    <s v="Revolut"/>
    <s v="Credit Card"/>
    <s v="Employer Bonus"/>
  </r>
  <r>
    <s v="TXN102901"/>
    <x v="167"/>
    <x v="1"/>
    <x v="0"/>
    <x v="0"/>
    <x v="0"/>
    <n v="49.47"/>
    <s v="Revolut"/>
    <s v="Bank Transfer"/>
    <s v="EDEKA"/>
  </r>
  <r>
    <s v="TXN100021"/>
    <x v="167"/>
    <x v="74"/>
    <x v="1"/>
    <x v="13"/>
    <x v="0"/>
    <n v="51.4"/>
    <s v="Main Bank"/>
    <s v="Bank Transfer"/>
    <s v="Cinema"/>
  </r>
  <r>
    <s v="TXN103140"/>
    <x v="167"/>
    <x v="50"/>
    <x v="4"/>
    <x v="17"/>
    <x v="0"/>
    <n v="65"/>
    <s v="Revolut"/>
    <s v="Debit Card"/>
    <s v="Energy Provider"/>
  </r>
  <r>
    <s v="TXN101220"/>
    <x v="167"/>
    <x v="2"/>
    <x v="0"/>
    <x v="1"/>
    <x v="0"/>
    <n v="21.56"/>
    <s v="Revolut"/>
    <s v="Cash"/>
    <s v="Lidl"/>
  </r>
  <r>
    <s v="TXN100770"/>
    <x v="168"/>
    <x v="41"/>
    <x v="3"/>
    <x v="10"/>
    <x v="1"/>
    <n v="2678.13"/>
    <s v="Main Bank"/>
    <s v="Credit Card"/>
    <s v="Employer Bonus"/>
  </r>
  <r>
    <s v="TXN102251"/>
    <x v="168"/>
    <x v="71"/>
    <x v="4"/>
    <x v="17"/>
    <x v="0"/>
    <n v="98.13"/>
    <s v="Main Bank"/>
    <s v="Direct Debit"/>
    <s v="Vodafone"/>
  </r>
  <r>
    <s v="TXN101372"/>
    <x v="168"/>
    <x v="81"/>
    <x v="0"/>
    <x v="5"/>
    <x v="0"/>
    <n v="154.61000000000001"/>
    <s v="Revolut"/>
    <s v="Debit Card"/>
    <s v="REWE"/>
  </r>
  <r>
    <s v="TXN103141"/>
    <x v="168"/>
    <x v="36"/>
    <x v="6"/>
    <x v="15"/>
    <x v="0"/>
    <n v="90.79"/>
    <s v="Main Bank"/>
    <s v="Credit Card"/>
    <s v="Aral"/>
  </r>
  <r>
    <s v="TXN100538"/>
    <x v="168"/>
    <x v="7"/>
    <x v="0"/>
    <x v="0"/>
    <x v="0"/>
    <n v="46.96"/>
    <s v="Revolut"/>
    <s v="Bank Transfer"/>
    <s v="Local Restaurant"/>
  </r>
  <r>
    <s v="TXN101738"/>
    <x v="168"/>
    <x v="34"/>
    <x v="0"/>
    <x v="5"/>
    <x v="0"/>
    <n v="53.59"/>
    <s v="Main Bank"/>
    <s v="Debit Card"/>
    <s v="Local Restaurant"/>
  </r>
  <r>
    <s v="TXN102675"/>
    <x v="169"/>
    <x v="13"/>
    <x v="3"/>
    <x v="10"/>
    <x v="1"/>
    <n v="2032.33"/>
    <s v="Revolut"/>
    <s v="Debit Card"/>
    <s v="Freelance Client"/>
  </r>
  <r>
    <s v="TXN101943"/>
    <x v="169"/>
    <x v="91"/>
    <x v="5"/>
    <x v="23"/>
    <x v="0"/>
    <n v="308.99"/>
    <s v="Main Bank"/>
    <s v="Debit Card"/>
    <s v="Hotel"/>
  </r>
  <r>
    <s v="TXN100858"/>
    <x v="169"/>
    <x v="85"/>
    <x v="2"/>
    <x v="16"/>
    <x v="0"/>
    <n v="41.57"/>
    <s v="Revolut"/>
    <s v="Debit Card"/>
    <s v="IKEA"/>
  </r>
  <r>
    <s v="TXN102539"/>
    <x v="169"/>
    <x v="82"/>
    <x v="7"/>
    <x v="18"/>
    <x v="0"/>
    <n v="23.93"/>
    <s v="Main Bank"/>
    <s v="Debit Card"/>
    <s v="Doctor"/>
  </r>
  <r>
    <s v="TXN100562"/>
    <x v="169"/>
    <x v="8"/>
    <x v="0"/>
    <x v="5"/>
    <x v="0"/>
    <n v="41.07"/>
    <s v="Revolut"/>
    <s v="Debit Card"/>
    <s v="McDonald's"/>
  </r>
  <r>
    <s v="TXN100244"/>
    <x v="170"/>
    <x v="45"/>
    <x v="6"/>
    <x v="12"/>
    <x v="0"/>
    <n v="69.599999999999994"/>
    <s v="Main Bank"/>
    <s v="Bank Transfer"/>
    <s v="Local Transit"/>
  </r>
  <r>
    <s v="TXN100668"/>
    <x v="170"/>
    <x v="81"/>
    <x v="0"/>
    <x v="5"/>
    <x v="0"/>
    <n v="110.17"/>
    <s v="Revolut"/>
    <s v="Debit Card"/>
    <s v="REWE"/>
  </r>
  <r>
    <s v="TXN101196"/>
    <x v="170"/>
    <x v="72"/>
    <x v="3"/>
    <x v="8"/>
    <x v="1"/>
    <n v="314.3"/>
    <s v="Main Bank"/>
    <s v="Direct Debit"/>
    <s v="Employer"/>
  </r>
  <r>
    <s v="TXN100905"/>
    <x v="170"/>
    <x v="30"/>
    <x v="6"/>
    <x v="11"/>
    <x v="0"/>
    <n v="36.79"/>
    <s v="Main Bank"/>
    <s v="Credit Card"/>
    <s v="DB"/>
  </r>
  <r>
    <s v="TXN102513"/>
    <x v="170"/>
    <x v="57"/>
    <x v="2"/>
    <x v="3"/>
    <x v="0"/>
    <n v="114.96"/>
    <s v="Main Bank"/>
    <s v="Debit Card"/>
    <s v="IKEA"/>
  </r>
  <r>
    <s v="TXN101295"/>
    <x v="170"/>
    <x v="13"/>
    <x v="3"/>
    <x v="10"/>
    <x v="1"/>
    <n v="2339.5300000000002"/>
    <s v="Main Bank"/>
    <s v="Bank Transfer"/>
    <s v="Freelance Client"/>
  </r>
  <r>
    <s v="TXN101950"/>
    <x v="171"/>
    <x v="88"/>
    <x v="6"/>
    <x v="11"/>
    <x v="0"/>
    <n v="85.82"/>
    <s v="Main Bank"/>
    <s v="Debit Card"/>
    <s v="Shell"/>
  </r>
  <r>
    <s v="TXN100599"/>
    <x v="171"/>
    <x v="34"/>
    <x v="0"/>
    <x v="5"/>
    <x v="0"/>
    <n v="32.56"/>
    <s v="Main Bank"/>
    <s v="Debit Card"/>
    <s v="Local Restaurant"/>
  </r>
  <r>
    <s v="TXN103440"/>
    <x v="171"/>
    <x v="67"/>
    <x v="3"/>
    <x v="6"/>
    <x v="1"/>
    <n v="698.3"/>
    <s v="Main Bank"/>
    <s v="Direct Debit"/>
    <s v="Freelance Client"/>
  </r>
  <r>
    <s v="TXN100442"/>
    <x v="171"/>
    <x v="55"/>
    <x v="3"/>
    <x v="8"/>
    <x v="1"/>
    <n v="341.32"/>
    <s v="Main Bank"/>
    <s v="Debit Card"/>
    <s v="Employer Bonus"/>
  </r>
  <r>
    <s v="TXN103029"/>
    <x v="171"/>
    <x v="65"/>
    <x v="1"/>
    <x v="2"/>
    <x v="0"/>
    <n v="22.11"/>
    <s v="Revolut"/>
    <s v="Debit Card"/>
    <s v="Netflix"/>
  </r>
  <r>
    <s v="TXN101593"/>
    <x v="171"/>
    <x v="6"/>
    <x v="0"/>
    <x v="1"/>
    <x v="0"/>
    <n v="45.12"/>
    <s v="Revolut"/>
    <s v="Debit Card"/>
    <s v="McDonald's"/>
  </r>
  <r>
    <s v="TXN100540"/>
    <x v="172"/>
    <x v="26"/>
    <x v="0"/>
    <x v="1"/>
    <x v="0"/>
    <n v="19.12"/>
    <s v="Main Bank"/>
    <s v="Bank Transfer"/>
    <s v="Local Restaurant"/>
  </r>
  <r>
    <s v="TXN103448"/>
    <x v="172"/>
    <x v="46"/>
    <x v="7"/>
    <x v="18"/>
    <x v="0"/>
    <n v="121.38"/>
    <s v="Main Bank"/>
    <s v="Bank Transfer"/>
    <s v="Gym"/>
  </r>
  <r>
    <s v="TXN102225"/>
    <x v="172"/>
    <x v="43"/>
    <x v="4"/>
    <x v="17"/>
    <x v="0"/>
    <n v="75.92"/>
    <s v="Main Bank"/>
    <s v="Debit Card"/>
    <s v="Landlord"/>
  </r>
  <r>
    <s v="TXN103270"/>
    <x v="172"/>
    <x v="74"/>
    <x v="1"/>
    <x v="13"/>
    <x v="0"/>
    <n v="38.74"/>
    <s v="Main Bank"/>
    <s v="Debit Card"/>
    <s v="Cinema"/>
  </r>
  <r>
    <s v="TXN101056"/>
    <x v="172"/>
    <x v="23"/>
    <x v="6"/>
    <x v="15"/>
    <x v="0"/>
    <n v="73.91"/>
    <s v="Revolut"/>
    <s v="Direct Debit"/>
    <s v="Shell"/>
  </r>
  <r>
    <s v="TXN100380"/>
    <x v="172"/>
    <x v="7"/>
    <x v="0"/>
    <x v="0"/>
    <x v="0"/>
    <n v="180"/>
    <s v="Main Bank"/>
    <s v="Credit Card"/>
    <s v="Local Restaurant"/>
  </r>
  <r>
    <s v="TXN103499"/>
    <x v="172"/>
    <x v="7"/>
    <x v="0"/>
    <x v="0"/>
    <x v="0"/>
    <n v="81.41"/>
    <s v="Savings"/>
    <s v="Credit Card"/>
    <s v="Local Restaurant"/>
  </r>
  <r>
    <s v="TXN102530"/>
    <x v="173"/>
    <x v="16"/>
    <x v="3"/>
    <x v="10"/>
    <x v="1"/>
    <n v="2146.12"/>
    <s v="Main Bank"/>
    <s v="Bank Transfer"/>
    <s v="Employer"/>
  </r>
  <r>
    <s v="TXN100854"/>
    <x v="173"/>
    <x v="16"/>
    <x v="3"/>
    <x v="10"/>
    <x v="1"/>
    <n v="2364.11"/>
    <s v="Savings"/>
    <s v="Bank Transfer"/>
    <s v="Employer"/>
  </r>
  <r>
    <s v="TXN102634"/>
    <x v="173"/>
    <x v="25"/>
    <x v="0"/>
    <x v="0"/>
    <x v="0"/>
    <n v="49.58"/>
    <s v="Main Bank"/>
    <s v="Debit Card"/>
    <s v="McDonald's"/>
  </r>
  <r>
    <s v="TXN103434"/>
    <x v="173"/>
    <x v="24"/>
    <x v="2"/>
    <x v="16"/>
    <x v="0"/>
    <n v="317.97000000000003"/>
    <s v="Main Bank"/>
    <s v="Debit Card"/>
    <s v="MediaMarkt"/>
  </r>
  <r>
    <s v="TXN102132"/>
    <x v="173"/>
    <x v="47"/>
    <x v="4"/>
    <x v="19"/>
    <x v="0"/>
    <n v="53.1"/>
    <s v="Revolut"/>
    <s v="Debit Card"/>
    <s v="Landlord"/>
  </r>
  <r>
    <s v="TXN102103"/>
    <x v="174"/>
    <x v="2"/>
    <x v="0"/>
    <x v="1"/>
    <x v="0"/>
    <n v="25.77"/>
    <s v="Main Bank"/>
    <s v="Debit Card"/>
    <s v="Lidl"/>
  </r>
  <r>
    <s v="TXN103055"/>
    <x v="174"/>
    <x v="18"/>
    <x v="1"/>
    <x v="13"/>
    <x v="0"/>
    <n v="37.72"/>
    <s v="Main Bank"/>
    <s v="Debit Card"/>
    <s v="Netflix"/>
  </r>
  <r>
    <s v="TXN101272"/>
    <x v="174"/>
    <x v="55"/>
    <x v="3"/>
    <x v="8"/>
    <x v="1"/>
    <n v="329.4"/>
    <s v="Revolut"/>
    <s v="Credit Card"/>
    <s v="Employer Bonus"/>
  </r>
  <r>
    <s v="TXN101999"/>
    <x v="174"/>
    <x v="71"/>
    <x v="4"/>
    <x v="17"/>
    <x v="0"/>
    <n v="101.51"/>
    <s v="Main Bank"/>
    <s v="Direct Debit"/>
    <s v="Vodafone"/>
  </r>
  <r>
    <s v="TXN103426"/>
    <x v="174"/>
    <x v="80"/>
    <x v="1"/>
    <x v="22"/>
    <x v="0"/>
    <n v="9.17"/>
    <s v="Main Bank"/>
    <s v="Credit Card"/>
    <s v="Cinema"/>
  </r>
  <r>
    <s v="TXN101074"/>
    <x v="174"/>
    <x v="71"/>
    <x v="4"/>
    <x v="17"/>
    <x v="0"/>
    <n v="237.87"/>
    <s v="Revolut"/>
    <s v="Bank Transfer"/>
    <s v="Vodafone"/>
  </r>
  <r>
    <s v="TXN101124"/>
    <x v="174"/>
    <x v="9"/>
    <x v="3"/>
    <x v="6"/>
    <x v="1"/>
    <n v="838.24"/>
    <s v="Main Bank"/>
    <s v="Direct Debit"/>
    <s v="Employer Bonus"/>
  </r>
  <r>
    <s v="TXN100587"/>
    <x v="174"/>
    <x v="43"/>
    <x v="4"/>
    <x v="17"/>
    <x v="0"/>
    <n v="101.91"/>
    <s v="Main Bank"/>
    <s v="Bank Transfer"/>
    <s v="Landlord"/>
  </r>
  <r>
    <s v="TXN100933"/>
    <x v="174"/>
    <x v="13"/>
    <x v="3"/>
    <x v="10"/>
    <x v="1"/>
    <n v="2481.52"/>
    <s v="Main Bank"/>
    <s v="Debit Card"/>
    <s v="Freelance Client"/>
  </r>
  <r>
    <s v="TXN102171"/>
    <x v="174"/>
    <x v="76"/>
    <x v="1"/>
    <x v="22"/>
    <x v="0"/>
    <n v="9.01"/>
    <s v="Revolut"/>
    <s v="Debit Card"/>
    <s v="Netflix"/>
  </r>
  <r>
    <s v="TXN102723"/>
    <x v="175"/>
    <x v="56"/>
    <x v="5"/>
    <x v="20"/>
    <x v="0"/>
    <n v="470.42"/>
    <s v="Revolut"/>
    <s v="Debit Card"/>
    <s v="Lufthansa"/>
  </r>
  <r>
    <s v="TXN100940"/>
    <x v="175"/>
    <x v="57"/>
    <x v="2"/>
    <x v="3"/>
    <x v="0"/>
    <n v="44.17"/>
    <s v="Main Bank"/>
    <s v="Debit Card"/>
    <s v="IKEA"/>
  </r>
  <r>
    <s v="TXN102258"/>
    <x v="175"/>
    <x v="37"/>
    <x v="6"/>
    <x v="12"/>
    <x v="0"/>
    <n v="44.87"/>
    <s v="Main Bank"/>
    <s v="Debit Card"/>
    <s v="Shell"/>
  </r>
  <r>
    <s v="TXN101088"/>
    <x v="175"/>
    <x v="34"/>
    <x v="0"/>
    <x v="5"/>
    <x v="0"/>
    <n v="40.85"/>
    <s v="Savings"/>
    <s v="Debit Card"/>
    <s v="Local Restaurant"/>
  </r>
  <r>
    <s v="TXN102476"/>
    <x v="175"/>
    <x v="55"/>
    <x v="3"/>
    <x v="8"/>
    <x v="1"/>
    <n v="291.19"/>
    <s v="Main Bank"/>
    <s v="Debit Card"/>
    <s v="Employer Bonus"/>
  </r>
  <r>
    <s v="TXN100716"/>
    <x v="175"/>
    <x v="67"/>
    <x v="3"/>
    <x v="6"/>
    <x v="1"/>
    <n v="732.7"/>
    <s v="Main Bank"/>
    <s v="Debit Card"/>
    <s v="Freelance Client"/>
  </r>
  <r>
    <s v="TXN102609"/>
    <x v="175"/>
    <x v="58"/>
    <x v="7"/>
    <x v="21"/>
    <x v="0"/>
    <n v="79.78"/>
    <s v="Savings"/>
    <s v="Debit Card"/>
    <s v="Doctor"/>
  </r>
  <r>
    <s v="TXN100435"/>
    <x v="175"/>
    <x v="53"/>
    <x v="4"/>
    <x v="19"/>
    <x v="0"/>
    <n v="483.1"/>
    <s v="Main Bank"/>
    <s v="Debit Card"/>
    <s v="Energy Provider"/>
  </r>
  <r>
    <s v="TXN101419"/>
    <x v="176"/>
    <x v="4"/>
    <x v="2"/>
    <x v="3"/>
    <x v="0"/>
    <n v="212.06"/>
    <s v="Main Bank"/>
    <s v="Debit Card"/>
    <s v="Zalando"/>
  </r>
  <r>
    <s v="TXN100383"/>
    <x v="176"/>
    <x v="77"/>
    <x v="1"/>
    <x v="22"/>
    <x v="0"/>
    <n v="10.46"/>
    <s v="Main Bank"/>
    <s v="Debit Card"/>
    <s v="Steam"/>
  </r>
  <r>
    <s v="TXN101881"/>
    <x v="177"/>
    <x v="3"/>
    <x v="1"/>
    <x v="2"/>
    <x v="0"/>
    <n v="81.27"/>
    <s v="Revolut"/>
    <s v="Debit Card"/>
    <s v="Spotify"/>
  </r>
  <r>
    <s v="TXN100989"/>
    <x v="177"/>
    <x v="54"/>
    <x v="0"/>
    <x v="5"/>
    <x v="0"/>
    <n v="69.73"/>
    <s v="Main Bank"/>
    <s v="Direct Debit"/>
    <s v="Lidl"/>
  </r>
  <r>
    <s v="TXN101369"/>
    <x v="177"/>
    <x v="29"/>
    <x v="0"/>
    <x v="1"/>
    <x v="0"/>
    <n v="40.51"/>
    <s v="Savings"/>
    <s v="Bank Transfer"/>
    <s v="REWE"/>
  </r>
  <r>
    <s v="TXN102032"/>
    <x v="177"/>
    <x v="33"/>
    <x v="2"/>
    <x v="16"/>
    <x v="0"/>
    <n v="129.13999999999999"/>
    <s v="Revolut"/>
    <s v="Direct Debit"/>
    <s v="Amazon"/>
  </r>
  <r>
    <s v="TXN102163"/>
    <x v="177"/>
    <x v="36"/>
    <x v="6"/>
    <x v="15"/>
    <x v="0"/>
    <n v="250"/>
    <s v="Revolut"/>
    <s v="Bank Transfer"/>
    <s v="Aral"/>
  </r>
  <r>
    <s v="TXN100265"/>
    <x v="177"/>
    <x v="16"/>
    <x v="3"/>
    <x v="10"/>
    <x v="1"/>
    <n v="2297.7399999999998"/>
    <s v="Main Bank"/>
    <s v="Debit Card"/>
    <s v="Employer"/>
  </r>
  <r>
    <s v="TXN102592"/>
    <x v="178"/>
    <x v="9"/>
    <x v="3"/>
    <x v="6"/>
    <x v="1"/>
    <n v="817.27"/>
    <s v="Main Bank"/>
    <s v="Credit Card"/>
    <s v="Employer Bonus"/>
  </r>
  <r>
    <s v="TXN100356"/>
    <x v="178"/>
    <x v="76"/>
    <x v="1"/>
    <x v="22"/>
    <x v="0"/>
    <n v="53.5"/>
    <s v="Revolut"/>
    <s v="Bank Transfer"/>
    <s v="Netflix"/>
  </r>
  <r>
    <s v="TXN103263"/>
    <x v="178"/>
    <x v="15"/>
    <x v="6"/>
    <x v="11"/>
    <x v="0"/>
    <n v="51.58"/>
    <s v="Main Bank"/>
    <s v="Bank Transfer"/>
    <s v="Auto Service"/>
  </r>
  <r>
    <s v="TXN102531"/>
    <x v="178"/>
    <x v="74"/>
    <x v="1"/>
    <x v="13"/>
    <x v="0"/>
    <n v="29.15"/>
    <s v="Main Bank"/>
    <s v="Direct Debit"/>
    <s v="Cinema"/>
  </r>
  <r>
    <s v="TXN100462"/>
    <x v="178"/>
    <x v="32"/>
    <x v="1"/>
    <x v="2"/>
    <x v="0"/>
    <n v="62.17"/>
    <s v="Revolut"/>
    <s v="Debit Card"/>
    <s v="Cinema"/>
  </r>
  <r>
    <s v="TXN103326"/>
    <x v="178"/>
    <x v="64"/>
    <x v="7"/>
    <x v="21"/>
    <x v="0"/>
    <n v="85.64"/>
    <s v="Revolut"/>
    <s v="Bank Transfer"/>
    <s v="Pharmacy"/>
  </r>
  <r>
    <s v="TXN101152"/>
    <x v="178"/>
    <x v="11"/>
    <x v="3"/>
    <x v="8"/>
    <x v="1"/>
    <n v="386.22"/>
    <s v="Revolut"/>
    <s v="Debit Card"/>
    <s v="Freelance Client"/>
  </r>
  <r>
    <s v="TXN101785"/>
    <x v="179"/>
    <x v="35"/>
    <x v="1"/>
    <x v="13"/>
    <x v="0"/>
    <n v="19.84"/>
    <s v="Main Bank"/>
    <s v="Credit Card"/>
    <s v="Steam"/>
  </r>
  <r>
    <s v="TXN102343"/>
    <x v="179"/>
    <x v="50"/>
    <x v="4"/>
    <x v="17"/>
    <x v="0"/>
    <n v="210.4"/>
    <s v="Main Bank"/>
    <s v="Bank Transfer"/>
    <s v="Energy Provider"/>
  </r>
  <r>
    <s v="TXN103269"/>
    <x v="179"/>
    <x v="80"/>
    <x v="1"/>
    <x v="22"/>
    <x v="0"/>
    <n v="18.149999999999999"/>
    <s v="Revolut"/>
    <s v="Bank Transfer"/>
    <s v="Cinema"/>
  </r>
  <r>
    <s v="TXN100490"/>
    <x v="179"/>
    <x v="11"/>
    <x v="3"/>
    <x v="8"/>
    <x v="1"/>
    <n v="347.64"/>
    <s v="Main Bank"/>
    <s v="Direct Debit"/>
    <s v="Freelance Client"/>
  </r>
  <r>
    <s v="TXN101989"/>
    <x v="180"/>
    <x v="52"/>
    <x v="6"/>
    <x v="11"/>
    <x v="0"/>
    <n v="102.11"/>
    <s v="Revolut"/>
    <s v="Direct Debit"/>
    <s v="Local Transit"/>
  </r>
  <r>
    <s v="TXN101832"/>
    <x v="180"/>
    <x v="61"/>
    <x v="1"/>
    <x v="2"/>
    <x v="0"/>
    <n v="17.899999999999999"/>
    <s v="Main Bank"/>
    <s v="Credit Card"/>
    <s v="Steam"/>
  </r>
  <r>
    <s v="TXN101242"/>
    <x v="180"/>
    <x v="91"/>
    <x v="5"/>
    <x v="23"/>
    <x v="0"/>
    <n v="894.03"/>
    <s v="Revolut"/>
    <s v="Cash"/>
    <s v="Hotel"/>
  </r>
  <r>
    <s v="TXN102760"/>
    <x v="180"/>
    <x v="53"/>
    <x v="4"/>
    <x v="19"/>
    <x v="0"/>
    <n v="97.91"/>
    <s v="Main Bank"/>
    <s v="Debit Card"/>
    <s v="Energy Provider"/>
  </r>
  <r>
    <s v="TXN103372"/>
    <x v="181"/>
    <x v="3"/>
    <x v="1"/>
    <x v="2"/>
    <x v="0"/>
    <n v="25.13"/>
    <s v="Revolut"/>
    <s v="Direct Debit"/>
    <s v="Spotify"/>
  </r>
  <r>
    <s v="TXN103443"/>
    <x v="181"/>
    <x v="25"/>
    <x v="0"/>
    <x v="0"/>
    <x v="0"/>
    <n v="23.92"/>
    <s v="Main Bank"/>
    <s v="Bank Transfer"/>
    <s v="McDonald's"/>
  </r>
  <r>
    <s v="TXN100761"/>
    <x v="182"/>
    <x v="54"/>
    <x v="0"/>
    <x v="5"/>
    <x v="0"/>
    <n v="95.04"/>
    <s v="Main Bank"/>
    <s v="Debit Card"/>
    <s v="Lidl"/>
  </r>
  <r>
    <s v="TXN100002"/>
    <x v="182"/>
    <x v="16"/>
    <x v="3"/>
    <x v="10"/>
    <x v="1"/>
    <n v="2701.79"/>
    <s v="Revolut"/>
    <s v="Debit Card"/>
    <s v="Employer"/>
  </r>
  <r>
    <s v="TXN102317"/>
    <x v="182"/>
    <x v="48"/>
    <x v="0"/>
    <x v="5"/>
    <x v="0"/>
    <n v="42.41"/>
    <s v="Revolut"/>
    <s v="Bank Transfer"/>
    <s v="EDEKA"/>
  </r>
  <r>
    <s v="TXN101173"/>
    <x v="182"/>
    <x v="35"/>
    <x v="1"/>
    <x v="13"/>
    <x v="0"/>
    <n v="20.32"/>
    <s v="Main Bank"/>
    <s v="Direct Debit"/>
    <s v="Steam"/>
  </r>
  <r>
    <s v="TXN101222"/>
    <x v="182"/>
    <x v="26"/>
    <x v="0"/>
    <x v="1"/>
    <x v="0"/>
    <n v="30.31"/>
    <s v="Revolut"/>
    <s v="Bank Transfer"/>
    <s v="Local Restaurant"/>
  </r>
  <r>
    <s v="TXN101095"/>
    <x v="182"/>
    <x v="81"/>
    <x v="0"/>
    <x v="5"/>
    <x v="0"/>
    <n v="122.03"/>
    <s v="Main Bank"/>
    <s v="Bank Transfer"/>
    <s v="REWE"/>
  </r>
  <r>
    <s v="TXN103132"/>
    <x v="182"/>
    <x v="9"/>
    <x v="3"/>
    <x v="6"/>
    <x v="1"/>
    <n v="599.49"/>
    <s v="Main Bank"/>
    <s v="Direct Debit"/>
    <s v="Employer Bonus"/>
  </r>
  <r>
    <s v="TXN101896"/>
    <x v="182"/>
    <x v="70"/>
    <x v="7"/>
    <x v="18"/>
    <x v="0"/>
    <n v="36.43"/>
    <s v="Main Bank"/>
    <s v="Debit Card"/>
    <s v="Pharmacy"/>
  </r>
  <r>
    <s v="TXN100808"/>
    <x v="183"/>
    <x v="55"/>
    <x v="3"/>
    <x v="8"/>
    <x v="1"/>
    <n v="394.42"/>
    <s v="Main Bank"/>
    <s v="Debit Card"/>
    <s v="Employer Bonus"/>
  </r>
  <r>
    <s v="TXN102839"/>
    <x v="183"/>
    <x v="89"/>
    <x v="5"/>
    <x v="23"/>
    <x v="0"/>
    <n v="197.82"/>
    <s v="Savings"/>
    <s v="Credit Card"/>
    <s v="Lufthansa"/>
  </r>
  <r>
    <s v="TXN101521"/>
    <x v="183"/>
    <x v="50"/>
    <x v="4"/>
    <x v="17"/>
    <x v="0"/>
    <n v="950"/>
    <s v="Main Bank"/>
    <s v="Credit Card"/>
    <s v="Energy Provider"/>
  </r>
  <r>
    <s v="TXN100392"/>
    <x v="183"/>
    <x v="45"/>
    <x v="6"/>
    <x v="12"/>
    <x v="0"/>
    <n v="61.69"/>
    <s v="Main Bank"/>
    <s v="Bank Transfer"/>
    <s v="Local Transit"/>
  </r>
  <r>
    <s v="TXN101920"/>
    <x v="183"/>
    <x v="17"/>
    <x v="6"/>
    <x v="12"/>
    <x v="0"/>
    <n v="78.06"/>
    <s v="Revolut"/>
    <s v="Bank Transfer"/>
    <s v="Auto Service"/>
  </r>
  <r>
    <s v="TXN103335"/>
    <x v="184"/>
    <x v="41"/>
    <x v="3"/>
    <x v="10"/>
    <x v="1"/>
    <n v="2227.63"/>
    <s v="Revolut"/>
    <s v="Debit Card"/>
    <s v="Employer Bonus"/>
  </r>
  <r>
    <s v="TXN100214"/>
    <x v="184"/>
    <x v="0"/>
    <x v="0"/>
    <x v="0"/>
    <x v="0"/>
    <n v="35.68"/>
    <s v="Main Bank"/>
    <s v="Bank Transfer"/>
    <s v="Lidl"/>
  </r>
  <r>
    <s v="TXN103452"/>
    <x v="184"/>
    <x v="18"/>
    <x v="1"/>
    <x v="13"/>
    <x v="0"/>
    <n v="17.53"/>
    <s v="Main Bank"/>
    <s v="Credit Card"/>
    <s v="Netflix"/>
  </r>
  <r>
    <s v="TXN101476"/>
    <x v="184"/>
    <x v="74"/>
    <x v="1"/>
    <x v="13"/>
    <x v="0"/>
    <n v="39.549999999999997"/>
    <s v="Revolut"/>
    <s v="Debit Card"/>
    <s v="Cinema"/>
  </r>
  <r>
    <s v="TXN100942"/>
    <x v="184"/>
    <x v="22"/>
    <x v="2"/>
    <x v="4"/>
    <x v="0"/>
    <n v="33.56"/>
    <s v="Main Bank"/>
    <s v="Credit Card"/>
    <s v="Zalando"/>
  </r>
  <r>
    <s v="TXN103312"/>
    <x v="184"/>
    <x v="65"/>
    <x v="1"/>
    <x v="2"/>
    <x v="0"/>
    <n v="35.07"/>
    <s v="Revolut"/>
    <s v="Direct Debit"/>
    <s v="Netflix"/>
  </r>
  <r>
    <s v="TXN101298"/>
    <x v="184"/>
    <x v="75"/>
    <x v="4"/>
    <x v="7"/>
    <x v="0"/>
    <n v="138.77000000000001"/>
    <s v="Revolut"/>
    <s v="Direct Debit"/>
    <s v="Energy Provider"/>
  </r>
  <r>
    <s v="TXN101285"/>
    <x v="185"/>
    <x v="45"/>
    <x v="6"/>
    <x v="12"/>
    <x v="0"/>
    <n v="46.27"/>
    <s v="Revolut"/>
    <s v="Bank Transfer"/>
    <s v="Local Transit"/>
  </r>
  <r>
    <s v="TXN101780"/>
    <x v="185"/>
    <x v="11"/>
    <x v="3"/>
    <x v="8"/>
    <x v="1"/>
    <n v="322.73"/>
    <s v="Main Bank"/>
    <s v="Direct Debit"/>
    <s v="Freelance Client"/>
  </r>
  <r>
    <s v="TXN102735"/>
    <x v="185"/>
    <x v="55"/>
    <x v="3"/>
    <x v="8"/>
    <x v="1"/>
    <n v="405.91"/>
    <s v="Revolut"/>
    <s v="Debit Card"/>
    <s v="Employer Bonus"/>
  </r>
  <r>
    <s v="TXN101994"/>
    <x v="185"/>
    <x v="1"/>
    <x v="0"/>
    <x v="0"/>
    <x v="0"/>
    <n v="49.04"/>
    <s v="Main Bank"/>
    <s v="Bank Transfer"/>
    <s v="EDEKA"/>
  </r>
  <r>
    <s v="TXN100178"/>
    <x v="185"/>
    <x v="36"/>
    <x v="6"/>
    <x v="15"/>
    <x v="0"/>
    <n v="34.15"/>
    <s v="Main Bank"/>
    <s v="Debit Card"/>
    <s v="Aral"/>
  </r>
  <r>
    <s v="TXN102305"/>
    <x v="186"/>
    <x v="31"/>
    <x v="3"/>
    <x v="6"/>
    <x v="1"/>
    <n v="808.88"/>
    <s v="Savings"/>
    <s v="Debit Card"/>
    <s v="Employer"/>
  </r>
  <r>
    <s v="TXN101402"/>
    <x v="186"/>
    <x v="7"/>
    <x v="0"/>
    <x v="0"/>
    <x v="0"/>
    <n v="81.02"/>
    <s v="Main Bank"/>
    <s v="Debit Card"/>
    <s v="Local Restaurant"/>
  </r>
  <r>
    <s v="TXN102671"/>
    <x v="186"/>
    <x v="60"/>
    <x v="1"/>
    <x v="22"/>
    <x v="0"/>
    <n v="91.01"/>
    <s v="Main Bank"/>
    <s v="Debit Card"/>
    <s v="Spotify"/>
  </r>
  <r>
    <s v="TXN101730"/>
    <x v="187"/>
    <x v="77"/>
    <x v="1"/>
    <x v="22"/>
    <x v="0"/>
    <n v="82.33"/>
    <s v="Main Bank"/>
    <s v="Bank Transfer"/>
    <s v="Steam"/>
  </r>
  <r>
    <s v="TXN102192"/>
    <x v="187"/>
    <x v="55"/>
    <x v="3"/>
    <x v="8"/>
    <x v="1"/>
    <n v="291.48"/>
    <s v="Main Bank"/>
    <s v="Debit Card"/>
    <s v="Employer Bonus"/>
  </r>
  <r>
    <s v="TXN102548"/>
    <x v="187"/>
    <x v="23"/>
    <x v="6"/>
    <x v="15"/>
    <x v="0"/>
    <n v="61.88"/>
    <s v="Main Bank"/>
    <s v="Direct Debit"/>
    <s v="Shell"/>
  </r>
  <r>
    <s v="TXN103125"/>
    <x v="187"/>
    <x v="28"/>
    <x v="7"/>
    <x v="14"/>
    <x v="0"/>
    <n v="87.9"/>
    <s v="Revolut"/>
    <s v="Credit Card"/>
    <s v="Pharmacy"/>
  </r>
  <r>
    <s v="TXN100600"/>
    <x v="187"/>
    <x v="10"/>
    <x v="4"/>
    <x v="7"/>
    <x v="0"/>
    <n v="297.08"/>
    <s v="Main Bank"/>
    <s v="Credit Card"/>
    <s v="Landlord"/>
  </r>
  <r>
    <s v="TXN101839"/>
    <x v="187"/>
    <x v="67"/>
    <x v="3"/>
    <x v="6"/>
    <x v="1"/>
    <n v="658.96"/>
    <s v="Revolut"/>
    <s v="Debit Card"/>
    <s v="Freelance Client"/>
  </r>
  <r>
    <s v="TXN102471"/>
    <x v="188"/>
    <x v="29"/>
    <x v="0"/>
    <x v="1"/>
    <x v="0"/>
    <n v="34.69"/>
    <s v="Main Bank"/>
    <s v="Credit Card"/>
    <s v="REWE"/>
  </r>
  <r>
    <s v="TXN102919"/>
    <x v="188"/>
    <x v="45"/>
    <x v="6"/>
    <x v="12"/>
    <x v="0"/>
    <n v="12.87"/>
    <s v="Main Bank"/>
    <s v="Debit Card"/>
    <s v="Local Transit"/>
  </r>
  <r>
    <s v="TXN101591"/>
    <x v="188"/>
    <x v="28"/>
    <x v="7"/>
    <x v="14"/>
    <x v="0"/>
    <n v="52.93"/>
    <s v="Main Bank"/>
    <s v="Debit Card"/>
    <s v="Pharmacy"/>
  </r>
  <r>
    <s v="TXN100431"/>
    <x v="189"/>
    <x v="54"/>
    <x v="0"/>
    <x v="5"/>
    <x v="0"/>
    <n v="61.64"/>
    <s v="Main Bank"/>
    <s v="Debit Card"/>
    <s v="Lidl"/>
  </r>
  <r>
    <s v="TXN100555"/>
    <x v="189"/>
    <x v="55"/>
    <x v="3"/>
    <x v="8"/>
    <x v="1"/>
    <n v="334.4"/>
    <s v="Revolut"/>
    <s v="Debit Card"/>
    <s v="Employer Bonus"/>
  </r>
  <r>
    <s v="TXN102584"/>
    <x v="189"/>
    <x v="44"/>
    <x v="2"/>
    <x v="16"/>
    <x v="0"/>
    <n v="161.71"/>
    <s v="Revolut"/>
    <s v="Bank Transfer"/>
    <s v="Zalando"/>
  </r>
  <r>
    <s v="TXN101699"/>
    <x v="190"/>
    <x v="67"/>
    <x v="3"/>
    <x v="6"/>
    <x v="1"/>
    <n v="793.66"/>
    <s v="Revolut"/>
    <s v="Bank Transfer"/>
    <s v="Freelance Client"/>
  </r>
  <r>
    <s v="TXN103018"/>
    <x v="190"/>
    <x v="15"/>
    <x v="6"/>
    <x v="11"/>
    <x v="0"/>
    <n v="108.67"/>
    <s v="Main Bank"/>
    <s v="Debit Card"/>
    <s v="Auto Service"/>
  </r>
  <r>
    <s v="TXN102818"/>
    <x v="190"/>
    <x v="50"/>
    <x v="4"/>
    <x v="17"/>
    <x v="0"/>
    <n v="207.8"/>
    <s v="Revolut"/>
    <s v="Debit Card"/>
    <s v="Energy Provider"/>
  </r>
  <r>
    <s v="TXN101079"/>
    <x v="190"/>
    <x v="25"/>
    <x v="0"/>
    <x v="0"/>
    <x v="0"/>
    <n v="133.83000000000001"/>
    <s v="Main Bank"/>
    <s v="Direct Debit"/>
    <s v="McDonald's"/>
  </r>
  <r>
    <s v="TXN100502"/>
    <x v="190"/>
    <x v="57"/>
    <x v="2"/>
    <x v="3"/>
    <x v="0"/>
    <n v="359.72"/>
    <s v="Main Bank"/>
    <s v="Bank Transfer"/>
    <s v="IKEA"/>
  </r>
  <r>
    <s v="TXN102565"/>
    <x v="191"/>
    <x v="52"/>
    <x v="6"/>
    <x v="11"/>
    <x v="0"/>
    <n v="105.21"/>
    <s v="Savings"/>
    <s v="Credit Card"/>
    <s v="Local Transit"/>
  </r>
  <r>
    <s v="TXN103383"/>
    <x v="191"/>
    <x v="10"/>
    <x v="4"/>
    <x v="7"/>
    <x v="0"/>
    <n v="182.56"/>
    <s v="Main Bank"/>
    <s v="Bank Transfer"/>
    <s v="Landlord"/>
  </r>
  <r>
    <s v="TXN101198"/>
    <x v="191"/>
    <x v="41"/>
    <x v="3"/>
    <x v="10"/>
    <x v="1"/>
    <n v="2419.6799999999998"/>
    <s v="Revolut"/>
    <s v="Credit Card"/>
    <s v="Employer Bonus"/>
  </r>
  <r>
    <s v="TXN102135"/>
    <x v="191"/>
    <x v="84"/>
    <x v="7"/>
    <x v="21"/>
    <x v="0"/>
    <n v="150.22999999999999"/>
    <s v="Main Bank"/>
    <s v="Bank Transfer"/>
    <s v="Gym"/>
  </r>
  <r>
    <s v="TXN103367"/>
    <x v="192"/>
    <x v="40"/>
    <x v="6"/>
    <x v="12"/>
    <x v="0"/>
    <n v="134.38"/>
    <s v="Main Bank"/>
    <s v="Debit Card"/>
    <s v="DB"/>
  </r>
  <r>
    <s v="TXN101379"/>
    <x v="192"/>
    <x v="73"/>
    <x v="6"/>
    <x v="12"/>
    <x v="0"/>
    <n v="103.49"/>
    <s v="Main Bank"/>
    <s v="Bank Transfer"/>
    <s v="Aral"/>
  </r>
  <r>
    <s v="TXN101094"/>
    <x v="192"/>
    <x v="33"/>
    <x v="2"/>
    <x v="16"/>
    <x v="0"/>
    <n v="221.54"/>
    <s v="Main Bank"/>
    <s v="Bank Transfer"/>
    <s v="Amazon"/>
  </r>
  <r>
    <s v="TXN100458"/>
    <x v="192"/>
    <x v="44"/>
    <x v="2"/>
    <x v="16"/>
    <x v="0"/>
    <n v="221.23"/>
    <s v="Main Bank"/>
    <s v="Credit Card"/>
    <s v="Zalando"/>
  </r>
  <r>
    <s v="TXN103211"/>
    <x v="193"/>
    <x v="26"/>
    <x v="0"/>
    <x v="1"/>
    <x v="0"/>
    <n v="36.159999999999997"/>
    <s v="Revolut"/>
    <s v="Direct Debit"/>
    <s v="Local Restaurant"/>
  </r>
  <r>
    <s v="TXN101708"/>
    <x v="193"/>
    <x v="81"/>
    <x v="0"/>
    <x v="5"/>
    <x v="0"/>
    <n v="21.32"/>
    <s v="Main Bank"/>
    <s v="Bank Transfer"/>
    <s v="REWE"/>
  </r>
  <r>
    <s v="TXN100577"/>
    <x v="193"/>
    <x v="8"/>
    <x v="0"/>
    <x v="5"/>
    <x v="0"/>
    <n v="30.08"/>
    <s v="Revolut"/>
    <s v="Debit Card"/>
    <s v="McDonald's"/>
  </r>
  <r>
    <s v="TXN100230"/>
    <x v="193"/>
    <x v="60"/>
    <x v="1"/>
    <x v="22"/>
    <x v="0"/>
    <n v="18.68"/>
    <s v="Main Bank"/>
    <s v="Bank Transfer"/>
    <s v="Spotify"/>
  </r>
  <r>
    <s v="TXN101093"/>
    <x v="193"/>
    <x v="76"/>
    <x v="1"/>
    <x v="22"/>
    <x v="0"/>
    <n v="13.07"/>
    <s v="Revolut"/>
    <s v="Debit Card"/>
    <s v="Netflix"/>
  </r>
  <r>
    <s v="TXN102571"/>
    <x v="193"/>
    <x v="73"/>
    <x v="6"/>
    <x v="12"/>
    <x v="0"/>
    <n v="50.44"/>
    <s v="Main Bank"/>
    <s v="Debit Card"/>
    <s v="Aral"/>
  </r>
  <r>
    <s v="TXN100762"/>
    <x v="193"/>
    <x v="29"/>
    <x v="0"/>
    <x v="1"/>
    <x v="0"/>
    <n v="99.08"/>
    <s v="Main Bank"/>
    <s v="Bank Transfer"/>
    <s v="REWE"/>
  </r>
  <r>
    <s v="TXN100907"/>
    <x v="193"/>
    <x v="67"/>
    <x v="3"/>
    <x v="6"/>
    <x v="1"/>
    <n v="731.77"/>
    <s v="Main Bank"/>
    <s v="Direct Debit"/>
    <s v="Freelance Client"/>
  </r>
  <r>
    <s v="TXN102748"/>
    <x v="193"/>
    <x v="48"/>
    <x v="0"/>
    <x v="5"/>
    <x v="0"/>
    <n v="77.86"/>
    <s v="Main Bank"/>
    <s v="Bank Transfer"/>
    <s v="EDEKA"/>
  </r>
  <r>
    <s v="TXN102734"/>
    <x v="193"/>
    <x v="16"/>
    <x v="3"/>
    <x v="10"/>
    <x v="1"/>
    <n v="2612.9499999999998"/>
    <s v="Main Bank"/>
    <s v="Debit Card"/>
    <s v="Employer"/>
  </r>
  <r>
    <s v="TXN102333"/>
    <x v="194"/>
    <x v="3"/>
    <x v="1"/>
    <x v="2"/>
    <x v="0"/>
    <n v="61.15"/>
    <s v="Main Bank"/>
    <s v="Debit Card"/>
    <s v="Spotify"/>
  </r>
  <r>
    <s v="TXN102986"/>
    <x v="194"/>
    <x v="67"/>
    <x v="3"/>
    <x v="6"/>
    <x v="1"/>
    <n v="715.81"/>
    <s v="Main Bank"/>
    <s v="Debit Card"/>
    <s v="Freelance Client"/>
  </r>
  <r>
    <s v="TXN101246"/>
    <x v="194"/>
    <x v="65"/>
    <x v="1"/>
    <x v="2"/>
    <x v="0"/>
    <n v="5"/>
    <s v="Revolut"/>
    <s v="Credit Card"/>
    <s v="Netflix"/>
  </r>
  <r>
    <s v="TXN103036"/>
    <x v="194"/>
    <x v="7"/>
    <x v="0"/>
    <x v="0"/>
    <x v="0"/>
    <n v="23.95"/>
    <s v="Main Bank"/>
    <s v="Credit Card"/>
    <s v="Local Restaurant"/>
  </r>
  <r>
    <s v="TXN102002"/>
    <x v="194"/>
    <x v="8"/>
    <x v="0"/>
    <x v="5"/>
    <x v="0"/>
    <n v="80.11"/>
    <s v="Main Bank"/>
    <s v="Bank Transfer"/>
    <s v="McDonald's"/>
  </r>
  <r>
    <s v="TXN100025"/>
    <x v="194"/>
    <x v="4"/>
    <x v="2"/>
    <x v="3"/>
    <x v="0"/>
    <n v="156.58000000000001"/>
    <s v="Savings"/>
    <s v="Credit Card"/>
    <s v="Zalando"/>
  </r>
  <r>
    <s v="TXN101633"/>
    <x v="195"/>
    <x v="80"/>
    <x v="1"/>
    <x v="22"/>
    <x v="0"/>
    <n v="42.83"/>
    <s v="Revolut"/>
    <s v="Credit Card"/>
    <s v="Cinema"/>
  </r>
  <r>
    <s v="TXN103025"/>
    <x v="195"/>
    <x v="50"/>
    <x v="4"/>
    <x v="17"/>
    <x v="0"/>
    <n v="516.54999999999995"/>
    <s v="Savings"/>
    <s v="Cash"/>
    <s v="Energy Provider"/>
  </r>
  <r>
    <s v="TXN102879"/>
    <x v="195"/>
    <x v="32"/>
    <x v="1"/>
    <x v="2"/>
    <x v="0"/>
    <n v="43.23"/>
    <s v="Revolut"/>
    <s v="Debit Card"/>
    <s v="Cinema"/>
  </r>
  <r>
    <s v="TXN101514"/>
    <x v="195"/>
    <x v="71"/>
    <x v="4"/>
    <x v="17"/>
    <x v="0"/>
    <n v="486.32"/>
    <s v="Main Bank"/>
    <s v="Cash"/>
    <s v="Vodafone"/>
  </r>
  <r>
    <s v="TXN100899"/>
    <x v="195"/>
    <x v="71"/>
    <x v="4"/>
    <x v="17"/>
    <x v="0"/>
    <n v="142.74"/>
    <s v="Main Bank"/>
    <s v="Bank Transfer"/>
    <s v="Vodafone"/>
  </r>
  <r>
    <s v="TXN101027"/>
    <x v="196"/>
    <x v="9"/>
    <x v="3"/>
    <x v="6"/>
    <x v="1"/>
    <n v="769.58"/>
    <s v="Main Bank"/>
    <s v="Debit Card"/>
    <s v="Employer Bonus"/>
  </r>
  <r>
    <s v="TXN103298"/>
    <x v="196"/>
    <x v="38"/>
    <x v="4"/>
    <x v="7"/>
    <x v="0"/>
    <n v="395.31"/>
    <s v="Revolut"/>
    <s v="Debit Card"/>
    <s v="Vodafone"/>
  </r>
  <r>
    <s v="TXN100945"/>
    <x v="196"/>
    <x v="81"/>
    <x v="0"/>
    <x v="5"/>
    <x v="0"/>
    <n v="91.35"/>
    <s v="Main Bank"/>
    <s v="Bank Transfer"/>
    <s v="REWE"/>
  </r>
  <r>
    <s v="TXN103017"/>
    <x v="197"/>
    <x v="19"/>
    <x v="7"/>
    <x v="14"/>
    <x v="0"/>
    <n v="90.23"/>
    <s v="Savings"/>
    <s v="Debit Card"/>
    <s v="Gym"/>
  </r>
  <r>
    <s v="TXN100889"/>
    <x v="197"/>
    <x v="63"/>
    <x v="4"/>
    <x v="19"/>
    <x v="0"/>
    <n v="950"/>
    <s v="Main Bank"/>
    <s v="Debit Card"/>
    <s v="Vodafone"/>
  </r>
  <r>
    <s v="TXN101292"/>
    <x v="197"/>
    <x v="25"/>
    <x v="0"/>
    <x v="0"/>
    <x v="0"/>
    <n v="29.01"/>
    <s v="Main Bank"/>
    <s v="Cash"/>
    <s v="McDonald's"/>
  </r>
  <r>
    <s v="TXN100616"/>
    <x v="197"/>
    <x v="55"/>
    <x v="3"/>
    <x v="8"/>
    <x v="1"/>
    <n v="327.29000000000002"/>
    <s v="Main Bank"/>
    <s v="Bank Transfer"/>
    <s v="Employer Bonus"/>
  </r>
  <r>
    <s v="TXN103068"/>
    <x v="197"/>
    <x v="11"/>
    <x v="3"/>
    <x v="8"/>
    <x v="1"/>
    <n v="408.28"/>
    <s v="Revolut"/>
    <s v="Credit Card"/>
    <s v="Freelance Client"/>
  </r>
  <r>
    <s v="TXN100281"/>
    <x v="197"/>
    <x v="55"/>
    <x v="3"/>
    <x v="8"/>
    <x v="1"/>
    <n v="322.06"/>
    <s v="Main Bank"/>
    <s v="Debit Card"/>
    <s v="Employer Bonus"/>
  </r>
  <r>
    <s v="TXN100659"/>
    <x v="197"/>
    <x v="32"/>
    <x v="1"/>
    <x v="2"/>
    <x v="0"/>
    <n v="53.55"/>
    <s v="Main Bank"/>
    <s v="Credit Card"/>
    <s v="Cinema"/>
  </r>
  <r>
    <s v="TXN102181"/>
    <x v="197"/>
    <x v="6"/>
    <x v="0"/>
    <x v="1"/>
    <x v="0"/>
    <n v="29.25"/>
    <s v="Savings"/>
    <s v="Bank Transfer"/>
    <s v="McDonald's"/>
  </r>
  <r>
    <s v="TXN102648"/>
    <x v="197"/>
    <x v="33"/>
    <x v="2"/>
    <x v="16"/>
    <x v="0"/>
    <n v="11.07"/>
    <s v="Main Bank"/>
    <s v="Debit Card"/>
    <s v="Amazon"/>
  </r>
  <r>
    <s v="TXN102538"/>
    <x v="197"/>
    <x v="8"/>
    <x v="0"/>
    <x v="5"/>
    <x v="0"/>
    <n v="60.05"/>
    <s v="Main Bank"/>
    <s v="Credit Card"/>
    <s v="McDonald's"/>
  </r>
  <r>
    <s v="TXN100806"/>
    <x v="198"/>
    <x v="46"/>
    <x v="7"/>
    <x v="18"/>
    <x v="0"/>
    <n v="236.29"/>
    <s v="Main Bank"/>
    <s v="Debit Card"/>
    <s v="Gym"/>
  </r>
  <r>
    <s v="TXN102494"/>
    <x v="198"/>
    <x v="73"/>
    <x v="6"/>
    <x v="12"/>
    <x v="0"/>
    <n v="35.33"/>
    <s v="Main Bank"/>
    <s v="Direct Debit"/>
    <s v="Aral"/>
  </r>
  <r>
    <s v="TXN101424"/>
    <x v="198"/>
    <x v="34"/>
    <x v="0"/>
    <x v="5"/>
    <x v="0"/>
    <n v="30.58"/>
    <s v="Revolut"/>
    <s v="Bank Transfer"/>
    <s v="Local Restaurant"/>
  </r>
  <r>
    <s v="TXN102001"/>
    <x v="198"/>
    <x v="0"/>
    <x v="0"/>
    <x v="0"/>
    <x v="0"/>
    <n v="34.15"/>
    <s v="Revolut"/>
    <s v="Direct Debit"/>
    <s v="Lidl"/>
  </r>
  <r>
    <s v="TXN103109"/>
    <x v="198"/>
    <x v="57"/>
    <x v="2"/>
    <x v="3"/>
    <x v="0"/>
    <n v="275.58999999999997"/>
    <s v="Main Bank"/>
    <s v="Debit Card"/>
    <s v="IKEA"/>
  </r>
  <r>
    <s v="TXN100151"/>
    <x v="198"/>
    <x v="67"/>
    <x v="3"/>
    <x v="6"/>
    <x v="1"/>
    <n v="774.1"/>
    <s v="Main Bank"/>
    <s v="Cash"/>
    <s v="Freelance Client"/>
  </r>
  <r>
    <s v="TXN100361"/>
    <x v="199"/>
    <x v="40"/>
    <x v="6"/>
    <x v="12"/>
    <x v="0"/>
    <n v="126.74"/>
    <s v="Revolut"/>
    <s v="Credit Card"/>
    <s v="DB"/>
  </r>
  <r>
    <s v="TXN102174"/>
    <x v="199"/>
    <x v="72"/>
    <x v="3"/>
    <x v="8"/>
    <x v="1"/>
    <n v="314.82"/>
    <s v="Revolut"/>
    <s v="Credit Card"/>
    <s v="Employer"/>
  </r>
  <r>
    <s v="TXN100628"/>
    <x v="199"/>
    <x v="64"/>
    <x v="7"/>
    <x v="21"/>
    <x v="0"/>
    <n v="161.19999999999999"/>
    <s v="Revolut"/>
    <s v="Direct Debit"/>
    <s v="Pharmacy"/>
  </r>
  <r>
    <s v="TXN102166"/>
    <x v="199"/>
    <x v="11"/>
    <x v="3"/>
    <x v="8"/>
    <x v="1"/>
    <n v="282.52999999999997"/>
    <s v="Main Bank"/>
    <s v="Credit Card"/>
    <s v="Freelance Client"/>
  </r>
  <r>
    <s v="TXN102679"/>
    <x v="199"/>
    <x v="63"/>
    <x v="4"/>
    <x v="19"/>
    <x v="0"/>
    <n v="741.33"/>
    <s v="Main Bank"/>
    <s v="Credit Card"/>
    <s v="Vodafone"/>
  </r>
  <r>
    <s v="TXN101742"/>
    <x v="199"/>
    <x v="46"/>
    <x v="7"/>
    <x v="18"/>
    <x v="0"/>
    <n v="71.680000000000007"/>
    <s v="Main Bank"/>
    <s v="Bank Transfer"/>
    <s v="Gym"/>
  </r>
  <r>
    <s v="TXN101913"/>
    <x v="199"/>
    <x v="72"/>
    <x v="3"/>
    <x v="8"/>
    <x v="1"/>
    <n v="336.65"/>
    <s v="Main Bank"/>
    <s v="Debit Card"/>
    <s v="Employer"/>
  </r>
  <r>
    <s v="TXN100348"/>
    <x v="200"/>
    <x v="71"/>
    <x v="4"/>
    <x v="17"/>
    <x v="0"/>
    <n v="278.25"/>
    <s v="Main Bank"/>
    <s v="Bank Transfer"/>
    <s v="Vodafone"/>
  </r>
  <r>
    <s v="TXN101250"/>
    <x v="200"/>
    <x v="65"/>
    <x v="1"/>
    <x v="2"/>
    <x v="0"/>
    <n v="14.54"/>
    <s v="Main Bank"/>
    <s v="Credit Card"/>
    <s v="Netflix"/>
  </r>
  <r>
    <s v="TXN103433"/>
    <x v="200"/>
    <x v="39"/>
    <x v="7"/>
    <x v="14"/>
    <x v="0"/>
    <n v="174.16"/>
    <s v="Main Bank"/>
    <s v="Debit Card"/>
    <s v="Doctor"/>
  </r>
  <r>
    <s v="TXN102082"/>
    <x v="200"/>
    <x v="47"/>
    <x v="4"/>
    <x v="19"/>
    <x v="0"/>
    <n v="355.85"/>
    <s v="Main Bank"/>
    <s v="Debit Card"/>
    <s v="Landlord"/>
  </r>
  <r>
    <s v="TXN102578"/>
    <x v="200"/>
    <x v="32"/>
    <x v="1"/>
    <x v="2"/>
    <x v="0"/>
    <n v="80.61"/>
    <s v="Revolut"/>
    <s v="Bank Transfer"/>
    <s v="Cinema"/>
  </r>
  <r>
    <s v="TXN100480"/>
    <x v="200"/>
    <x v="24"/>
    <x v="2"/>
    <x v="16"/>
    <x v="0"/>
    <n v="103.74"/>
    <s v="Main Bank"/>
    <s v="Credit Card"/>
    <s v="MediaMarkt"/>
  </r>
  <r>
    <s v="TXN100109"/>
    <x v="200"/>
    <x v="21"/>
    <x v="0"/>
    <x v="1"/>
    <x v="0"/>
    <n v="32.659999999999997"/>
    <s v="Main Bank"/>
    <s v="Debit Card"/>
    <s v="EDEKA"/>
  </r>
  <r>
    <s v="TXN103458"/>
    <x v="200"/>
    <x v="19"/>
    <x v="7"/>
    <x v="14"/>
    <x v="0"/>
    <n v="240.01"/>
    <s v="Revolut"/>
    <s v="Debit Card"/>
    <s v="Gym"/>
  </r>
  <r>
    <s v="TXN102945"/>
    <x v="200"/>
    <x v="28"/>
    <x v="7"/>
    <x v="14"/>
    <x v="0"/>
    <n v="53.06"/>
    <s v="Main Bank"/>
    <s v="Debit Card"/>
    <s v="Pharmacy"/>
  </r>
  <r>
    <s v="TXN103324"/>
    <x v="200"/>
    <x v="24"/>
    <x v="2"/>
    <x v="16"/>
    <x v="0"/>
    <n v="263.06"/>
    <s v="Savings"/>
    <s v="Bank Transfer"/>
    <s v="MediaMarkt"/>
  </r>
  <r>
    <s v="TXN100324"/>
    <x v="200"/>
    <x v="54"/>
    <x v="0"/>
    <x v="5"/>
    <x v="0"/>
    <n v="21.28"/>
    <s v="Revolut"/>
    <s v="Debit Card"/>
    <s v="Lidl"/>
  </r>
  <r>
    <s v="TXN102849"/>
    <x v="200"/>
    <x v="20"/>
    <x v="2"/>
    <x v="3"/>
    <x v="0"/>
    <n v="277.73"/>
    <s v="Main Bank"/>
    <s v="Bank Transfer"/>
    <s v="Amazon"/>
  </r>
  <r>
    <s v="TXN102806"/>
    <x v="200"/>
    <x v="41"/>
    <x v="3"/>
    <x v="10"/>
    <x v="1"/>
    <n v="2333.92"/>
    <s v="Main Bank"/>
    <s v="Bank Transfer"/>
    <s v="Employer Bonus"/>
  </r>
  <r>
    <s v="TXN103099"/>
    <x v="201"/>
    <x v="38"/>
    <x v="4"/>
    <x v="7"/>
    <x v="0"/>
    <n v="400.34"/>
    <s v="Main Bank"/>
    <s v="Debit Card"/>
    <s v="Vodafone"/>
  </r>
  <r>
    <s v="TXN101375"/>
    <x v="201"/>
    <x v="7"/>
    <x v="0"/>
    <x v="0"/>
    <x v="0"/>
    <n v="58.54"/>
    <s v="Main Bank"/>
    <s v="Cash"/>
    <s v="Local Restaurant"/>
  </r>
  <r>
    <s v="TXN102928"/>
    <x v="201"/>
    <x v="31"/>
    <x v="3"/>
    <x v="6"/>
    <x v="1"/>
    <n v="643.65"/>
    <s v="Main Bank"/>
    <s v="Credit Card"/>
    <s v="Employer"/>
  </r>
  <r>
    <s v="TXN100720"/>
    <x v="201"/>
    <x v="70"/>
    <x v="7"/>
    <x v="18"/>
    <x v="0"/>
    <n v="113.35"/>
    <s v="Revolut"/>
    <s v="Debit Card"/>
    <s v="Pharmacy"/>
  </r>
  <r>
    <s v="TXN102139"/>
    <x v="202"/>
    <x v="48"/>
    <x v="0"/>
    <x v="5"/>
    <x v="0"/>
    <n v="87.82"/>
    <s v="Main Bank"/>
    <s v="Bank Transfer"/>
    <s v="EDEKA"/>
  </r>
  <r>
    <s v="TXN100120"/>
    <x v="202"/>
    <x v="22"/>
    <x v="2"/>
    <x v="4"/>
    <x v="0"/>
    <n v="134.11000000000001"/>
    <s v="Main Bank"/>
    <s v="Debit Card"/>
    <s v="Zalando"/>
  </r>
  <r>
    <s v="TXN101946"/>
    <x v="202"/>
    <x v="57"/>
    <x v="2"/>
    <x v="3"/>
    <x v="0"/>
    <n v="288.56"/>
    <s v="Revolut"/>
    <s v="Debit Card"/>
    <s v="IKEA"/>
  </r>
  <r>
    <s v="TXN101908"/>
    <x v="202"/>
    <x v="59"/>
    <x v="6"/>
    <x v="11"/>
    <x v="0"/>
    <n v="52.25"/>
    <s v="Main Bank"/>
    <s v="Bank Transfer"/>
    <s v="Aral"/>
  </r>
  <r>
    <s v="TXN101089"/>
    <x v="202"/>
    <x v="67"/>
    <x v="3"/>
    <x v="6"/>
    <x v="1"/>
    <n v="720.39"/>
    <s v="Revolut"/>
    <s v="Bank Transfer"/>
    <s v="Freelance Client"/>
  </r>
  <r>
    <s v="TXN102944"/>
    <x v="202"/>
    <x v="70"/>
    <x v="7"/>
    <x v="18"/>
    <x v="0"/>
    <n v="60.58"/>
    <s v="Main Bank"/>
    <s v="Debit Card"/>
    <s v="Pharmacy"/>
  </r>
  <r>
    <s v="TXN102840"/>
    <x v="203"/>
    <x v="30"/>
    <x v="6"/>
    <x v="11"/>
    <x v="0"/>
    <n v="32.979999999999997"/>
    <s v="Main Bank"/>
    <s v="Credit Card"/>
    <s v="DB"/>
  </r>
  <r>
    <s v="TXN100404"/>
    <x v="203"/>
    <x v="13"/>
    <x v="3"/>
    <x v="10"/>
    <x v="1"/>
    <n v="2231.4499999999998"/>
    <s v="Main Bank"/>
    <s v="Credit Card"/>
    <s v="Freelance Client"/>
  </r>
  <r>
    <s v="TXN101057"/>
    <x v="203"/>
    <x v="91"/>
    <x v="5"/>
    <x v="23"/>
    <x v="0"/>
    <n v="470.54"/>
    <s v="Main Bank"/>
    <s v="Credit Card"/>
    <s v="Hotel"/>
  </r>
  <r>
    <s v="TXN102357"/>
    <x v="203"/>
    <x v="31"/>
    <x v="3"/>
    <x v="6"/>
    <x v="1"/>
    <n v="709.5"/>
    <s v="Savings"/>
    <s v="Bank Transfer"/>
    <s v="Employer"/>
  </r>
  <r>
    <s v="TXN100596"/>
    <x v="203"/>
    <x v="85"/>
    <x v="2"/>
    <x v="16"/>
    <x v="0"/>
    <n v="242.42"/>
    <s v="Savings"/>
    <s v="Debit Card"/>
    <s v="IKEA"/>
  </r>
  <r>
    <s v="TXN101546"/>
    <x v="203"/>
    <x v="4"/>
    <x v="2"/>
    <x v="3"/>
    <x v="0"/>
    <n v="63.92"/>
    <s v="Main Bank"/>
    <s v="Debit Card"/>
    <s v="Zalando"/>
  </r>
  <r>
    <s v="TXN103156"/>
    <x v="203"/>
    <x v="32"/>
    <x v="1"/>
    <x v="2"/>
    <x v="0"/>
    <n v="32.49"/>
    <s v="Main Bank"/>
    <s v="Bank Transfer"/>
    <s v="Cinema"/>
  </r>
  <r>
    <s v="TXN101282"/>
    <x v="204"/>
    <x v="58"/>
    <x v="7"/>
    <x v="21"/>
    <x v="0"/>
    <n v="155.56"/>
    <s v="Revolut"/>
    <s v="Debit Card"/>
    <s v="Doctor"/>
  </r>
  <r>
    <s v="TXN101859"/>
    <x v="204"/>
    <x v="55"/>
    <x v="3"/>
    <x v="8"/>
    <x v="1"/>
    <n v="353.11"/>
    <s v="Main Bank"/>
    <s v="Credit Card"/>
    <s v="Employer Bonus"/>
  </r>
  <r>
    <s v="TXN100257"/>
    <x v="204"/>
    <x v="67"/>
    <x v="3"/>
    <x v="6"/>
    <x v="1"/>
    <n v="686.46"/>
    <s v="Main Bank"/>
    <s v="Direct Debit"/>
    <s v="Freelance Client"/>
  </r>
  <r>
    <s v="TXN100838"/>
    <x v="204"/>
    <x v="17"/>
    <x v="6"/>
    <x v="12"/>
    <x v="0"/>
    <n v="147.61000000000001"/>
    <s v="Main Bank"/>
    <s v="Direct Debit"/>
    <s v="Auto Service"/>
  </r>
  <r>
    <s v="TXN102239"/>
    <x v="204"/>
    <x v="43"/>
    <x v="4"/>
    <x v="17"/>
    <x v="0"/>
    <n v="402.38"/>
    <s v="Savings"/>
    <s v="Bank Transfer"/>
    <s v="Landlord"/>
  </r>
  <r>
    <s v="TXN100233"/>
    <x v="205"/>
    <x v="66"/>
    <x v="2"/>
    <x v="3"/>
    <x v="0"/>
    <n v="308.7"/>
    <s v="Main Bank"/>
    <s v="Bank Transfer"/>
    <s v="MediaMarkt"/>
  </r>
  <r>
    <s v="TXN103414"/>
    <x v="205"/>
    <x v="52"/>
    <x v="6"/>
    <x v="11"/>
    <x v="0"/>
    <n v="115.29"/>
    <s v="Revolut"/>
    <s v="Bank Transfer"/>
    <s v="Local Transit"/>
  </r>
  <r>
    <s v="TXN102432"/>
    <x v="205"/>
    <x v="16"/>
    <x v="3"/>
    <x v="10"/>
    <x v="1"/>
    <n v="2177.7399999999998"/>
    <s v="Main Bank"/>
    <s v="Cash"/>
    <s v="Employer"/>
  </r>
  <r>
    <s v="TXN101039"/>
    <x v="205"/>
    <x v="75"/>
    <x v="4"/>
    <x v="7"/>
    <x v="0"/>
    <n v="496.6"/>
    <s v="Savings"/>
    <s v="Debit Card"/>
    <s v="Energy Provider"/>
  </r>
  <r>
    <s v="TXN100343"/>
    <x v="205"/>
    <x v="48"/>
    <x v="0"/>
    <x v="5"/>
    <x v="0"/>
    <n v="72.91"/>
    <s v="Main Bank"/>
    <s v="Credit Card"/>
    <s v="EDEKA"/>
  </r>
  <r>
    <s v="TXN100110"/>
    <x v="205"/>
    <x v="75"/>
    <x v="4"/>
    <x v="7"/>
    <x v="0"/>
    <n v="161.41999999999999"/>
    <s v="Main Bank"/>
    <s v="Bank Transfer"/>
    <s v="Energy Provider"/>
  </r>
  <r>
    <s v="TXN100609"/>
    <x v="205"/>
    <x v="62"/>
    <x v="2"/>
    <x v="4"/>
    <x v="0"/>
    <n v="185.06"/>
    <s v="Savings"/>
    <s v="Bank Transfer"/>
    <s v="IKEA"/>
  </r>
  <r>
    <s v="TXN103170"/>
    <x v="206"/>
    <x v="30"/>
    <x v="6"/>
    <x v="11"/>
    <x v="0"/>
    <n v="32.74"/>
    <s v="Revolut"/>
    <s v="Bank Transfer"/>
    <s v="DB"/>
  </r>
  <r>
    <s v="TXN103338"/>
    <x v="206"/>
    <x v="28"/>
    <x v="7"/>
    <x v="14"/>
    <x v="0"/>
    <n v="41.71"/>
    <s v="Main Bank"/>
    <s v="Direct Debit"/>
    <s v="Pharmacy"/>
  </r>
  <r>
    <s v="TXN102766"/>
    <x v="207"/>
    <x v="13"/>
    <x v="3"/>
    <x v="10"/>
    <x v="1"/>
    <n v="2453.04"/>
    <s v="Main Bank"/>
    <s v="Debit Card"/>
    <s v="Freelance Client"/>
  </r>
  <r>
    <s v="TXN101855"/>
    <x v="207"/>
    <x v="11"/>
    <x v="3"/>
    <x v="8"/>
    <x v="1"/>
    <n v="344.29"/>
    <s v="Main Bank"/>
    <s v="Credit Card"/>
    <s v="Freelance Client"/>
  </r>
  <r>
    <s v="TXN102274"/>
    <x v="208"/>
    <x v="49"/>
    <x v="1"/>
    <x v="13"/>
    <x v="0"/>
    <n v="43.13"/>
    <s v="Main Bank"/>
    <s v="Debit Card"/>
    <s v="Spotify"/>
  </r>
  <r>
    <s v="TXN102200"/>
    <x v="208"/>
    <x v="23"/>
    <x v="6"/>
    <x v="15"/>
    <x v="0"/>
    <n v="62.02"/>
    <s v="Main Bank"/>
    <s v="Debit Card"/>
    <s v="Shell"/>
  </r>
  <r>
    <s v="TXN102396"/>
    <x v="208"/>
    <x v="52"/>
    <x v="6"/>
    <x v="11"/>
    <x v="0"/>
    <n v="74.67"/>
    <s v="Main Bank"/>
    <s v="Debit Card"/>
    <s v="Local Transit"/>
  </r>
  <r>
    <s v="TXN101880"/>
    <x v="209"/>
    <x v="85"/>
    <x v="2"/>
    <x v="16"/>
    <x v="0"/>
    <n v="146.07"/>
    <s v="Main Bank"/>
    <s v="Debit Card"/>
    <s v="IKEA"/>
  </r>
  <r>
    <s v="TXN101792"/>
    <x v="209"/>
    <x v="82"/>
    <x v="7"/>
    <x v="18"/>
    <x v="0"/>
    <n v="41.25"/>
    <s v="Revolut"/>
    <s v="Direct Debit"/>
    <s v="Doctor"/>
  </r>
  <r>
    <s v="TXN101257"/>
    <x v="210"/>
    <x v="26"/>
    <x v="0"/>
    <x v="1"/>
    <x v="0"/>
    <n v="54.96"/>
    <s v="Revolut"/>
    <s v="Debit Card"/>
    <s v="Local Restaurant"/>
  </r>
  <r>
    <s v="TXN101229"/>
    <x v="210"/>
    <x v="55"/>
    <x v="3"/>
    <x v="8"/>
    <x v="1"/>
    <n v="372.98"/>
    <s v="Revolut"/>
    <s v="Bank Transfer"/>
    <s v="Employer Bonus"/>
  </r>
  <r>
    <s v="TXN101566"/>
    <x v="210"/>
    <x v="36"/>
    <x v="6"/>
    <x v="15"/>
    <x v="0"/>
    <n v="56.39"/>
    <s v="Main Bank"/>
    <s v="Bank Transfer"/>
    <s v="Aral"/>
  </r>
  <r>
    <s v="TXN102837"/>
    <x v="210"/>
    <x v="9"/>
    <x v="3"/>
    <x v="6"/>
    <x v="1"/>
    <n v="674.01"/>
    <s v="Main Bank"/>
    <s v="Bank Transfer"/>
    <s v="Employer Bonus"/>
  </r>
  <r>
    <s v="TXN103242"/>
    <x v="210"/>
    <x v="36"/>
    <x v="6"/>
    <x v="15"/>
    <x v="0"/>
    <n v="33.1"/>
    <s v="Main Bank"/>
    <s v="Bank Transfer"/>
    <s v="Aral"/>
  </r>
  <r>
    <s v="TXN101426"/>
    <x v="210"/>
    <x v="9"/>
    <x v="3"/>
    <x v="6"/>
    <x v="1"/>
    <n v="598"/>
    <s v="Revolut"/>
    <s v="Debit Card"/>
    <s v="Employer Bonus"/>
  </r>
  <r>
    <s v="TXN100927"/>
    <x v="210"/>
    <x v="1"/>
    <x v="0"/>
    <x v="0"/>
    <x v="0"/>
    <n v="27.4"/>
    <s v="Main Bank"/>
    <s v="Debit Card"/>
    <s v="EDEKA"/>
  </r>
  <r>
    <s v="TXN100310"/>
    <x v="210"/>
    <x v="8"/>
    <x v="0"/>
    <x v="5"/>
    <x v="0"/>
    <n v="26.26"/>
    <s v="Main Bank"/>
    <s v="Bank Transfer"/>
    <s v="McDonald's"/>
  </r>
  <r>
    <s v="TXN101526"/>
    <x v="211"/>
    <x v="25"/>
    <x v="0"/>
    <x v="0"/>
    <x v="0"/>
    <n v="17.71"/>
    <s v="Main Bank"/>
    <s v="Debit Card"/>
    <s v="McDonald's"/>
  </r>
  <r>
    <s v="TXN102390"/>
    <x v="211"/>
    <x v="35"/>
    <x v="1"/>
    <x v="13"/>
    <x v="0"/>
    <n v="42.26"/>
    <s v="Revolut"/>
    <s v="Bank Transfer"/>
    <s v="Steam"/>
  </r>
  <r>
    <s v="TXN100863"/>
    <x v="211"/>
    <x v="85"/>
    <x v="2"/>
    <x v="16"/>
    <x v="0"/>
    <n v="190.93"/>
    <s v="Main Bank"/>
    <s v="Debit Card"/>
    <s v="IKEA"/>
  </r>
  <r>
    <s v="TXN100860"/>
    <x v="211"/>
    <x v="43"/>
    <x v="4"/>
    <x v="17"/>
    <x v="0"/>
    <n v="515.53"/>
    <s v="Revolut"/>
    <s v="Debit Card"/>
    <s v="Landlord"/>
  </r>
  <r>
    <s v="TXN101601"/>
    <x v="211"/>
    <x v="54"/>
    <x v="0"/>
    <x v="5"/>
    <x v="0"/>
    <n v="73.41"/>
    <s v="Main Bank"/>
    <s v="Credit Card"/>
    <s v="Lidl"/>
  </r>
  <r>
    <s v="TXN103095"/>
    <x v="211"/>
    <x v="26"/>
    <x v="0"/>
    <x v="1"/>
    <x v="0"/>
    <n v="26.95"/>
    <s v="Revolut"/>
    <s v="Direct Debit"/>
    <s v="Local Restaurant"/>
  </r>
  <r>
    <s v="TXN102227"/>
    <x v="211"/>
    <x v="25"/>
    <x v="0"/>
    <x v="0"/>
    <x v="0"/>
    <n v="133.32"/>
    <s v="Main Bank"/>
    <s v="Debit Card"/>
    <s v="McDonald's"/>
  </r>
  <r>
    <s v="TXN102418"/>
    <x v="212"/>
    <x v="50"/>
    <x v="4"/>
    <x v="17"/>
    <x v="0"/>
    <n v="251.94"/>
    <s v="Main Bank"/>
    <s v="Debit Card"/>
    <s v="Energy Provider"/>
  </r>
  <r>
    <s v="TXN102957"/>
    <x v="212"/>
    <x v="82"/>
    <x v="7"/>
    <x v="18"/>
    <x v="0"/>
    <n v="34.99"/>
    <s v="Revolut"/>
    <s v="Direct Debit"/>
    <s v="Doctor"/>
  </r>
  <r>
    <s v="TXN101554"/>
    <x v="212"/>
    <x v="16"/>
    <x v="3"/>
    <x v="10"/>
    <x v="1"/>
    <n v="2452.02"/>
    <s v="Revolut"/>
    <s v="Bank Transfer"/>
    <s v="Employer"/>
  </r>
  <r>
    <s v="TXN101238"/>
    <x v="212"/>
    <x v="68"/>
    <x v="2"/>
    <x v="4"/>
    <x v="0"/>
    <n v="275.74"/>
    <s v="Main Bank"/>
    <s v="Direct Debit"/>
    <s v="MediaMarkt"/>
  </r>
  <r>
    <s v="TXN101338"/>
    <x v="212"/>
    <x v="80"/>
    <x v="1"/>
    <x v="22"/>
    <x v="0"/>
    <n v="47.4"/>
    <s v="Savings"/>
    <s v="Bank Transfer"/>
    <s v="Cinema"/>
  </r>
  <r>
    <s v="TXN102176"/>
    <x v="212"/>
    <x v="31"/>
    <x v="3"/>
    <x v="6"/>
    <x v="1"/>
    <n v="610.61"/>
    <s v="Main Bank"/>
    <s v="Debit Card"/>
    <s v="Employer"/>
  </r>
  <r>
    <s v="TXN102493"/>
    <x v="212"/>
    <x v="83"/>
    <x v="5"/>
    <x v="9"/>
    <x v="0"/>
    <n v="390.82"/>
    <s v="Main Bank"/>
    <s v="Credit Card"/>
    <s v="Travel Agency"/>
  </r>
  <r>
    <s v="TXN101146"/>
    <x v="212"/>
    <x v="31"/>
    <x v="3"/>
    <x v="6"/>
    <x v="1"/>
    <n v="695.91"/>
    <s v="Main Bank"/>
    <s v="Debit Card"/>
    <s v="Employer"/>
  </r>
  <r>
    <s v="TXN102850"/>
    <x v="212"/>
    <x v="40"/>
    <x v="6"/>
    <x v="12"/>
    <x v="0"/>
    <n v="112.64"/>
    <s v="Main Bank"/>
    <s v="Debit Card"/>
    <s v="DB"/>
  </r>
  <r>
    <s v="TXN103294"/>
    <x v="212"/>
    <x v="62"/>
    <x v="2"/>
    <x v="4"/>
    <x v="0"/>
    <n v="98.35"/>
    <s v="Main Bank"/>
    <s v="Debit Card"/>
    <s v="IKEA"/>
  </r>
  <r>
    <s v="TXN100215"/>
    <x v="213"/>
    <x v="58"/>
    <x v="7"/>
    <x v="21"/>
    <x v="0"/>
    <n v="117.77"/>
    <s v="Main Bank"/>
    <s v="Debit Card"/>
    <s v="Doctor"/>
  </r>
  <r>
    <s v="TXN102477"/>
    <x v="213"/>
    <x v="34"/>
    <x v="0"/>
    <x v="5"/>
    <x v="0"/>
    <n v="27.25"/>
    <s v="Main Bank"/>
    <s v="Debit Card"/>
    <s v="Local Restaurant"/>
  </r>
  <r>
    <s v="TXN100450"/>
    <x v="213"/>
    <x v="50"/>
    <x v="4"/>
    <x v="17"/>
    <x v="0"/>
    <n v="175.31"/>
    <s v="Main Bank"/>
    <s v="Direct Debit"/>
    <s v="Energy Provider"/>
  </r>
  <r>
    <s v="TXN102534"/>
    <x v="213"/>
    <x v="38"/>
    <x v="4"/>
    <x v="7"/>
    <x v="0"/>
    <n v="157.88999999999999"/>
    <s v="Main Bank"/>
    <s v="Debit Card"/>
    <s v="Vodafone"/>
  </r>
  <r>
    <s v="TXN101576"/>
    <x v="213"/>
    <x v="43"/>
    <x v="4"/>
    <x v="17"/>
    <x v="0"/>
    <n v="219.55"/>
    <s v="Main Bank"/>
    <s v="Debit Card"/>
    <s v="Landlord"/>
  </r>
  <r>
    <s v="TXN101884"/>
    <x v="213"/>
    <x v="91"/>
    <x v="5"/>
    <x v="23"/>
    <x v="0"/>
    <n v="249.76"/>
    <s v="Revolut"/>
    <s v="Credit Card"/>
    <s v="Hotel"/>
  </r>
  <r>
    <s v="TXN100794"/>
    <x v="213"/>
    <x v="35"/>
    <x v="1"/>
    <x v="13"/>
    <x v="0"/>
    <n v="9.94"/>
    <s v="Main Bank"/>
    <s v="Debit Card"/>
    <s v="Steam"/>
  </r>
  <r>
    <s v="TXN101581"/>
    <x v="214"/>
    <x v="54"/>
    <x v="0"/>
    <x v="5"/>
    <x v="0"/>
    <n v="93.48"/>
    <s v="Revolut"/>
    <s v="Direct Debit"/>
    <s v="Lidl"/>
  </r>
  <r>
    <s v="TXN103370"/>
    <x v="214"/>
    <x v="82"/>
    <x v="7"/>
    <x v="18"/>
    <x v="0"/>
    <n v="55.9"/>
    <s v="Main Bank"/>
    <s v="Bank Transfer"/>
    <s v="Doctor"/>
  </r>
  <r>
    <s v="TXN101683"/>
    <x v="214"/>
    <x v="77"/>
    <x v="1"/>
    <x v="22"/>
    <x v="0"/>
    <n v="36.31"/>
    <s v="Main Bank"/>
    <s v="Bank Transfer"/>
    <s v="Steam"/>
  </r>
  <r>
    <s v="TXN102232"/>
    <x v="214"/>
    <x v="53"/>
    <x v="4"/>
    <x v="19"/>
    <x v="0"/>
    <n v="343.72"/>
    <s v="Revolut"/>
    <s v="Debit Card"/>
    <s v="Energy Provider"/>
  </r>
  <r>
    <s v="TXN102842"/>
    <x v="214"/>
    <x v="64"/>
    <x v="7"/>
    <x v="21"/>
    <x v="0"/>
    <n v="77.8"/>
    <s v="Main Bank"/>
    <s v="Debit Card"/>
    <s v="Pharmacy"/>
  </r>
  <r>
    <s v="TXN101391"/>
    <x v="214"/>
    <x v="29"/>
    <x v="0"/>
    <x v="1"/>
    <x v="0"/>
    <n v="70.400000000000006"/>
    <s v="Revolut"/>
    <s v="Bank Transfer"/>
    <s v="REWE"/>
  </r>
  <r>
    <s v="TXN100018"/>
    <x v="214"/>
    <x v="68"/>
    <x v="2"/>
    <x v="4"/>
    <x v="0"/>
    <n v="81.77"/>
    <s v="Savings"/>
    <s v="Cash"/>
    <s v="MediaMarkt"/>
  </r>
  <r>
    <s v="TXN100217"/>
    <x v="214"/>
    <x v="88"/>
    <x v="6"/>
    <x v="11"/>
    <x v="0"/>
    <n v="10.99"/>
    <s v="Revolut"/>
    <s v="Debit Card"/>
    <s v="Shell"/>
  </r>
  <r>
    <s v="TXN101367"/>
    <x v="215"/>
    <x v="70"/>
    <x v="7"/>
    <x v="18"/>
    <x v="0"/>
    <n v="12.89"/>
    <s v="Main Bank"/>
    <s v="Credit Card"/>
    <s v="Pharmacy"/>
  </r>
  <r>
    <s v="TXN100154"/>
    <x v="215"/>
    <x v="5"/>
    <x v="2"/>
    <x v="4"/>
    <x v="0"/>
    <n v="151.76"/>
    <s v="Main Bank"/>
    <s v="Debit Card"/>
    <s v="Amazon"/>
  </r>
  <r>
    <s v="TXN103331"/>
    <x v="215"/>
    <x v="74"/>
    <x v="1"/>
    <x v="13"/>
    <x v="0"/>
    <n v="106.68"/>
    <s v="Revolut"/>
    <s v="Cash"/>
    <s v="Cinema"/>
  </r>
  <r>
    <s v="TXN101111"/>
    <x v="215"/>
    <x v="67"/>
    <x v="3"/>
    <x v="6"/>
    <x v="1"/>
    <n v="644.85"/>
    <s v="Main Bank"/>
    <s v="Bank Transfer"/>
    <s v="Freelance Client"/>
  </r>
  <r>
    <s v="TXN100644"/>
    <x v="216"/>
    <x v="51"/>
    <x v="6"/>
    <x v="15"/>
    <x v="0"/>
    <n v="170.79"/>
    <s v="Main Bank"/>
    <s v="Debit Card"/>
    <s v="DB"/>
  </r>
  <r>
    <s v="TXN100733"/>
    <x v="216"/>
    <x v="61"/>
    <x v="1"/>
    <x v="2"/>
    <x v="0"/>
    <n v="33.020000000000003"/>
    <s v="Revolut"/>
    <s v="Debit Card"/>
    <s v="Steam"/>
  </r>
  <r>
    <s v="TXN101011"/>
    <x v="216"/>
    <x v="0"/>
    <x v="0"/>
    <x v="0"/>
    <x v="0"/>
    <n v="104.88"/>
    <s v="Revolut"/>
    <s v="Bank Transfer"/>
    <s v="Lidl"/>
  </r>
  <r>
    <s v="TXN102116"/>
    <x v="216"/>
    <x v="54"/>
    <x v="0"/>
    <x v="5"/>
    <x v="0"/>
    <n v="34.07"/>
    <s v="Main Bank"/>
    <s v="Credit Card"/>
    <s v="Lidl"/>
  </r>
  <r>
    <s v="TXN100673"/>
    <x v="217"/>
    <x v="63"/>
    <x v="4"/>
    <x v="19"/>
    <x v="0"/>
    <n v="256.55"/>
    <s v="Main Bank"/>
    <s v="Debit Card"/>
    <s v="Vodafone"/>
  </r>
  <r>
    <s v="TXN103273"/>
    <x v="217"/>
    <x v="19"/>
    <x v="7"/>
    <x v="14"/>
    <x v="0"/>
    <n v="64.81"/>
    <s v="Savings"/>
    <s v="Credit Card"/>
    <s v="Gym"/>
  </r>
  <r>
    <s v="TXN102940"/>
    <x v="217"/>
    <x v="53"/>
    <x v="4"/>
    <x v="19"/>
    <x v="0"/>
    <n v="550.84"/>
    <s v="Main Bank"/>
    <s v="Bank Transfer"/>
    <s v="Energy Provider"/>
  </r>
  <r>
    <s v="TXN102637"/>
    <x v="217"/>
    <x v="55"/>
    <x v="3"/>
    <x v="8"/>
    <x v="1"/>
    <n v="336.79"/>
    <s v="Savings"/>
    <s v="Bank Transfer"/>
    <s v="Employer Bonus"/>
  </r>
  <r>
    <s v="TXN100364"/>
    <x v="217"/>
    <x v="68"/>
    <x v="2"/>
    <x v="4"/>
    <x v="0"/>
    <n v="263.27"/>
    <s v="Main Bank"/>
    <s v="Debit Card"/>
    <s v="MediaMarkt"/>
  </r>
  <r>
    <s v="TXN100092"/>
    <x v="218"/>
    <x v="58"/>
    <x v="7"/>
    <x v="21"/>
    <x v="0"/>
    <n v="38.22"/>
    <s v="Main Bank"/>
    <s v="Bank Transfer"/>
    <s v="Doctor"/>
  </r>
  <r>
    <s v="TXN101668"/>
    <x v="218"/>
    <x v="31"/>
    <x v="3"/>
    <x v="6"/>
    <x v="1"/>
    <n v="707.49"/>
    <s v="Main Bank"/>
    <s v="Debit Card"/>
    <s v="Employer"/>
  </r>
  <r>
    <s v="TXN100717"/>
    <x v="218"/>
    <x v="9"/>
    <x v="3"/>
    <x v="6"/>
    <x v="1"/>
    <n v="713.44"/>
    <s v="Main Bank"/>
    <s v="Bank Transfer"/>
    <s v="Employer Bonus"/>
  </r>
  <r>
    <s v="TXN103178"/>
    <x v="218"/>
    <x v="9"/>
    <x v="3"/>
    <x v="6"/>
    <x v="1"/>
    <n v="779.53"/>
    <s v="Main Bank"/>
    <s v="Bank Transfer"/>
    <s v="Employer Bonus"/>
  </r>
  <r>
    <s v="TXN102794"/>
    <x v="218"/>
    <x v="25"/>
    <x v="0"/>
    <x v="0"/>
    <x v="0"/>
    <n v="15.24"/>
    <s v="Main Bank"/>
    <s v="Debit Card"/>
    <s v="McDonald's"/>
  </r>
  <r>
    <s v="TXN100441"/>
    <x v="218"/>
    <x v="43"/>
    <x v="4"/>
    <x v="17"/>
    <x v="0"/>
    <n v="115.34"/>
    <s v="Main Bank"/>
    <s v="Bank Transfer"/>
    <s v="Landlord"/>
  </r>
  <r>
    <s v="TXN100713"/>
    <x v="219"/>
    <x v="68"/>
    <x v="2"/>
    <x v="4"/>
    <x v="0"/>
    <n v="67.489999999999995"/>
    <s v="Revolut"/>
    <s v="Bank Transfer"/>
    <s v="MediaMarkt"/>
  </r>
  <r>
    <s v="TXN100857"/>
    <x v="219"/>
    <x v="63"/>
    <x v="4"/>
    <x v="19"/>
    <x v="0"/>
    <n v="286.44"/>
    <s v="Revolut"/>
    <s v="Bank Transfer"/>
    <s v="Vodafone"/>
  </r>
  <r>
    <s v="TXN101568"/>
    <x v="219"/>
    <x v="50"/>
    <x v="4"/>
    <x v="17"/>
    <x v="0"/>
    <n v="213.72"/>
    <s v="Main Bank"/>
    <s v="Debit Card"/>
    <s v="Energy Provider"/>
  </r>
  <r>
    <s v="TXN101538"/>
    <x v="219"/>
    <x v="74"/>
    <x v="1"/>
    <x v="13"/>
    <x v="0"/>
    <n v="76.47"/>
    <s v="Main Bank"/>
    <s v="Bank Transfer"/>
    <s v="Cinema"/>
  </r>
  <r>
    <s v="TXN100368"/>
    <x v="219"/>
    <x v="67"/>
    <x v="3"/>
    <x v="6"/>
    <x v="1"/>
    <n v="685.93"/>
    <s v="Main Bank"/>
    <s v="Debit Card"/>
    <s v="Freelance Client"/>
  </r>
  <r>
    <s v="TXN102910"/>
    <x v="219"/>
    <x v="81"/>
    <x v="0"/>
    <x v="5"/>
    <x v="0"/>
    <n v="155.1"/>
    <s v="Main Bank"/>
    <s v="Debit Card"/>
    <s v="REWE"/>
  </r>
  <r>
    <s v="TXN101532"/>
    <x v="219"/>
    <x v="49"/>
    <x v="1"/>
    <x v="13"/>
    <x v="0"/>
    <n v="11.23"/>
    <s v="Main Bank"/>
    <s v="Debit Card"/>
    <s v="Spotify"/>
  </r>
  <r>
    <s v="TXN100112"/>
    <x v="219"/>
    <x v="81"/>
    <x v="0"/>
    <x v="5"/>
    <x v="0"/>
    <n v="66.709999999999994"/>
    <s v="Savings"/>
    <s v="Bank Transfer"/>
    <s v="REWE"/>
  </r>
  <r>
    <s v="TXN102395"/>
    <x v="220"/>
    <x v="41"/>
    <x v="3"/>
    <x v="10"/>
    <x v="1"/>
    <n v="3091.41"/>
    <s v="Main Bank"/>
    <s v="Credit Card"/>
    <s v="Employer Bonus"/>
  </r>
  <r>
    <s v="TXN101797"/>
    <x v="220"/>
    <x v="82"/>
    <x v="7"/>
    <x v="18"/>
    <x v="0"/>
    <n v="29.69"/>
    <s v="Revolut"/>
    <s v="Debit Card"/>
    <s v="Doctor"/>
  </r>
  <r>
    <s v="TXN102101"/>
    <x v="220"/>
    <x v="31"/>
    <x v="3"/>
    <x v="6"/>
    <x v="1"/>
    <n v="640.29999999999995"/>
    <s v="Main Bank"/>
    <s v="Debit Card"/>
    <s v="Employer"/>
  </r>
  <r>
    <s v="TXN103103"/>
    <x v="221"/>
    <x v="55"/>
    <x v="3"/>
    <x v="8"/>
    <x v="1"/>
    <n v="356.2"/>
    <s v="Revolut"/>
    <s v="Debit Card"/>
    <s v="Employer Bonus"/>
  </r>
  <r>
    <s v="TXN100017"/>
    <x v="221"/>
    <x v="54"/>
    <x v="0"/>
    <x v="5"/>
    <x v="0"/>
    <n v="36.96"/>
    <s v="Main Bank"/>
    <s v="Debit Card"/>
    <s v="Lidl"/>
  </r>
  <r>
    <s v="TXN103219"/>
    <x v="221"/>
    <x v="82"/>
    <x v="7"/>
    <x v="18"/>
    <x v="0"/>
    <n v="68.84"/>
    <s v="Main Bank"/>
    <s v="Direct Debit"/>
    <s v="Doctor"/>
  </r>
  <r>
    <s v="TXN101443"/>
    <x v="221"/>
    <x v="77"/>
    <x v="1"/>
    <x v="22"/>
    <x v="0"/>
    <n v="11.22"/>
    <s v="Revolut"/>
    <s v="Debit Card"/>
    <s v="Steam"/>
  </r>
  <r>
    <s v="TXN103355"/>
    <x v="221"/>
    <x v="2"/>
    <x v="0"/>
    <x v="1"/>
    <x v="0"/>
    <n v="55.84"/>
    <s v="Main Bank"/>
    <s v="Debit Card"/>
    <s v="Lidl"/>
  </r>
  <r>
    <s v="TXN101119"/>
    <x v="221"/>
    <x v="25"/>
    <x v="0"/>
    <x v="0"/>
    <x v="0"/>
    <n v="46.83"/>
    <s v="Main Bank"/>
    <s v="Debit Card"/>
    <s v="McDonald's"/>
  </r>
  <r>
    <s v="TXN102152"/>
    <x v="221"/>
    <x v="1"/>
    <x v="0"/>
    <x v="0"/>
    <x v="0"/>
    <n v="104.12"/>
    <s v="Main Bank"/>
    <s v="Debit Card"/>
    <s v="EDEKA"/>
  </r>
  <r>
    <s v="TXN100239"/>
    <x v="222"/>
    <x v="49"/>
    <x v="1"/>
    <x v="13"/>
    <x v="0"/>
    <n v="54.36"/>
    <s v="Main Bank"/>
    <s v="Credit Card"/>
    <s v="Spotify"/>
  </r>
  <r>
    <s v="TXN102421"/>
    <x v="222"/>
    <x v="1"/>
    <x v="0"/>
    <x v="0"/>
    <x v="0"/>
    <n v="167.2"/>
    <s v="Revolut"/>
    <s v="Bank Transfer"/>
    <s v="EDEKA"/>
  </r>
  <r>
    <s v="TXN100168"/>
    <x v="222"/>
    <x v="26"/>
    <x v="0"/>
    <x v="1"/>
    <x v="0"/>
    <n v="48.72"/>
    <s v="Main Bank"/>
    <s v="Debit Card"/>
    <s v="Local Restaurant"/>
  </r>
  <r>
    <s v="TXN103174"/>
    <x v="222"/>
    <x v="7"/>
    <x v="0"/>
    <x v="0"/>
    <x v="0"/>
    <n v="83.34"/>
    <s v="Main Bank"/>
    <s v="Direct Debit"/>
    <s v="Local Restaurant"/>
  </r>
  <r>
    <s v="TXN102554"/>
    <x v="222"/>
    <x v="13"/>
    <x v="3"/>
    <x v="10"/>
    <x v="1"/>
    <n v="2348.41"/>
    <s v="Revolut"/>
    <s v="Debit Card"/>
    <s v="Freelance Client"/>
  </r>
  <r>
    <s v="TXN103120"/>
    <x v="222"/>
    <x v="48"/>
    <x v="0"/>
    <x v="5"/>
    <x v="0"/>
    <n v="58.69"/>
    <s v="Revolut"/>
    <s v="Credit Card"/>
    <s v="EDEKA"/>
  </r>
  <r>
    <s v="TXN102989"/>
    <x v="223"/>
    <x v="64"/>
    <x v="7"/>
    <x v="21"/>
    <x v="0"/>
    <n v="35.200000000000003"/>
    <s v="Main Bank"/>
    <s v="Debit Card"/>
    <s v="Pharmacy"/>
  </r>
  <r>
    <s v="TXN100649"/>
    <x v="223"/>
    <x v="87"/>
    <x v="5"/>
    <x v="20"/>
    <x v="0"/>
    <n v="340.43"/>
    <s v="Savings"/>
    <s v="Bank Transfer"/>
    <s v="Booking.com"/>
  </r>
  <r>
    <s v="TXN102441"/>
    <x v="223"/>
    <x v="68"/>
    <x v="2"/>
    <x v="4"/>
    <x v="0"/>
    <n v="34.56"/>
    <s v="Revolut"/>
    <s v="Bank Transfer"/>
    <s v="MediaMarkt"/>
  </r>
  <r>
    <s v="TXN102744"/>
    <x v="223"/>
    <x v="2"/>
    <x v="0"/>
    <x v="1"/>
    <x v="0"/>
    <n v="15.42"/>
    <s v="Main Bank"/>
    <s v="Credit Card"/>
    <s v="Lidl"/>
  </r>
  <r>
    <s v="TXN100759"/>
    <x v="223"/>
    <x v="41"/>
    <x v="3"/>
    <x v="10"/>
    <x v="1"/>
    <n v="2557.5"/>
    <s v="Main Bank"/>
    <s v="Debit Card"/>
    <s v="Employer Bonus"/>
  </r>
  <r>
    <s v="TXN101332"/>
    <x v="223"/>
    <x v="39"/>
    <x v="7"/>
    <x v="14"/>
    <x v="0"/>
    <n v="28.76"/>
    <s v="Main Bank"/>
    <s v="Debit Card"/>
    <s v="Doctor"/>
  </r>
  <r>
    <s v="TXN103340"/>
    <x v="223"/>
    <x v="35"/>
    <x v="1"/>
    <x v="13"/>
    <x v="0"/>
    <n v="12.05"/>
    <s v="Main Bank"/>
    <s v="Bank Transfer"/>
    <s v="Steam"/>
  </r>
  <r>
    <s v="TXN102932"/>
    <x v="223"/>
    <x v="76"/>
    <x v="1"/>
    <x v="22"/>
    <x v="0"/>
    <n v="29.44"/>
    <s v="Main Bank"/>
    <s v="Bank Transfer"/>
    <s v="Netflix"/>
  </r>
  <r>
    <s v="TXN102588"/>
    <x v="224"/>
    <x v="49"/>
    <x v="1"/>
    <x v="13"/>
    <x v="0"/>
    <n v="25.89"/>
    <s v="Revolut"/>
    <s v="Bank Transfer"/>
    <s v="Spotify"/>
  </r>
  <r>
    <s v="TXN100727"/>
    <x v="224"/>
    <x v="26"/>
    <x v="0"/>
    <x v="1"/>
    <x v="0"/>
    <n v="36.049999999999997"/>
    <s v="Main Bank"/>
    <s v="Credit Card"/>
    <s v="Local Restaurant"/>
  </r>
  <r>
    <s v="TXN101053"/>
    <x v="224"/>
    <x v="31"/>
    <x v="3"/>
    <x v="6"/>
    <x v="1"/>
    <n v="695.42"/>
    <s v="Main Bank"/>
    <s v="Debit Card"/>
    <s v="Employer"/>
  </r>
  <r>
    <s v="TXN100807"/>
    <x v="224"/>
    <x v="9"/>
    <x v="3"/>
    <x v="6"/>
    <x v="1"/>
    <n v="691.91"/>
    <s v="Revolut"/>
    <s v="Bank Transfer"/>
    <s v="Employer Bonus"/>
  </r>
  <r>
    <s v="TXN101410"/>
    <x v="224"/>
    <x v="72"/>
    <x v="3"/>
    <x v="8"/>
    <x v="1"/>
    <n v="317.17"/>
    <s v="Main Bank"/>
    <s v="Bank Transfer"/>
    <s v="Employer"/>
  </r>
  <r>
    <s v="TXN103480"/>
    <x v="224"/>
    <x v="40"/>
    <x v="6"/>
    <x v="12"/>
    <x v="0"/>
    <n v="20.2"/>
    <s v="Savings"/>
    <s v="Debit Card"/>
    <s v="DB"/>
  </r>
  <r>
    <s v="TXN102008"/>
    <x v="225"/>
    <x v="89"/>
    <x v="5"/>
    <x v="23"/>
    <x v="0"/>
    <n v="403.77"/>
    <s v="Main Bank"/>
    <s v="Credit Card"/>
    <s v="Lufthansa"/>
  </r>
  <r>
    <s v="TXN102997"/>
    <x v="225"/>
    <x v="6"/>
    <x v="0"/>
    <x v="1"/>
    <x v="0"/>
    <n v="24.31"/>
    <s v="Main Bank"/>
    <s v="Credit Card"/>
    <s v="McDonald's"/>
  </r>
  <r>
    <s v="TXN101510"/>
    <x v="225"/>
    <x v="79"/>
    <x v="5"/>
    <x v="23"/>
    <x v="0"/>
    <n v="803.96"/>
    <s v="Revolut"/>
    <s v="Bank Transfer"/>
    <s v="Travel Agency"/>
  </r>
  <r>
    <s v="TXN101596"/>
    <x v="225"/>
    <x v="68"/>
    <x v="2"/>
    <x v="4"/>
    <x v="0"/>
    <n v="147.37"/>
    <s v="Main Bank"/>
    <s v="Credit Card"/>
    <s v="MediaMarkt"/>
  </r>
  <r>
    <s v="TXN100003"/>
    <x v="225"/>
    <x v="84"/>
    <x v="7"/>
    <x v="21"/>
    <x v="0"/>
    <n v="32.5"/>
    <s v="Revolut"/>
    <s v="Credit Card"/>
    <s v="Gym"/>
  </r>
  <r>
    <s v="TXN101490"/>
    <x v="225"/>
    <x v="85"/>
    <x v="2"/>
    <x v="16"/>
    <x v="0"/>
    <n v="89.7"/>
    <s v="Main Bank"/>
    <s v="Debit Card"/>
    <s v="IKEA"/>
  </r>
  <r>
    <s v="TXN100087"/>
    <x v="226"/>
    <x v="70"/>
    <x v="7"/>
    <x v="18"/>
    <x v="0"/>
    <n v="96.16"/>
    <s v="Main Bank"/>
    <s v="Credit Card"/>
    <s v="Pharmacy"/>
  </r>
  <r>
    <s v="TXN100878"/>
    <x v="226"/>
    <x v="65"/>
    <x v="1"/>
    <x v="2"/>
    <x v="0"/>
    <n v="15.47"/>
    <s v="Main Bank"/>
    <s v="Debit Card"/>
    <s v="Netflix"/>
  </r>
  <r>
    <s v="TXN102541"/>
    <x v="226"/>
    <x v="76"/>
    <x v="1"/>
    <x v="22"/>
    <x v="0"/>
    <n v="27.92"/>
    <s v="Revolut"/>
    <s v="Debit Card"/>
    <s v="Netflix"/>
  </r>
  <r>
    <s v="TXN100571"/>
    <x v="226"/>
    <x v="44"/>
    <x v="2"/>
    <x v="16"/>
    <x v="0"/>
    <n v="98.15"/>
    <s v="Revolut"/>
    <s v="Credit Card"/>
    <s v="Zalando"/>
  </r>
  <r>
    <s v="TXN103302"/>
    <x v="226"/>
    <x v="13"/>
    <x v="3"/>
    <x v="10"/>
    <x v="1"/>
    <n v="2360.08"/>
    <s v="Revolut"/>
    <s v="Credit Card"/>
    <s v="Freelance Client"/>
  </r>
  <r>
    <s v="TXN100159"/>
    <x v="226"/>
    <x v="48"/>
    <x v="0"/>
    <x v="5"/>
    <x v="0"/>
    <n v="69.94"/>
    <s v="Main Bank"/>
    <s v="Credit Card"/>
    <s v="EDEKA"/>
  </r>
  <r>
    <s v="TXN101867"/>
    <x v="226"/>
    <x v="43"/>
    <x v="4"/>
    <x v="17"/>
    <x v="0"/>
    <n v="321.36"/>
    <s v="Main Bank"/>
    <s v="Debit Card"/>
    <s v="Landlord"/>
  </r>
  <r>
    <s v="TXN101629"/>
    <x v="227"/>
    <x v="63"/>
    <x v="4"/>
    <x v="19"/>
    <x v="0"/>
    <n v="94.06"/>
    <s v="Main Bank"/>
    <s v="Credit Card"/>
    <s v="Vodafone"/>
  </r>
  <r>
    <s v="TXN102929"/>
    <x v="227"/>
    <x v="70"/>
    <x v="7"/>
    <x v="18"/>
    <x v="0"/>
    <n v="21.77"/>
    <s v="Main Bank"/>
    <s v="Debit Card"/>
    <s v="Pharmacy"/>
  </r>
  <r>
    <s v="TXN102904"/>
    <x v="227"/>
    <x v="52"/>
    <x v="6"/>
    <x v="11"/>
    <x v="0"/>
    <n v="17.32"/>
    <s v="Main Bank"/>
    <s v="Bank Transfer"/>
    <s v="Local Transit"/>
  </r>
  <r>
    <s v="TXN102215"/>
    <x v="227"/>
    <x v="28"/>
    <x v="7"/>
    <x v="14"/>
    <x v="0"/>
    <n v="77.06"/>
    <s v="Savings"/>
    <s v="Bank Transfer"/>
    <s v="Pharmacy"/>
  </r>
  <r>
    <s v="TXN101926"/>
    <x v="228"/>
    <x v="53"/>
    <x v="4"/>
    <x v="19"/>
    <x v="0"/>
    <n v="229.14"/>
    <s v="Main Bank"/>
    <s v="Cash"/>
    <s v="Energy Provider"/>
  </r>
  <r>
    <s v="TXN100902"/>
    <x v="228"/>
    <x v="47"/>
    <x v="4"/>
    <x v="19"/>
    <x v="0"/>
    <n v="681.59"/>
    <s v="Main Bank"/>
    <s v="Bank Transfer"/>
    <s v="Landlord"/>
  </r>
  <r>
    <s v="TXN101396"/>
    <x v="228"/>
    <x v="16"/>
    <x v="3"/>
    <x v="10"/>
    <x v="1"/>
    <n v="2817.93"/>
    <s v="Main Bank"/>
    <s v="Bank Transfer"/>
    <s v="Employer"/>
  </r>
  <r>
    <s v="TXN100010"/>
    <x v="228"/>
    <x v="58"/>
    <x v="7"/>
    <x v="21"/>
    <x v="0"/>
    <n v="189.75"/>
    <s v="Savings"/>
    <s v="Credit Card"/>
    <s v="Doctor"/>
  </r>
  <r>
    <s v="TXN100406"/>
    <x v="228"/>
    <x v="11"/>
    <x v="3"/>
    <x v="8"/>
    <x v="1"/>
    <n v="318.32"/>
    <s v="Main Bank"/>
    <s v="Credit Card"/>
    <s v="Freelance Client"/>
  </r>
  <r>
    <s v="TXN101984"/>
    <x v="228"/>
    <x v="85"/>
    <x v="2"/>
    <x v="16"/>
    <x v="0"/>
    <n v="80.47"/>
    <s v="Main Bank"/>
    <s v="Debit Card"/>
    <s v="IKEA"/>
  </r>
  <r>
    <s v="TXN103489"/>
    <x v="228"/>
    <x v="47"/>
    <x v="4"/>
    <x v="19"/>
    <x v="0"/>
    <n v="950"/>
    <s v="Main Bank"/>
    <s v="Credit Card"/>
    <s v="Landlord"/>
  </r>
  <r>
    <s v="TXN103474"/>
    <x v="228"/>
    <x v="82"/>
    <x v="7"/>
    <x v="18"/>
    <x v="0"/>
    <n v="23.2"/>
    <s v="Main Bank"/>
    <s v="Credit Card"/>
    <s v="Doctor"/>
  </r>
  <r>
    <s v="TXN103071"/>
    <x v="229"/>
    <x v="19"/>
    <x v="7"/>
    <x v="14"/>
    <x v="0"/>
    <n v="24.4"/>
    <s v="Revolut"/>
    <s v="Debit Card"/>
    <s v="Gym"/>
  </r>
  <r>
    <s v="TXN100636"/>
    <x v="229"/>
    <x v="62"/>
    <x v="2"/>
    <x v="4"/>
    <x v="0"/>
    <n v="90.59"/>
    <s v="Revolut"/>
    <s v="Debit Card"/>
    <s v="IKEA"/>
  </r>
  <r>
    <s v="TXN103450"/>
    <x v="229"/>
    <x v="50"/>
    <x v="4"/>
    <x v="17"/>
    <x v="0"/>
    <n v="593.57000000000005"/>
    <s v="Main Bank"/>
    <s v="Bank Transfer"/>
    <s v="Energy Provider"/>
  </r>
  <r>
    <s v="TXN100019"/>
    <x v="229"/>
    <x v="73"/>
    <x v="6"/>
    <x v="12"/>
    <x v="0"/>
    <n v="43.39"/>
    <s v="Revolut"/>
    <s v="Debit Card"/>
    <s v="Aral"/>
  </r>
  <r>
    <s v="TXN102763"/>
    <x v="229"/>
    <x v="61"/>
    <x v="1"/>
    <x v="2"/>
    <x v="0"/>
    <n v="23.99"/>
    <s v="Main Bank"/>
    <s v="Debit Card"/>
    <s v="Steam"/>
  </r>
  <r>
    <s v="TXN100786"/>
    <x v="229"/>
    <x v="67"/>
    <x v="3"/>
    <x v="6"/>
    <x v="1"/>
    <n v="645.88"/>
    <s v="Main Bank"/>
    <s v="Debit Card"/>
    <s v="Freelance Client"/>
  </r>
  <r>
    <s v="TXN100517"/>
    <x v="229"/>
    <x v="37"/>
    <x v="6"/>
    <x v="12"/>
    <x v="0"/>
    <n v="48.6"/>
    <s v="Main Bank"/>
    <s v="Cash"/>
    <s v="Shell"/>
  </r>
  <r>
    <s v="TXN101585"/>
    <x v="230"/>
    <x v="31"/>
    <x v="3"/>
    <x v="6"/>
    <x v="1"/>
    <n v="523.52"/>
    <s v="Revolut"/>
    <s v="Bank Transfer"/>
    <s v="Employer"/>
  </r>
  <r>
    <s v="TXN102427"/>
    <x v="230"/>
    <x v="75"/>
    <x v="4"/>
    <x v="7"/>
    <x v="0"/>
    <n v="115.82"/>
    <s v="Revolut"/>
    <s v="Debit Card"/>
    <s v="Energy Provider"/>
  </r>
  <r>
    <s v="TXN101044"/>
    <x v="230"/>
    <x v="3"/>
    <x v="1"/>
    <x v="2"/>
    <x v="0"/>
    <n v="5"/>
    <s v="Main Bank"/>
    <s v="Bank Transfer"/>
    <s v="Spotify"/>
  </r>
  <r>
    <s v="TXN103241"/>
    <x v="230"/>
    <x v="78"/>
    <x v="6"/>
    <x v="15"/>
    <x v="0"/>
    <n v="31.04"/>
    <s v="Savings"/>
    <s v="Debit Card"/>
    <s v="Auto Service"/>
  </r>
  <r>
    <s v="TXN100531"/>
    <x v="230"/>
    <x v="11"/>
    <x v="3"/>
    <x v="8"/>
    <x v="1"/>
    <n v="311.06"/>
    <s v="Main Bank"/>
    <s v="Debit Card"/>
    <s v="Freelance Client"/>
  </r>
  <r>
    <s v="TXN102254"/>
    <x v="230"/>
    <x v="55"/>
    <x v="3"/>
    <x v="8"/>
    <x v="1"/>
    <n v="357.36"/>
    <s v="Main Bank"/>
    <s v="Direct Debit"/>
    <s v="Employer Bonus"/>
  </r>
  <r>
    <s v="TXN102994"/>
    <x v="231"/>
    <x v="17"/>
    <x v="6"/>
    <x v="12"/>
    <x v="0"/>
    <n v="71.27"/>
    <s v="Main Bank"/>
    <s v="Direct Debit"/>
    <s v="Auto Service"/>
  </r>
  <r>
    <s v="TXN100557"/>
    <x v="231"/>
    <x v="81"/>
    <x v="0"/>
    <x v="5"/>
    <x v="0"/>
    <n v="155.83000000000001"/>
    <s v="Revolut"/>
    <s v="Debit Card"/>
    <s v="REWE"/>
  </r>
  <r>
    <s v="TXN101235"/>
    <x v="231"/>
    <x v="80"/>
    <x v="1"/>
    <x v="22"/>
    <x v="0"/>
    <n v="22.9"/>
    <s v="Main Bank"/>
    <s v="Credit Card"/>
    <s v="Cinema"/>
  </r>
  <r>
    <s v="TXN103248"/>
    <x v="231"/>
    <x v="51"/>
    <x v="6"/>
    <x v="15"/>
    <x v="0"/>
    <n v="37.33"/>
    <s v="Revolut"/>
    <s v="Bank Transfer"/>
    <s v="DB"/>
  </r>
  <r>
    <s v="TXN101673"/>
    <x v="231"/>
    <x v="31"/>
    <x v="3"/>
    <x v="6"/>
    <x v="1"/>
    <n v="643.51"/>
    <s v="Main Bank"/>
    <s v="Direct Debit"/>
    <s v="Employer"/>
  </r>
  <r>
    <s v="TXN103418"/>
    <x v="231"/>
    <x v="61"/>
    <x v="1"/>
    <x v="2"/>
    <x v="0"/>
    <n v="29.56"/>
    <s v="Savings"/>
    <s v="Credit Card"/>
    <s v="Steam"/>
  </r>
  <r>
    <s v="TXN101890"/>
    <x v="232"/>
    <x v="31"/>
    <x v="3"/>
    <x v="6"/>
    <x v="1"/>
    <n v="636.99"/>
    <s v="Main Bank"/>
    <s v="Debit Card"/>
    <s v="Employer"/>
  </r>
  <r>
    <s v="TXN100352"/>
    <x v="232"/>
    <x v="13"/>
    <x v="3"/>
    <x v="10"/>
    <x v="1"/>
    <n v="2221.04"/>
    <s v="Savings"/>
    <s v="Debit Card"/>
    <s v="Freelance Client"/>
  </r>
  <r>
    <s v="TXN102522"/>
    <x v="232"/>
    <x v="25"/>
    <x v="0"/>
    <x v="0"/>
    <x v="0"/>
    <n v="35.33"/>
    <s v="Main Bank"/>
    <s v="Credit Card"/>
    <s v="McDonald's"/>
  </r>
  <r>
    <s v="TXN100187"/>
    <x v="232"/>
    <x v="16"/>
    <x v="3"/>
    <x v="10"/>
    <x v="1"/>
    <n v="2804.54"/>
    <s v="Revolut"/>
    <s v="Debit Card"/>
    <s v="Employer"/>
  </r>
  <r>
    <s v="TXN101431"/>
    <x v="232"/>
    <x v="57"/>
    <x v="2"/>
    <x v="3"/>
    <x v="0"/>
    <n v="138.15"/>
    <s v="Main Bank"/>
    <s v="Debit Card"/>
    <s v="IKEA"/>
  </r>
  <r>
    <s v="TXN101675"/>
    <x v="232"/>
    <x v="92"/>
    <x v="5"/>
    <x v="20"/>
    <x v="0"/>
    <n v="337.6"/>
    <s v="Main Bank"/>
    <s v="Credit Card"/>
    <s v="Travel Agency"/>
  </r>
  <r>
    <s v="TXN100674"/>
    <x v="232"/>
    <x v="85"/>
    <x v="2"/>
    <x v="16"/>
    <x v="0"/>
    <n v="66.540000000000006"/>
    <s v="Main Bank"/>
    <s v="Debit Card"/>
    <s v="IKEA"/>
  </r>
  <r>
    <s v="TXN101283"/>
    <x v="232"/>
    <x v="22"/>
    <x v="2"/>
    <x v="4"/>
    <x v="0"/>
    <n v="135.02000000000001"/>
    <s v="Savings"/>
    <s v="Cash"/>
    <s v="Zalando"/>
  </r>
  <r>
    <s v="TXN102284"/>
    <x v="232"/>
    <x v="63"/>
    <x v="4"/>
    <x v="19"/>
    <x v="0"/>
    <n v="100.2"/>
    <s v="Main Bank"/>
    <s v="Bank Transfer"/>
    <s v="Vodafone"/>
  </r>
  <r>
    <s v="TXN102391"/>
    <x v="232"/>
    <x v="30"/>
    <x v="6"/>
    <x v="11"/>
    <x v="0"/>
    <n v="180.76"/>
    <s v="Main Bank"/>
    <s v="Debit Card"/>
    <s v="DB"/>
  </r>
  <r>
    <s v="TXN101622"/>
    <x v="233"/>
    <x v="38"/>
    <x v="4"/>
    <x v="7"/>
    <x v="0"/>
    <n v="194.23"/>
    <s v="Main Bank"/>
    <s v="Credit Card"/>
    <s v="Vodafone"/>
  </r>
  <r>
    <s v="TXN100143"/>
    <x v="233"/>
    <x v="33"/>
    <x v="2"/>
    <x v="16"/>
    <x v="0"/>
    <n v="227.87"/>
    <s v="Revolut"/>
    <s v="Debit Card"/>
    <s v="Amazon"/>
  </r>
  <r>
    <s v="TXN101640"/>
    <x v="233"/>
    <x v="16"/>
    <x v="3"/>
    <x v="10"/>
    <x v="1"/>
    <n v="2294.94"/>
    <s v="Main Bank"/>
    <s v="Debit Card"/>
    <s v="Employer"/>
  </r>
  <r>
    <s v="TXN100494"/>
    <x v="234"/>
    <x v="29"/>
    <x v="0"/>
    <x v="1"/>
    <x v="0"/>
    <n v="51.6"/>
    <s v="Main Bank"/>
    <s v="Debit Card"/>
    <s v="REWE"/>
  </r>
  <r>
    <s v="TXN101010"/>
    <x v="234"/>
    <x v="4"/>
    <x v="2"/>
    <x v="3"/>
    <x v="0"/>
    <n v="142.96"/>
    <s v="Main Bank"/>
    <s v="Credit Card"/>
    <s v="Zalando"/>
  </r>
  <r>
    <s v="TXN101479"/>
    <x v="235"/>
    <x v="89"/>
    <x v="5"/>
    <x v="23"/>
    <x v="0"/>
    <n v="216.23"/>
    <s v="Revolut"/>
    <s v="Credit Card"/>
    <s v="Lufthansa"/>
  </r>
  <r>
    <s v="TXN101213"/>
    <x v="235"/>
    <x v="26"/>
    <x v="0"/>
    <x v="1"/>
    <x v="0"/>
    <n v="46.25"/>
    <s v="Revolut"/>
    <s v="Cash"/>
    <s v="Local Restaurant"/>
  </r>
  <r>
    <s v="TXN100711"/>
    <x v="235"/>
    <x v="89"/>
    <x v="5"/>
    <x v="23"/>
    <x v="0"/>
    <n v="235.72"/>
    <s v="Main Bank"/>
    <s v="Debit Card"/>
    <s v="Lufthansa"/>
  </r>
  <r>
    <s v="TXN101967"/>
    <x v="236"/>
    <x v="25"/>
    <x v="0"/>
    <x v="0"/>
    <x v="0"/>
    <n v="72.02"/>
    <s v="Revolut"/>
    <s v="Debit Card"/>
    <s v="McDonald's"/>
  </r>
  <r>
    <s v="TXN101323"/>
    <x v="236"/>
    <x v="41"/>
    <x v="3"/>
    <x v="10"/>
    <x v="1"/>
    <n v="2761.94"/>
    <s v="Main Bank"/>
    <s v="Bank Transfer"/>
    <s v="Employer Bonus"/>
  </r>
  <r>
    <s v="TXN101343"/>
    <x v="236"/>
    <x v="16"/>
    <x v="3"/>
    <x v="10"/>
    <x v="1"/>
    <n v="1827.74"/>
    <s v="Main Bank"/>
    <s v="Bank Transfer"/>
    <s v="Employer"/>
  </r>
  <r>
    <s v="TXN103408"/>
    <x v="236"/>
    <x v="13"/>
    <x v="3"/>
    <x v="10"/>
    <x v="1"/>
    <n v="2460.9299999999998"/>
    <s v="Main Bank"/>
    <s v="Debit Card"/>
    <s v="Freelance Client"/>
  </r>
  <r>
    <s v="TXN101068"/>
    <x v="236"/>
    <x v="53"/>
    <x v="4"/>
    <x v="19"/>
    <x v="0"/>
    <n v="152.82"/>
    <s v="Main Bank"/>
    <s v="Bank Transfer"/>
    <s v="Energy Provider"/>
  </r>
  <r>
    <s v="TXN100622"/>
    <x v="236"/>
    <x v="29"/>
    <x v="0"/>
    <x v="1"/>
    <x v="0"/>
    <n v="22.07"/>
    <s v="Savings"/>
    <s v="Bank Transfer"/>
    <s v="REWE"/>
  </r>
  <r>
    <s v="TXN102203"/>
    <x v="236"/>
    <x v="36"/>
    <x v="6"/>
    <x v="15"/>
    <x v="0"/>
    <n v="27.73"/>
    <s v="Main Bank"/>
    <s v="Debit Card"/>
    <s v="Aral"/>
  </r>
  <r>
    <s v="TXN102918"/>
    <x v="237"/>
    <x v="16"/>
    <x v="3"/>
    <x v="10"/>
    <x v="1"/>
    <n v="2941.93"/>
    <s v="Main Bank"/>
    <s v="Debit Card"/>
    <s v="Employer"/>
  </r>
  <r>
    <s v="TXN102526"/>
    <x v="237"/>
    <x v="25"/>
    <x v="0"/>
    <x v="0"/>
    <x v="0"/>
    <n v="26.68"/>
    <s v="Main Bank"/>
    <s v="Bank Transfer"/>
    <s v="McDonald's"/>
  </r>
  <r>
    <s v="TXN102127"/>
    <x v="237"/>
    <x v="18"/>
    <x v="1"/>
    <x v="13"/>
    <x v="0"/>
    <n v="36.78"/>
    <s v="Revolut"/>
    <s v="Debit Card"/>
    <s v="Netflix"/>
  </r>
  <r>
    <s v="TXN101990"/>
    <x v="237"/>
    <x v="70"/>
    <x v="7"/>
    <x v="18"/>
    <x v="0"/>
    <n v="38.43"/>
    <s v="Main Bank"/>
    <s v="Direct Debit"/>
    <s v="Pharmacy"/>
  </r>
  <r>
    <s v="TXN101047"/>
    <x v="237"/>
    <x v="14"/>
    <x v="0"/>
    <x v="0"/>
    <x v="0"/>
    <n v="26.92"/>
    <s v="Main Bank"/>
    <s v="Credit Card"/>
    <s v="REWE"/>
  </r>
  <r>
    <s v="TXN102979"/>
    <x v="237"/>
    <x v="70"/>
    <x v="7"/>
    <x v="18"/>
    <x v="0"/>
    <n v="41.43"/>
    <s v="Revolut"/>
    <s v="Bank Transfer"/>
    <s v="Pharmacy"/>
  </r>
  <r>
    <s v="TXN103173"/>
    <x v="237"/>
    <x v="14"/>
    <x v="0"/>
    <x v="0"/>
    <x v="0"/>
    <n v="24.52"/>
    <s v="Main Bank"/>
    <s v="Credit Card"/>
    <s v="REWE"/>
  </r>
  <r>
    <s v="TXN102872"/>
    <x v="237"/>
    <x v="67"/>
    <x v="3"/>
    <x v="6"/>
    <x v="1"/>
    <n v="639.86"/>
    <s v="Main Bank"/>
    <s v="Bank Transfer"/>
    <s v="Freelance Client"/>
  </r>
  <r>
    <s v="TXN103127"/>
    <x v="237"/>
    <x v="3"/>
    <x v="1"/>
    <x v="2"/>
    <x v="0"/>
    <n v="35.409999999999997"/>
    <s v="Main Bank"/>
    <s v="Debit Card"/>
    <s v="Spotify"/>
  </r>
  <r>
    <s v="TXN100073"/>
    <x v="237"/>
    <x v="10"/>
    <x v="4"/>
    <x v="7"/>
    <x v="0"/>
    <n v="65.63"/>
    <s v="Main Bank"/>
    <s v="Debit Card"/>
    <s v="Landlord"/>
  </r>
  <r>
    <s v="TXN102844"/>
    <x v="237"/>
    <x v="16"/>
    <x v="3"/>
    <x v="10"/>
    <x v="1"/>
    <n v="2721.59"/>
    <s v="Main Bank"/>
    <s v="Debit Card"/>
    <s v="Employer"/>
  </r>
  <r>
    <s v="TXN103334"/>
    <x v="238"/>
    <x v="14"/>
    <x v="0"/>
    <x v="0"/>
    <x v="0"/>
    <n v="47.98"/>
    <s v="Main Bank"/>
    <s v="Bank Transfer"/>
    <s v="REWE"/>
  </r>
  <r>
    <s v="TXN100126"/>
    <x v="238"/>
    <x v="36"/>
    <x v="6"/>
    <x v="15"/>
    <x v="0"/>
    <n v="67.38"/>
    <s v="Main Bank"/>
    <s v="Credit Card"/>
    <s v="Aral"/>
  </r>
  <r>
    <s v="TXN102021"/>
    <x v="238"/>
    <x v="16"/>
    <x v="3"/>
    <x v="10"/>
    <x v="1"/>
    <n v="2610.86"/>
    <s v="Main Bank"/>
    <s v="Direct Debit"/>
    <s v="Employer"/>
  </r>
  <r>
    <s v="TXN101740"/>
    <x v="238"/>
    <x v="37"/>
    <x v="6"/>
    <x v="12"/>
    <x v="0"/>
    <n v="32.909999999999997"/>
    <s v="Main Bank"/>
    <s v="Credit Card"/>
    <s v="Shell"/>
  </r>
  <r>
    <s v="TXN101819"/>
    <x v="238"/>
    <x v="74"/>
    <x v="1"/>
    <x v="13"/>
    <x v="0"/>
    <n v="22.23"/>
    <s v="Main Bank"/>
    <s v="Debit Card"/>
    <s v="Cinema"/>
  </r>
  <r>
    <s v="TXN103260"/>
    <x v="238"/>
    <x v="31"/>
    <x v="3"/>
    <x v="6"/>
    <x v="1"/>
    <n v="791.44"/>
    <s v="Main Bank"/>
    <s v="Bank Transfer"/>
    <s v="Employer"/>
  </r>
  <r>
    <s v="TXN101442"/>
    <x v="239"/>
    <x v="75"/>
    <x v="4"/>
    <x v="7"/>
    <x v="0"/>
    <n v="147.03"/>
    <s v="Main Bank"/>
    <s v="Debit Card"/>
    <s v="Energy Provider"/>
  </r>
  <r>
    <s v="TXN102568"/>
    <x v="239"/>
    <x v="81"/>
    <x v="0"/>
    <x v="5"/>
    <x v="0"/>
    <n v="74.19"/>
    <s v="Main Bank"/>
    <s v="Debit Card"/>
    <s v="REWE"/>
  </r>
  <r>
    <s v="TXN100568"/>
    <x v="239"/>
    <x v="15"/>
    <x v="6"/>
    <x v="11"/>
    <x v="0"/>
    <n v="98.68"/>
    <s v="Main Bank"/>
    <s v="Debit Card"/>
    <s v="Auto Service"/>
  </r>
  <r>
    <s v="TXN100410"/>
    <x v="239"/>
    <x v="63"/>
    <x v="4"/>
    <x v="19"/>
    <x v="0"/>
    <n v="86.22"/>
    <s v="Main Bank"/>
    <s v="Direct Debit"/>
    <s v="Vodafone"/>
  </r>
  <r>
    <s v="TXN103357"/>
    <x v="239"/>
    <x v="58"/>
    <x v="7"/>
    <x v="21"/>
    <x v="0"/>
    <n v="41.5"/>
    <s v="Main Bank"/>
    <s v="Bank Transfer"/>
    <s v="Doctor"/>
  </r>
  <r>
    <s v="TXN103214"/>
    <x v="239"/>
    <x v="58"/>
    <x v="7"/>
    <x v="21"/>
    <x v="0"/>
    <n v="189.06"/>
    <s v="Main Bank"/>
    <s v="Debit Card"/>
    <s v="Doctor"/>
  </r>
  <r>
    <s v="TXN100749"/>
    <x v="240"/>
    <x v="9"/>
    <x v="3"/>
    <x v="6"/>
    <x v="1"/>
    <n v="750.62"/>
    <s v="Main Bank"/>
    <s v="Direct Debit"/>
    <s v="Employer Bonus"/>
  </r>
  <r>
    <s v="TXN102243"/>
    <x v="240"/>
    <x v="24"/>
    <x v="2"/>
    <x v="16"/>
    <x v="0"/>
    <n v="149.18"/>
    <s v="Revolut"/>
    <s v="Debit Card"/>
    <s v="MediaMarkt"/>
  </r>
  <r>
    <s v="TXN101399"/>
    <x v="240"/>
    <x v="80"/>
    <x v="1"/>
    <x v="22"/>
    <x v="0"/>
    <n v="15.64"/>
    <s v="Revolut"/>
    <s v="Debit Card"/>
    <s v="Cinema"/>
  </r>
  <r>
    <s v="TXN102416"/>
    <x v="240"/>
    <x v="55"/>
    <x v="3"/>
    <x v="8"/>
    <x v="1"/>
    <n v="366.37"/>
    <s v="Main Bank"/>
    <s v="Debit Card"/>
    <s v="Employer Bonus"/>
  </r>
  <r>
    <s v="TXN100834"/>
    <x v="240"/>
    <x v="1"/>
    <x v="0"/>
    <x v="0"/>
    <x v="0"/>
    <n v="180"/>
    <s v="Revolut"/>
    <s v="Cash"/>
    <s v="EDEKA"/>
  </r>
  <r>
    <s v="TXN101912"/>
    <x v="241"/>
    <x v="13"/>
    <x v="3"/>
    <x v="10"/>
    <x v="1"/>
    <n v="2790.85"/>
    <s v="Main Bank"/>
    <s v="Bank Transfer"/>
    <s v="Freelance Client"/>
  </r>
  <r>
    <s v="TXN102012"/>
    <x v="241"/>
    <x v="38"/>
    <x v="4"/>
    <x v="7"/>
    <x v="0"/>
    <n v="449.47"/>
    <s v="Main Bank"/>
    <s v="Debit Card"/>
    <s v="Vodafone"/>
  </r>
  <r>
    <s v="TXN103163"/>
    <x v="241"/>
    <x v="81"/>
    <x v="0"/>
    <x v="5"/>
    <x v="0"/>
    <n v="53.04"/>
    <s v="Main Bank"/>
    <s v="Debit Card"/>
    <s v="REWE"/>
  </r>
  <r>
    <s v="TXN100871"/>
    <x v="241"/>
    <x v="42"/>
    <x v="6"/>
    <x v="15"/>
    <x v="0"/>
    <n v="90.76"/>
    <s v="Revolut"/>
    <s v="Bank Transfer"/>
    <s v="Local Transit"/>
  </r>
  <r>
    <s v="TXN102350"/>
    <x v="242"/>
    <x v="53"/>
    <x v="4"/>
    <x v="19"/>
    <x v="0"/>
    <n v="312.68"/>
    <s v="Revolut"/>
    <s v="Debit Card"/>
    <s v="Energy Provider"/>
  </r>
  <r>
    <s v="TXN102041"/>
    <x v="242"/>
    <x v="13"/>
    <x v="3"/>
    <x v="10"/>
    <x v="1"/>
    <n v="2493.4699999999998"/>
    <s v="Revolut"/>
    <s v="Debit Card"/>
    <s v="Freelance Client"/>
  </r>
  <r>
    <s v="TXN103435"/>
    <x v="242"/>
    <x v="82"/>
    <x v="7"/>
    <x v="18"/>
    <x v="0"/>
    <n v="41.36"/>
    <s v="Main Bank"/>
    <s v="Bank Transfer"/>
    <s v="Doctor"/>
  </r>
  <r>
    <s v="TXN100339"/>
    <x v="242"/>
    <x v="68"/>
    <x v="2"/>
    <x v="4"/>
    <x v="0"/>
    <n v="56.86"/>
    <s v="Main Bank"/>
    <s v="Debit Card"/>
    <s v="MediaMarkt"/>
  </r>
  <r>
    <s v="TXN100725"/>
    <x v="242"/>
    <x v="20"/>
    <x v="2"/>
    <x v="3"/>
    <x v="0"/>
    <n v="245.73"/>
    <s v="Revolut"/>
    <s v="Credit Card"/>
    <s v="Amazon"/>
  </r>
  <r>
    <s v="TXN102596"/>
    <x v="243"/>
    <x v="89"/>
    <x v="5"/>
    <x v="23"/>
    <x v="0"/>
    <n v="514.03"/>
    <s v="Revolut"/>
    <s v="Credit Card"/>
    <s v="Lufthansa"/>
  </r>
  <r>
    <s v="TXN102939"/>
    <x v="243"/>
    <x v="16"/>
    <x v="3"/>
    <x v="10"/>
    <x v="1"/>
    <n v="2768.16"/>
    <s v="Main Bank"/>
    <s v="Bank Transfer"/>
    <s v="Employer"/>
  </r>
  <r>
    <s v="TXN102489"/>
    <x v="243"/>
    <x v="22"/>
    <x v="2"/>
    <x v="4"/>
    <x v="0"/>
    <n v="142.66999999999999"/>
    <s v="Main Bank"/>
    <s v="Cash"/>
    <s v="Zalando"/>
  </r>
  <r>
    <s v="TXN101355"/>
    <x v="243"/>
    <x v="57"/>
    <x v="2"/>
    <x v="3"/>
    <x v="0"/>
    <n v="146.49"/>
    <s v="Main Bank"/>
    <s v="Direct Debit"/>
    <s v="IKEA"/>
  </r>
  <r>
    <s v="TXN100066"/>
    <x v="243"/>
    <x v="20"/>
    <x v="2"/>
    <x v="3"/>
    <x v="0"/>
    <n v="82.49"/>
    <s v="Main Bank"/>
    <s v="Debit Card"/>
    <s v="Amazon"/>
  </r>
  <r>
    <s v="TXN100962"/>
    <x v="243"/>
    <x v="60"/>
    <x v="1"/>
    <x v="22"/>
    <x v="0"/>
    <n v="84.56"/>
    <s v="Main Bank"/>
    <s v="Bank Transfer"/>
    <s v="Spotify"/>
  </r>
  <r>
    <s v="TXN100684"/>
    <x v="243"/>
    <x v="3"/>
    <x v="1"/>
    <x v="2"/>
    <x v="0"/>
    <n v="9.24"/>
    <s v="Revolut"/>
    <s v="Bank Transfer"/>
    <s v="Spotify"/>
  </r>
  <r>
    <s v="TXN102789"/>
    <x v="243"/>
    <x v="13"/>
    <x v="3"/>
    <x v="10"/>
    <x v="1"/>
    <n v="2509.17"/>
    <s v="Main Bank"/>
    <s v="Direct Debit"/>
    <s v="Freelance Client"/>
  </r>
  <r>
    <s v="TXN101000"/>
    <x v="243"/>
    <x v="5"/>
    <x v="2"/>
    <x v="4"/>
    <x v="0"/>
    <n v="113.16"/>
    <s v="Main Bank"/>
    <s v="Debit Card"/>
    <s v="Amazon"/>
  </r>
  <r>
    <s v="TXN101084"/>
    <x v="243"/>
    <x v="13"/>
    <x v="3"/>
    <x v="10"/>
    <x v="1"/>
    <n v="2327.25"/>
    <s v="Savings"/>
    <s v="Debit Card"/>
    <s v="Freelance Client"/>
  </r>
  <r>
    <s v="TXN100790"/>
    <x v="244"/>
    <x v="31"/>
    <x v="3"/>
    <x v="6"/>
    <x v="1"/>
    <n v="735.62"/>
    <s v="Savings"/>
    <s v="Bank Transfer"/>
    <s v="Employer"/>
  </r>
  <r>
    <s v="TXN102843"/>
    <x v="244"/>
    <x v="11"/>
    <x v="3"/>
    <x v="8"/>
    <x v="1"/>
    <n v="381.99"/>
    <s v="Main Bank"/>
    <s v="Bank Transfer"/>
    <s v="Freelance Client"/>
  </r>
  <r>
    <s v="TXN100189"/>
    <x v="244"/>
    <x v="4"/>
    <x v="2"/>
    <x v="3"/>
    <x v="0"/>
    <n v="107.56"/>
    <s v="Main Bank"/>
    <s v="Debit Card"/>
    <s v="Zalando"/>
  </r>
  <r>
    <s v="TXN100464"/>
    <x v="244"/>
    <x v="66"/>
    <x v="2"/>
    <x v="3"/>
    <x v="0"/>
    <n v="55.18"/>
    <s v="Main Bank"/>
    <s v="Credit Card"/>
    <s v="MediaMarkt"/>
  </r>
  <r>
    <s v="TXN100005"/>
    <x v="244"/>
    <x v="29"/>
    <x v="0"/>
    <x v="1"/>
    <x v="0"/>
    <n v="35.549999999999997"/>
    <s v="Main Bank"/>
    <s v="Debit Card"/>
    <s v="REWE"/>
  </r>
  <r>
    <s v="TXN103456"/>
    <x v="244"/>
    <x v="7"/>
    <x v="0"/>
    <x v="0"/>
    <x v="0"/>
    <n v="66.03"/>
    <s v="Main Bank"/>
    <s v="Debit Card"/>
    <s v="Local Restaurant"/>
  </r>
  <r>
    <s v="TXN100299"/>
    <x v="245"/>
    <x v="35"/>
    <x v="1"/>
    <x v="13"/>
    <x v="0"/>
    <n v="61.4"/>
    <s v="Main Bank"/>
    <s v="Bank Transfer"/>
    <s v="Steam"/>
  </r>
  <r>
    <s v="TXN101536"/>
    <x v="245"/>
    <x v="25"/>
    <x v="0"/>
    <x v="0"/>
    <x v="0"/>
    <n v="78.25"/>
    <s v="Main Bank"/>
    <s v="Bank Transfer"/>
    <s v="McDonald's"/>
  </r>
  <r>
    <s v="TXN101096"/>
    <x v="245"/>
    <x v="54"/>
    <x v="0"/>
    <x v="5"/>
    <x v="0"/>
    <n v="47.38"/>
    <s v="Savings"/>
    <s v="Debit Card"/>
    <s v="Lidl"/>
  </r>
  <r>
    <s v="TXN100873"/>
    <x v="245"/>
    <x v="74"/>
    <x v="1"/>
    <x v="13"/>
    <x v="0"/>
    <n v="38.729999999999997"/>
    <s v="Main Bank"/>
    <s v="Debit Card"/>
    <s v="Cinema"/>
  </r>
  <r>
    <s v="TXN102450"/>
    <x v="246"/>
    <x v="52"/>
    <x v="6"/>
    <x v="11"/>
    <x v="0"/>
    <n v="72.739999999999995"/>
    <s v="Revolut"/>
    <s v="Credit Card"/>
    <s v="Local Transit"/>
  </r>
  <r>
    <s v="TXN100676"/>
    <x v="246"/>
    <x v="11"/>
    <x v="3"/>
    <x v="8"/>
    <x v="1"/>
    <n v="351.21"/>
    <s v="Savings"/>
    <s v="Direct Debit"/>
    <s v="Freelance Client"/>
  </r>
  <r>
    <s v="TXN102134"/>
    <x v="246"/>
    <x v="5"/>
    <x v="2"/>
    <x v="4"/>
    <x v="0"/>
    <n v="78.02"/>
    <s v="Main Bank"/>
    <s v="Bank Transfer"/>
    <s v="Amazon"/>
  </r>
  <r>
    <s v="TXN101208"/>
    <x v="247"/>
    <x v="44"/>
    <x v="2"/>
    <x v="16"/>
    <x v="0"/>
    <n v="87.2"/>
    <s v="Main Bank"/>
    <s v="Cash"/>
    <s v="Zalando"/>
  </r>
  <r>
    <s v="TXN103317"/>
    <x v="247"/>
    <x v="57"/>
    <x v="2"/>
    <x v="3"/>
    <x v="0"/>
    <n v="142.97999999999999"/>
    <s v="Main Bank"/>
    <s v="Debit Card"/>
    <s v="IKEA"/>
  </r>
  <r>
    <s v="TXN100999"/>
    <x v="247"/>
    <x v="67"/>
    <x v="3"/>
    <x v="6"/>
    <x v="1"/>
    <n v="724.07"/>
    <s v="Main Bank"/>
    <s v="Credit Card"/>
    <s v="Freelance Client"/>
  </r>
  <r>
    <s v="TXN100084"/>
    <x v="247"/>
    <x v="53"/>
    <x v="4"/>
    <x v="19"/>
    <x v="0"/>
    <n v="113.66"/>
    <s v="Revolut"/>
    <s v="Direct Debit"/>
    <s v="Energy Provider"/>
  </r>
  <r>
    <s v="TXN102885"/>
    <x v="247"/>
    <x v="38"/>
    <x v="4"/>
    <x v="7"/>
    <x v="0"/>
    <n v="300.82"/>
    <s v="Revolut"/>
    <s v="Debit Card"/>
    <s v="Vodafone"/>
  </r>
  <r>
    <s v="TXN100664"/>
    <x v="248"/>
    <x v="26"/>
    <x v="0"/>
    <x v="1"/>
    <x v="0"/>
    <n v="77.08"/>
    <s v="Revolut"/>
    <s v="Debit Card"/>
    <s v="Local Restaurant"/>
  </r>
  <r>
    <s v="TXN100982"/>
    <x v="248"/>
    <x v="90"/>
    <x v="5"/>
    <x v="20"/>
    <x v="0"/>
    <n v="242.41"/>
    <s v="Main Bank"/>
    <s v="Debit Card"/>
    <s v="Hotel"/>
  </r>
  <r>
    <s v="TXN102587"/>
    <x v="248"/>
    <x v="47"/>
    <x v="4"/>
    <x v="19"/>
    <x v="0"/>
    <n v="380.2"/>
    <s v="Main Bank"/>
    <s v="Bank Transfer"/>
    <s v="Landlord"/>
  </r>
  <r>
    <s v="TXN100482"/>
    <x v="248"/>
    <x v="84"/>
    <x v="7"/>
    <x v="21"/>
    <x v="0"/>
    <n v="39.83"/>
    <s v="Main Bank"/>
    <s v="Debit Card"/>
    <s v="Gym"/>
  </r>
  <r>
    <s v="TXN100580"/>
    <x v="248"/>
    <x v="34"/>
    <x v="0"/>
    <x v="5"/>
    <x v="0"/>
    <n v="72.62"/>
    <s v="Main Bank"/>
    <s v="Debit Card"/>
    <s v="Local Restaurant"/>
  </r>
  <r>
    <s v="TXN102029"/>
    <x v="249"/>
    <x v="48"/>
    <x v="0"/>
    <x v="5"/>
    <x v="0"/>
    <n v="64.73"/>
    <s v="Main Bank"/>
    <s v="Debit Card"/>
    <s v="EDEKA"/>
  </r>
  <r>
    <s v="TXN102043"/>
    <x v="249"/>
    <x v="20"/>
    <x v="2"/>
    <x v="3"/>
    <x v="0"/>
    <n v="354.33"/>
    <s v="Main Bank"/>
    <s v="Debit Card"/>
    <s v="Amazon"/>
  </r>
  <r>
    <s v="TXN100452"/>
    <x v="249"/>
    <x v="22"/>
    <x v="2"/>
    <x v="4"/>
    <x v="0"/>
    <n v="77.17"/>
    <s v="Main Bank"/>
    <s v="Bank Transfer"/>
    <s v="Zalando"/>
  </r>
  <r>
    <s v="TXN100411"/>
    <x v="249"/>
    <x v="2"/>
    <x v="0"/>
    <x v="1"/>
    <x v="0"/>
    <n v="34.700000000000003"/>
    <s v="Main Bank"/>
    <s v="Bank Transfer"/>
    <s v="Lidl"/>
  </r>
  <r>
    <s v="TXN101350"/>
    <x v="249"/>
    <x v="38"/>
    <x v="4"/>
    <x v="7"/>
    <x v="0"/>
    <n v="253.48"/>
    <s v="Revolut"/>
    <s v="Bank Transfer"/>
    <s v="Vodafone"/>
  </r>
  <r>
    <s v="TXN100882"/>
    <x v="249"/>
    <x v="80"/>
    <x v="1"/>
    <x v="22"/>
    <x v="0"/>
    <n v="33.82"/>
    <s v="Main Bank"/>
    <s v="Cash"/>
    <s v="Cinema"/>
  </r>
  <r>
    <s v="TXN100272"/>
    <x v="249"/>
    <x v="67"/>
    <x v="3"/>
    <x v="6"/>
    <x v="1"/>
    <n v="775.74"/>
    <s v="Revolut"/>
    <s v="Credit Card"/>
    <s v="Freelance Client"/>
  </r>
  <r>
    <s v="TXN101182"/>
    <x v="249"/>
    <x v="30"/>
    <x v="6"/>
    <x v="11"/>
    <x v="0"/>
    <n v="154.6"/>
    <s v="Main Bank"/>
    <s v="Debit Card"/>
    <s v="DB"/>
  </r>
  <r>
    <s v="TXN101001"/>
    <x v="249"/>
    <x v="81"/>
    <x v="0"/>
    <x v="5"/>
    <x v="0"/>
    <n v="111.56"/>
    <s v="Main Bank"/>
    <s v="Direct Debit"/>
    <s v="REWE"/>
  </r>
  <r>
    <s v="TXN103494"/>
    <x v="249"/>
    <x v="31"/>
    <x v="3"/>
    <x v="6"/>
    <x v="1"/>
    <n v="667.66"/>
    <s v="Revolut"/>
    <s v="Bank Transfer"/>
    <s v="Employer"/>
  </r>
  <r>
    <s v="TXN100216"/>
    <x v="249"/>
    <x v="6"/>
    <x v="0"/>
    <x v="1"/>
    <x v="0"/>
    <n v="23.07"/>
    <s v="Savings"/>
    <s v="Bank Transfer"/>
    <s v="McDonald's"/>
  </r>
  <r>
    <s v="TXN101259"/>
    <x v="250"/>
    <x v="75"/>
    <x v="4"/>
    <x v="7"/>
    <x v="0"/>
    <n v="207.56"/>
    <s v="Main Bank"/>
    <s v="Direct Debit"/>
    <s v="Energy Provider"/>
  </r>
  <r>
    <s v="TXN102339"/>
    <x v="250"/>
    <x v="8"/>
    <x v="0"/>
    <x v="5"/>
    <x v="0"/>
    <n v="21.2"/>
    <s v="Main Bank"/>
    <s v="Bank Transfer"/>
    <s v="McDonald's"/>
  </r>
  <r>
    <s v="TXN103008"/>
    <x v="250"/>
    <x v="38"/>
    <x v="4"/>
    <x v="7"/>
    <x v="0"/>
    <n v="358.96"/>
    <s v="Revolut"/>
    <s v="Direct Debit"/>
    <s v="Vodafone"/>
  </r>
  <r>
    <s v="TXN102015"/>
    <x v="250"/>
    <x v="68"/>
    <x v="2"/>
    <x v="4"/>
    <x v="0"/>
    <n v="55.4"/>
    <s v="Savings"/>
    <s v="Bank Transfer"/>
    <s v="MediaMarkt"/>
  </r>
  <r>
    <s v="TXN102524"/>
    <x v="250"/>
    <x v="45"/>
    <x v="6"/>
    <x v="12"/>
    <x v="0"/>
    <n v="50.67"/>
    <s v="Main Bank"/>
    <s v="Debit Card"/>
    <s v="Local Transit"/>
  </r>
  <r>
    <s v="TXN101453"/>
    <x v="250"/>
    <x v="41"/>
    <x v="3"/>
    <x v="10"/>
    <x v="1"/>
    <n v="2434.5500000000002"/>
    <s v="Main Bank"/>
    <s v="Debit Card"/>
    <s v="Employer Bonus"/>
  </r>
  <r>
    <s v="TXN103399"/>
    <x v="250"/>
    <x v="48"/>
    <x v="0"/>
    <x v="5"/>
    <x v="0"/>
    <n v="24.6"/>
    <s v="Main Bank"/>
    <s v="Debit Card"/>
    <s v="EDEKA"/>
  </r>
  <r>
    <s v="TXN101226"/>
    <x v="251"/>
    <x v="18"/>
    <x v="1"/>
    <x v="13"/>
    <x v="0"/>
    <n v="33.380000000000003"/>
    <s v="Main Bank"/>
    <s v="Debit Card"/>
    <s v="Netflix"/>
  </r>
  <r>
    <s v="TXN100861"/>
    <x v="251"/>
    <x v="92"/>
    <x v="5"/>
    <x v="20"/>
    <x v="0"/>
    <n v="476.28"/>
    <s v="Main Bank"/>
    <s v="Bank Transfer"/>
    <s v="Travel Agency"/>
  </r>
  <r>
    <s v="TXN101101"/>
    <x v="252"/>
    <x v="43"/>
    <x v="4"/>
    <x v="17"/>
    <x v="0"/>
    <n v="237.95"/>
    <s v="Main Bank"/>
    <s v="Direct Debit"/>
    <s v="Landlord"/>
  </r>
  <r>
    <s v="TXN101494"/>
    <x v="252"/>
    <x v="47"/>
    <x v="4"/>
    <x v="19"/>
    <x v="0"/>
    <n v="131.68"/>
    <s v="Main Bank"/>
    <s v="Credit Card"/>
    <s v="Landlord"/>
  </r>
  <r>
    <s v="TXN103400"/>
    <x v="252"/>
    <x v="22"/>
    <x v="2"/>
    <x v="4"/>
    <x v="0"/>
    <n v="264.14999999999998"/>
    <s v="Revolut"/>
    <s v="Bank Transfer"/>
    <s v="Zalando"/>
  </r>
  <r>
    <s v="TXN100584"/>
    <x v="252"/>
    <x v="88"/>
    <x v="6"/>
    <x v="11"/>
    <x v="0"/>
    <n v="15.27"/>
    <s v="Revolut"/>
    <s v="Debit Card"/>
    <s v="Shell"/>
  </r>
  <r>
    <s v="TXN101753"/>
    <x v="252"/>
    <x v="10"/>
    <x v="4"/>
    <x v="7"/>
    <x v="0"/>
    <n v="222.74"/>
    <s v="Main Bank"/>
    <s v="Bank Transfer"/>
    <s v="Landlord"/>
  </r>
  <r>
    <s v="TXN100642"/>
    <x v="252"/>
    <x v="42"/>
    <x v="6"/>
    <x v="15"/>
    <x v="0"/>
    <n v="37.909999999999997"/>
    <s v="Revolut"/>
    <s v="Debit Card"/>
    <s v="Local Transit"/>
  </r>
  <r>
    <s v="TXN102366"/>
    <x v="252"/>
    <x v="10"/>
    <x v="4"/>
    <x v="7"/>
    <x v="0"/>
    <n v="108.36"/>
    <s v="Main Bank"/>
    <s v="Bank Transfer"/>
    <s v="Landlord"/>
  </r>
  <r>
    <s v="TXN100099"/>
    <x v="252"/>
    <x v="75"/>
    <x v="4"/>
    <x v="7"/>
    <x v="0"/>
    <n v="707.3"/>
    <s v="Main Bank"/>
    <s v="Direct Debit"/>
    <s v="Energy Provider"/>
  </r>
  <r>
    <s v="TXN102368"/>
    <x v="253"/>
    <x v="66"/>
    <x v="2"/>
    <x v="3"/>
    <x v="0"/>
    <n v="61.54"/>
    <s v="Revolut"/>
    <s v="Bank Transfer"/>
    <s v="MediaMarkt"/>
  </r>
  <r>
    <s v="TXN101076"/>
    <x v="253"/>
    <x v="42"/>
    <x v="6"/>
    <x v="15"/>
    <x v="0"/>
    <n v="31.94"/>
    <s v="Main Bank"/>
    <s v="Debit Card"/>
    <s v="Local Transit"/>
  </r>
  <r>
    <s v="TXN101459"/>
    <x v="253"/>
    <x v="14"/>
    <x v="0"/>
    <x v="0"/>
    <x v="0"/>
    <n v="63.19"/>
    <s v="Main Bank"/>
    <s v="Credit Card"/>
    <s v="REWE"/>
  </r>
  <r>
    <s v="TXN103183"/>
    <x v="253"/>
    <x v="2"/>
    <x v="0"/>
    <x v="1"/>
    <x v="0"/>
    <n v="25.18"/>
    <s v="Main Bank"/>
    <s v="Debit Card"/>
    <s v="Lidl"/>
  </r>
  <r>
    <s v="TXN101587"/>
    <x v="254"/>
    <x v="84"/>
    <x v="7"/>
    <x v="21"/>
    <x v="0"/>
    <n v="16.11"/>
    <s v="Revolut"/>
    <s v="Credit Card"/>
    <s v="Gym"/>
  </r>
  <r>
    <s v="TXN102406"/>
    <x v="254"/>
    <x v="32"/>
    <x v="1"/>
    <x v="2"/>
    <x v="0"/>
    <n v="10.44"/>
    <s v="Revolut"/>
    <s v="Debit Card"/>
    <s v="Cinema"/>
  </r>
  <r>
    <s v="TXN100516"/>
    <x v="254"/>
    <x v="38"/>
    <x v="4"/>
    <x v="7"/>
    <x v="0"/>
    <n v="204.54"/>
    <s v="Main Bank"/>
    <s v="Direct Debit"/>
    <s v="Vodafone"/>
  </r>
  <r>
    <s v="TXN103069"/>
    <x v="254"/>
    <x v="0"/>
    <x v="0"/>
    <x v="0"/>
    <x v="0"/>
    <n v="169.82"/>
    <s v="Main Bank"/>
    <s v="Credit Card"/>
    <s v="Lidl"/>
  </r>
  <r>
    <s v="TXN100436"/>
    <x v="255"/>
    <x v="39"/>
    <x v="7"/>
    <x v="14"/>
    <x v="0"/>
    <n v="119.68"/>
    <s v="Revolut"/>
    <s v="Debit Card"/>
    <s v="Doctor"/>
  </r>
  <r>
    <s v="TXN100469"/>
    <x v="255"/>
    <x v="21"/>
    <x v="0"/>
    <x v="1"/>
    <x v="0"/>
    <n v="31"/>
    <s v="Savings"/>
    <s v="Debit Card"/>
    <s v="EDEKA"/>
  </r>
  <r>
    <s v="TXN101397"/>
    <x v="255"/>
    <x v="36"/>
    <x v="6"/>
    <x v="15"/>
    <x v="0"/>
    <n v="32.590000000000003"/>
    <s v="Main Bank"/>
    <s v="Debit Card"/>
    <s v="Aral"/>
  </r>
  <r>
    <s v="TXN101151"/>
    <x v="255"/>
    <x v="46"/>
    <x v="7"/>
    <x v="18"/>
    <x v="0"/>
    <n v="31.25"/>
    <s v="Savings"/>
    <s v="Direct Debit"/>
    <s v="Gym"/>
  </r>
  <r>
    <s v="TXN100193"/>
    <x v="255"/>
    <x v="67"/>
    <x v="3"/>
    <x v="6"/>
    <x v="1"/>
    <n v="759.06"/>
    <s v="Main Bank"/>
    <s v="Direct Debit"/>
    <s v="Freelance Client"/>
  </r>
  <r>
    <s v="TXN103319"/>
    <x v="255"/>
    <x v="41"/>
    <x v="3"/>
    <x v="10"/>
    <x v="1"/>
    <n v="2325.4899999999998"/>
    <s v="Main Bank"/>
    <s v="Credit Card"/>
    <s v="Employer Bonus"/>
  </r>
  <r>
    <s v="TXN102196"/>
    <x v="256"/>
    <x v="57"/>
    <x v="2"/>
    <x v="3"/>
    <x v="0"/>
    <n v="85.55"/>
    <s v="Main Bank"/>
    <s v="Credit Card"/>
    <s v="IKEA"/>
  </r>
  <r>
    <s v="TXN101586"/>
    <x v="256"/>
    <x v="29"/>
    <x v="0"/>
    <x v="1"/>
    <x v="0"/>
    <n v="20.11"/>
    <s v="Revolut"/>
    <s v="Direct Debit"/>
    <s v="REWE"/>
  </r>
  <r>
    <s v="TXN103446"/>
    <x v="256"/>
    <x v="61"/>
    <x v="1"/>
    <x v="2"/>
    <x v="0"/>
    <n v="103.44"/>
    <s v="Main Bank"/>
    <s v="Debit Card"/>
    <s v="Steam"/>
  </r>
  <r>
    <s v="TXN101820"/>
    <x v="256"/>
    <x v="23"/>
    <x v="6"/>
    <x v="15"/>
    <x v="0"/>
    <n v="23.73"/>
    <s v="Revolut"/>
    <s v="Cash"/>
    <s v="Shell"/>
  </r>
  <r>
    <s v="TXN103465"/>
    <x v="257"/>
    <x v="2"/>
    <x v="0"/>
    <x v="1"/>
    <x v="0"/>
    <n v="26.2"/>
    <s v="Savings"/>
    <s v="Debit Card"/>
    <s v="Lidl"/>
  </r>
  <r>
    <s v="TXN103277"/>
    <x v="257"/>
    <x v="67"/>
    <x v="3"/>
    <x v="6"/>
    <x v="1"/>
    <n v="691.96"/>
    <s v="Main Bank"/>
    <s v="Debit Card"/>
    <s v="Freelance Client"/>
  </r>
  <r>
    <s v="TXN101693"/>
    <x v="257"/>
    <x v="23"/>
    <x v="6"/>
    <x v="15"/>
    <x v="0"/>
    <n v="21.33"/>
    <s v="Main Bank"/>
    <s v="Bank Transfer"/>
    <s v="Shell"/>
  </r>
  <r>
    <s v="TXN100276"/>
    <x v="257"/>
    <x v="22"/>
    <x v="2"/>
    <x v="4"/>
    <x v="0"/>
    <n v="120.51"/>
    <s v="Revolut"/>
    <s v="Debit Card"/>
    <s v="Zalando"/>
  </r>
  <r>
    <s v="TXN103403"/>
    <x v="257"/>
    <x v="67"/>
    <x v="3"/>
    <x v="6"/>
    <x v="1"/>
    <n v="723.65"/>
    <s v="Main Bank"/>
    <s v="Debit Card"/>
    <s v="Freelance Client"/>
  </r>
  <r>
    <s v="TXN101420"/>
    <x v="257"/>
    <x v="72"/>
    <x v="3"/>
    <x v="8"/>
    <x v="1"/>
    <n v="284.08"/>
    <s v="Main Bank"/>
    <s v="Credit Card"/>
    <s v="Employer"/>
  </r>
  <r>
    <s v="TXN101998"/>
    <x v="258"/>
    <x v="38"/>
    <x v="4"/>
    <x v="7"/>
    <x v="0"/>
    <n v="188.5"/>
    <s v="Savings"/>
    <s v="Direct Debit"/>
    <s v="Vodafone"/>
  </r>
  <r>
    <s v="TXN101054"/>
    <x v="258"/>
    <x v="12"/>
    <x v="5"/>
    <x v="9"/>
    <x v="0"/>
    <n v="187.03"/>
    <s v="Savings"/>
    <s v="Debit Card"/>
    <s v="Lufthansa"/>
  </r>
  <r>
    <s v="TXN100446"/>
    <x v="258"/>
    <x v="16"/>
    <x v="3"/>
    <x v="10"/>
    <x v="1"/>
    <n v="2241.6999999999998"/>
    <s v="Main Bank"/>
    <s v="Bank Transfer"/>
    <s v="Employer"/>
  </r>
  <r>
    <s v="TXN100526"/>
    <x v="258"/>
    <x v="4"/>
    <x v="2"/>
    <x v="3"/>
    <x v="0"/>
    <n v="138.03"/>
    <s v="Main Bank"/>
    <s v="Cash"/>
    <s v="Zalando"/>
  </r>
  <r>
    <s v="TXN100472"/>
    <x v="258"/>
    <x v="16"/>
    <x v="3"/>
    <x v="10"/>
    <x v="1"/>
    <n v="2127.1999999999998"/>
    <s v="Main Bank"/>
    <s v="Debit Card"/>
    <s v="Employer"/>
  </r>
  <r>
    <s v="TXN103257"/>
    <x v="259"/>
    <x v="28"/>
    <x v="7"/>
    <x v="14"/>
    <x v="0"/>
    <n v="93.36"/>
    <s v="Main Bank"/>
    <s v="Credit Card"/>
    <s v="Pharmacy"/>
  </r>
  <r>
    <s v="TXN101328"/>
    <x v="259"/>
    <x v="12"/>
    <x v="5"/>
    <x v="9"/>
    <x v="0"/>
    <n v="637.84"/>
    <s v="Main Bank"/>
    <s v="Debit Card"/>
    <s v="Lufthansa"/>
  </r>
  <r>
    <s v="TXN100784"/>
    <x v="259"/>
    <x v="30"/>
    <x v="6"/>
    <x v="11"/>
    <x v="0"/>
    <n v="95.03"/>
    <s v="Main Bank"/>
    <s v="Debit Card"/>
    <s v="DB"/>
  </r>
  <r>
    <s v="TXN102310"/>
    <x v="259"/>
    <x v="88"/>
    <x v="6"/>
    <x v="11"/>
    <x v="0"/>
    <n v="111.54"/>
    <s v="Savings"/>
    <s v="Debit Card"/>
    <s v="Shell"/>
  </r>
  <r>
    <s v="TXN100232"/>
    <x v="259"/>
    <x v="33"/>
    <x v="2"/>
    <x v="16"/>
    <x v="0"/>
    <n v="104.74"/>
    <s v="Revolut"/>
    <s v="Debit Card"/>
    <s v="Amazon"/>
  </r>
  <r>
    <s v="TXN102902"/>
    <x v="260"/>
    <x v="90"/>
    <x v="5"/>
    <x v="20"/>
    <x v="0"/>
    <n v="343.02"/>
    <s v="Main Bank"/>
    <s v="Bank Transfer"/>
    <s v="Hotel"/>
  </r>
  <r>
    <s v="TXN102387"/>
    <x v="260"/>
    <x v="17"/>
    <x v="6"/>
    <x v="12"/>
    <x v="0"/>
    <n v="45.02"/>
    <s v="Savings"/>
    <s v="Debit Card"/>
    <s v="Auto Service"/>
  </r>
  <r>
    <s v="TXN100997"/>
    <x v="260"/>
    <x v="31"/>
    <x v="3"/>
    <x v="6"/>
    <x v="1"/>
    <n v="652.35"/>
    <s v="Savings"/>
    <s v="Debit Card"/>
    <s v="Employer"/>
  </r>
  <r>
    <s v="TXN100201"/>
    <x v="260"/>
    <x v="60"/>
    <x v="1"/>
    <x v="22"/>
    <x v="0"/>
    <n v="26.67"/>
    <s v="Revolut"/>
    <s v="Bank Transfer"/>
    <s v="Spotify"/>
  </r>
  <r>
    <s v="TXN102741"/>
    <x v="261"/>
    <x v="40"/>
    <x v="6"/>
    <x v="12"/>
    <x v="0"/>
    <n v="20.47"/>
    <s v="Main Bank"/>
    <s v="Bank Transfer"/>
    <s v="DB"/>
  </r>
  <r>
    <s v="TXN101386"/>
    <x v="261"/>
    <x v="40"/>
    <x v="6"/>
    <x v="12"/>
    <x v="0"/>
    <n v="97.72"/>
    <s v="Main Bank"/>
    <s v="Debit Card"/>
    <s v="DB"/>
  </r>
  <r>
    <s v="TXN102551"/>
    <x v="261"/>
    <x v="78"/>
    <x v="6"/>
    <x v="15"/>
    <x v="0"/>
    <n v="243.2"/>
    <s v="Main Bank"/>
    <s v="Bank Transfer"/>
    <s v="Auto Service"/>
  </r>
  <r>
    <s v="TXN101919"/>
    <x v="261"/>
    <x v="45"/>
    <x v="6"/>
    <x v="12"/>
    <x v="0"/>
    <n v="25.45"/>
    <s v="Main Bank"/>
    <s v="Debit Card"/>
    <s v="Local Transit"/>
  </r>
  <r>
    <s v="TXN102168"/>
    <x v="261"/>
    <x v="2"/>
    <x v="0"/>
    <x v="1"/>
    <x v="0"/>
    <n v="92.53"/>
    <s v="Main Bank"/>
    <s v="Debit Card"/>
    <s v="Lidl"/>
  </r>
  <r>
    <s v="TXN100144"/>
    <x v="261"/>
    <x v="34"/>
    <x v="0"/>
    <x v="5"/>
    <x v="0"/>
    <n v="50.32"/>
    <s v="Savings"/>
    <s v="Direct Debit"/>
    <s v="Local Restaurant"/>
  </r>
  <r>
    <s v="TXN102692"/>
    <x v="261"/>
    <x v="76"/>
    <x v="1"/>
    <x v="22"/>
    <x v="0"/>
    <n v="10.199999999999999"/>
    <s v="Main Bank"/>
    <s v="Credit Card"/>
    <s v="Netflix"/>
  </r>
  <r>
    <s v="TXN100803"/>
    <x v="262"/>
    <x v="24"/>
    <x v="2"/>
    <x v="16"/>
    <x v="0"/>
    <n v="98.6"/>
    <s v="Revolut"/>
    <s v="Bank Transfer"/>
    <s v="MediaMarkt"/>
  </r>
  <r>
    <s v="TXN103012"/>
    <x v="262"/>
    <x v="48"/>
    <x v="0"/>
    <x v="5"/>
    <x v="0"/>
    <n v="25.57"/>
    <s v="Revolut"/>
    <s v="Bank Transfer"/>
    <s v="EDEKA"/>
  </r>
  <r>
    <s v="TXN101704"/>
    <x v="262"/>
    <x v="68"/>
    <x v="2"/>
    <x v="4"/>
    <x v="0"/>
    <n v="38.89"/>
    <s v="Main Bank"/>
    <s v="Bank Transfer"/>
    <s v="MediaMarkt"/>
  </r>
  <r>
    <s v="TXN100941"/>
    <x v="262"/>
    <x v="1"/>
    <x v="0"/>
    <x v="0"/>
    <x v="0"/>
    <n v="110.31"/>
    <s v="Main Bank"/>
    <s v="Debit Card"/>
    <s v="EDEKA"/>
  </r>
  <r>
    <s v="TXN102992"/>
    <x v="262"/>
    <x v="9"/>
    <x v="3"/>
    <x v="6"/>
    <x v="1"/>
    <n v="626.59"/>
    <s v="Main Bank"/>
    <s v="Direct Debit"/>
    <s v="Employer Bonus"/>
  </r>
  <r>
    <s v="TXN101243"/>
    <x v="263"/>
    <x v="56"/>
    <x v="5"/>
    <x v="20"/>
    <x v="0"/>
    <n v="239.22"/>
    <s v="Main Bank"/>
    <s v="Debit Card"/>
    <s v="Lufthansa"/>
  </r>
  <r>
    <s v="TXN101564"/>
    <x v="263"/>
    <x v="8"/>
    <x v="0"/>
    <x v="5"/>
    <x v="0"/>
    <n v="19.28"/>
    <s v="Main Bank"/>
    <s v="Debit Card"/>
    <s v="McDonald's"/>
  </r>
  <r>
    <s v="TXN100802"/>
    <x v="263"/>
    <x v="8"/>
    <x v="0"/>
    <x v="5"/>
    <x v="0"/>
    <n v="97.52"/>
    <s v="Revolut"/>
    <s v="Credit Card"/>
    <s v="McDonald's"/>
  </r>
  <r>
    <s v="TXN102669"/>
    <x v="263"/>
    <x v="39"/>
    <x v="7"/>
    <x v="14"/>
    <x v="0"/>
    <n v="153.34"/>
    <s v="Main Bank"/>
    <s v="Credit Card"/>
    <s v="Doctor"/>
  </r>
  <r>
    <s v="TXN100528"/>
    <x v="263"/>
    <x v="26"/>
    <x v="0"/>
    <x v="1"/>
    <x v="0"/>
    <n v="50.2"/>
    <s v="Main Bank"/>
    <s v="Debit Card"/>
    <s v="Local Restaurant"/>
  </r>
  <r>
    <s v="TXN103093"/>
    <x v="263"/>
    <x v="36"/>
    <x v="6"/>
    <x v="15"/>
    <x v="0"/>
    <n v="27.5"/>
    <s v="Savings"/>
    <s v="Credit Card"/>
    <s v="Aral"/>
  </r>
  <r>
    <s v="TXN102982"/>
    <x v="263"/>
    <x v="21"/>
    <x v="0"/>
    <x v="1"/>
    <x v="0"/>
    <n v="35.69"/>
    <s v="Revolut"/>
    <s v="Debit Card"/>
    <s v="EDEKA"/>
  </r>
  <r>
    <s v="TXN100001"/>
    <x v="263"/>
    <x v="40"/>
    <x v="6"/>
    <x v="12"/>
    <x v="0"/>
    <n v="250"/>
    <s v="Main Bank"/>
    <s v="Credit Card"/>
    <s v="DB"/>
  </r>
  <r>
    <s v="TXN101993"/>
    <x v="264"/>
    <x v="61"/>
    <x v="1"/>
    <x v="2"/>
    <x v="0"/>
    <n v="46.22"/>
    <s v="Savings"/>
    <s v="Bank Transfer"/>
    <s v="Steam"/>
  </r>
  <r>
    <s v="TXN101009"/>
    <x v="264"/>
    <x v="8"/>
    <x v="0"/>
    <x v="5"/>
    <x v="0"/>
    <n v="36.75"/>
    <s v="Revolut"/>
    <s v="Debit Card"/>
    <s v="McDonald's"/>
  </r>
  <r>
    <s v="TXN100813"/>
    <x v="264"/>
    <x v="34"/>
    <x v="0"/>
    <x v="5"/>
    <x v="0"/>
    <n v="50.89"/>
    <s v="Main Bank"/>
    <s v="Credit Card"/>
    <s v="Local Restaurant"/>
  </r>
  <r>
    <s v="TXN102382"/>
    <x v="264"/>
    <x v="31"/>
    <x v="3"/>
    <x v="6"/>
    <x v="1"/>
    <n v="589.38"/>
    <s v="Main Bank"/>
    <s v="Credit Card"/>
    <s v="Employer"/>
  </r>
  <r>
    <s v="TXN103220"/>
    <x v="264"/>
    <x v="46"/>
    <x v="7"/>
    <x v="18"/>
    <x v="0"/>
    <n v="69.709999999999994"/>
    <s v="Revolut"/>
    <s v="Bank Transfer"/>
    <s v="Gym"/>
  </r>
  <r>
    <s v="TXN103194"/>
    <x v="265"/>
    <x v="52"/>
    <x v="6"/>
    <x v="11"/>
    <x v="0"/>
    <n v="34.06"/>
    <s v="Main Bank"/>
    <s v="Debit Card"/>
    <s v="Local Transit"/>
  </r>
  <r>
    <s v="TXN101224"/>
    <x v="266"/>
    <x v="11"/>
    <x v="3"/>
    <x v="8"/>
    <x v="1"/>
    <n v="360.88"/>
    <s v="Main Bank"/>
    <s v="Credit Card"/>
    <s v="Freelance Client"/>
  </r>
  <r>
    <s v="TXN102262"/>
    <x v="266"/>
    <x v="77"/>
    <x v="1"/>
    <x v="22"/>
    <x v="0"/>
    <n v="26.35"/>
    <s v="Main Bank"/>
    <s v="Credit Card"/>
    <s v="Steam"/>
  </r>
  <r>
    <s v="TXN100746"/>
    <x v="266"/>
    <x v="31"/>
    <x v="3"/>
    <x v="6"/>
    <x v="1"/>
    <n v="669.16"/>
    <s v="Main Bank"/>
    <s v="Debit Card"/>
    <s v="Employer"/>
  </r>
  <r>
    <s v="TXN101461"/>
    <x v="266"/>
    <x v="37"/>
    <x v="6"/>
    <x v="12"/>
    <x v="0"/>
    <n v="163.41"/>
    <s v="Main Bank"/>
    <s v="Debit Card"/>
    <s v="Shell"/>
  </r>
  <r>
    <s v="TXN101705"/>
    <x v="266"/>
    <x v="42"/>
    <x v="6"/>
    <x v="15"/>
    <x v="0"/>
    <n v="108.48"/>
    <s v="Main Bank"/>
    <s v="Debit Card"/>
    <s v="Local Transit"/>
  </r>
  <r>
    <s v="TXN101812"/>
    <x v="266"/>
    <x v="91"/>
    <x v="5"/>
    <x v="23"/>
    <x v="0"/>
    <n v="122.21"/>
    <s v="Main Bank"/>
    <s v="Direct Debit"/>
    <s v="Hotel"/>
  </r>
  <r>
    <s v="TXN102454"/>
    <x v="266"/>
    <x v="15"/>
    <x v="6"/>
    <x v="11"/>
    <x v="0"/>
    <n v="49.66"/>
    <s v="Main Bank"/>
    <s v="Direct Debit"/>
    <s v="Auto Service"/>
  </r>
  <r>
    <s v="TXN100908"/>
    <x v="267"/>
    <x v="30"/>
    <x v="6"/>
    <x v="11"/>
    <x v="0"/>
    <n v="199.56"/>
    <s v="Main Bank"/>
    <s v="Debit Card"/>
    <s v="DB"/>
  </r>
  <r>
    <s v="TXN101384"/>
    <x v="267"/>
    <x v="81"/>
    <x v="0"/>
    <x v="5"/>
    <x v="0"/>
    <n v="35.58"/>
    <s v="Main Bank"/>
    <s v="Debit Card"/>
    <s v="REWE"/>
  </r>
  <r>
    <s v="TXN101451"/>
    <x v="267"/>
    <x v="20"/>
    <x v="2"/>
    <x v="3"/>
    <x v="0"/>
    <n v="211.93"/>
    <s v="Revolut"/>
    <s v="Debit Card"/>
    <s v="Amazon"/>
  </r>
  <r>
    <s v="TXN103436"/>
    <x v="267"/>
    <x v="15"/>
    <x v="6"/>
    <x v="11"/>
    <x v="0"/>
    <n v="21.54"/>
    <s v="Revolut"/>
    <s v="Bank Transfer"/>
    <s v="Auto Service"/>
  </r>
  <r>
    <s v="TXN100627"/>
    <x v="267"/>
    <x v="68"/>
    <x v="2"/>
    <x v="4"/>
    <x v="0"/>
    <n v="140.13999999999999"/>
    <s v="Main Bank"/>
    <s v="Bank Transfer"/>
    <s v="MediaMarkt"/>
  </r>
  <r>
    <s v="TXN100493"/>
    <x v="267"/>
    <x v="1"/>
    <x v="0"/>
    <x v="0"/>
    <x v="0"/>
    <n v="180"/>
    <s v="Main Bank"/>
    <s v="Debit Card"/>
    <s v="EDEKA"/>
  </r>
  <r>
    <s v="TXN102096"/>
    <x v="267"/>
    <x v="79"/>
    <x v="5"/>
    <x v="23"/>
    <x v="0"/>
    <n v="189.97"/>
    <s v="Revolut"/>
    <s v="Debit Card"/>
    <s v="Travel Agency"/>
  </r>
  <r>
    <s v="TXN100823"/>
    <x v="267"/>
    <x v="17"/>
    <x v="6"/>
    <x v="12"/>
    <x v="0"/>
    <n v="56.27"/>
    <s v="Revolut"/>
    <s v="Debit Card"/>
    <s v="Auto Service"/>
  </r>
  <r>
    <s v="TXN102078"/>
    <x v="267"/>
    <x v="44"/>
    <x v="2"/>
    <x v="16"/>
    <x v="0"/>
    <n v="163.41"/>
    <s v="Main Bank"/>
    <s v="Direct Debit"/>
    <s v="Zalando"/>
  </r>
  <r>
    <s v="TXN101307"/>
    <x v="267"/>
    <x v="46"/>
    <x v="7"/>
    <x v="18"/>
    <x v="0"/>
    <n v="152.93"/>
    <s v="Revolut"/>
    <s v="Debit Card"/>
    <s v="Gym"/>
  </r>
  <r>
    <s v="TXN102481"/>
    <x v="267"/>
    <x v="29"/>
    <x v="0"/>
    <x v="1"/>
    <x v="0"/>
    <n v="54.84"/>
    <s v="Revolut"/>
    <s v="Credit Card"/>
    <s v="REWE"/>
  </r>
  <r>
    <s v="TXN102422"/>
    <x v="268"/>
    <x v="43"/>
    <x v="4"/>
    <x v="17"/>
    <x v="0"/>
    <n v="337.05"/>
    <s v="Savings"/>
    <s v="Credit Card"/>
    <s v="Landlord"/>
  </r>
  <r>
    <s v="TXN100198"/>
    <x v="268"/>
    <x v="72"/>
    <x v="3"/>
    <x v="8"/>
    <x v="1"/>
    <n v="356.18"/>
    <s v="Main Bank"/>
    <s v="Debit Card"/>
    <s v="Employer"/>
  </r>
  <r>
    <s v="TXN101825"/>
    <x v="268"/>
    <x v="74"/>
    <x v="1"/>
    <x v="13"/>
    <x v="0"/>
    <n v="41.53"/>
    <s v="Revolut"/>
    <s v="Direct Debit"/>
    <s v="Cinema"/>
  </r>
  <r>
    <s v="TXN102699"/>
    <x v="268"/>
    <x v="56"/>
    <x v="5"/>
    <x v="20"/>
    <x v="0"/>
    <n v="99.53"/>
    <s v="Main Bank"/>
    <s v="Debit Card"/>
    <s v="Lufthansa"/>
  </r>
  <r>
    <s v="TXN101856"/>
    <x v="269"/>
    <x v="1"/>
    <x v="0"/>
    <x v="0"/>
    <x v="0"/>
    <n v="94"/>
    <s v="Main Bank"/>
    <s v="Debit Card"/>
    <s v="EDEKA"/>
  </r>
  <r>
    <s v="TXN100456"/>
    <x v="269"/>
    <x v="33"/>
    <x v="2"/>
    <x v="16"/>
    <x v="0"/>
    <n v="124.7"/>
    <s v="Main Bank"/>
    <s v="Debit Card"/>
    <s v="Amazon"/>
  </r>
  <r>
    <s v="TXN100560"/>
    <x v="269"/>
    <x v="60"/>
    <x v="1"/>
    <x v="22"/>
    <x v="0"/>
    <n v="55.24"/>
    <s v="Savings"/>
    <s v="Bank Transfer"/>
    <s v="Spotify"/>
  </r>
  <r>
    <s v="TXN102868"/>
    <x v="269"/>
    <x v="82"/>
    <x v="7"/>
    <x v="18"/>
    <x v="0"/>
    <n v="30.47"/>
    <s v="Revolut"/>
    <s v="Bank Transfer"/>
    <s v="Doctor"/>
  </r>
  <r>
    <s v="TXN100080"/>
    <x v="269"/>
    <x v="10"/>
    <x v="4"/>
    <x v="7"/>
    <x v="0"/>
    <n v="426.34"/>
    <s v="Revolut"/>
    <s v="Bank Transfer"/>
    <s v="Landlord"/>
  </r>
  <r>
    <s v="TXN100535"/>
    <x v="269"/>
    <x v="89"/>
    <x v="5"/>
    <x v="23"/>
    <x v="0"/>
    <n v="130.44999999999999"/>
    <s v="Main Bank"/>
    <s v="Bank Transfer"/>
    <s v="Lufthansa"/>
  </r>
  <r>
    <s v="TXN102292"/>
    <x v="269"/>
    <x v="26"/>
    <x v="0"/>
    <x v="1"/>
    <x v="0"/>
    <n v="28.82"/>
    <s v="Revolut"/>
    <s v="Bank Transfer"/>
    <s v="Local Restaurant"/>
  </r>
  <r>
    <s v="TXN101887"/>
    <x v="269"/>
    <x v="75"/>
    <x v="4"/>
    <x v="7"/>
    <x v="0"/>
    <n v="950"/>
    <s v="Main Bank"/>
    <s v="Debit Card"/>
    <s v="Energy Provider"/>
  </r>
  <r>
    <s v="TXN101342"/>
    <x v="270"/>
    <x v="66"/>
    <x v="2"/>
    <x v="3"/>
    <x v="0"/>
    <n v="78.8"/>
    <s v="Main Bank"/>
    <s v="Bank Transfer"/>
    <s v="MediaMarkt"/>
  </r>
  <r>
    <s v="TXN102589"/>
    <x v="270"/>
    <x v="1"/>
    <x v="0"/>
    <x v="0"/>
    <x v="0"/>
    <n v="79.97"/>
    <s v="Revolut"/>
    <s v="Bank Transfer"/>
    <s v="EDEKA"/>
  </r>
  <r>
    <s v="TXN102681"/>
    <x v="270"/>
    <x v="2"/>
    <x v="0"/>
    <x v="1"/>
    <x v="0"/>
    <n v="42.54"/>
    <s v="Revolut"/>
    <s v="Bank Transfer"/>
    <s v="Lidl"/>
  </r>
  <r>
    <s v="TXN101617"/>
    <x v="270"/>
    <x v="16"/>
    <x v="3"/>
    <x v="10"/>
    <x v="1"/>
    <n v="2629.4"/>
    <s v="Savings"/>
    <s v="Debit Card"/>
    <s v="Employer"/>
  </r>
  <r>
    <s v="TXN101176"/>
    <x v="270"/>
    <x v="33"/>
    <x v="2"/>
    <x v="16"/>
    <x v="0"/>
    <n v="229.07"/>
    <s v="Main Bank"/>
    <s v="Debit Card"/>
    <s v="Amazon"/>
  </r>
  <r>
    <s v="TXN102507"/>
    <x v="270"/>
    <x v="41"/>
    <x v="3"/>
    <x v="10"/>
    <x v="1"/>
    <n v="2879.85"/>
    <s v="Savings"/>
    <s v="Credit Card"/>
    <s v="Employer Bonus"/>
  </r>
  <r>
    <s v="TXN102998"/>
    <x v="271"/>
    <x v="34"/>
    <x v="0"/>
    <x v="5"/>
    <x v="0"/>
    <n v="179.95"/>
    <s v="Revolut"/>
    <s v="Bank Transfer"/>
    <s v="Local Restaurant"/>
  </r>
  <r>
    <s v="TXN101562"/>
    <x v="271"/>
    <x v="6"/>
    <x v="0"/>
    <x v="1"/>
    <x v="0"/>
    <n v="27.52"/>
    <s v="Main Bank"/>
    <s v="Debit Card"/>
    <s v="McDonald's"/>
  </r>
  <r>
    <s v="TXN101428"/>
    <x v="271"/>
    <x v="13"/>
    <x v="3"/>
    <x v="10"/>
    <x v="1"/>
    <n v="2248.77"/>
    <s v="Main Bank"/>
    <s v="Debit Card"/>
    <s v="Freelance Client"/>
  </r>
  <r>
    <s v="TXN102739"/>
    <x v="271"/>
    <x v="67"/>
    <x v="3"/>
    <x v="6"/>
    <x v="1"/>
    <n v="795.94"/>
    <s v="Revolut"/>
    <s v="Bank Transfer"/>
    <s v="Freelance Client"/>
  </r>
  <r>
    <s v="TXN100322"/>
    <x v="271"/>
    <x v="19"/>
    <x v="7"/>
    <x v="14"/>
    <x v="0"/>
    <n v="46.71"/>
    <s v="Revolut"/>
    <s v="Credit Card"/>
    <s v="Gym"/>
  </r>
  <r>
    <s v="TXN100177"/>
    <x v="271"/>
    <x v="39"/>
    <x v="7"/>
    <x v="14"/>
    <x v="0"/>
    <n v="33.130000000000003"/>
    <s v="Main Bank"/>
    <s v="Credit Card"/>
    <s v="Doctor"/>
  </r>
  <r>
    <s v="TXN102413"/>
    <x v="272"/>
    <x v="85"/>
    <x v="2"/>
    <x v="16"/>
    <x v="0"/>
    <n v="45.98"/>
    <s v="Savings"/>
    <s v="Bank Transfer"/>
    <s v="IKEA"/>
  </r>
  <r>
    <s v="TXN101634"/>
    <x v="272"/>
    <x v="87"/>
    <x v="5"/>
    <x v="20"/>
    <x v="0"/>
    <n v="302.52"/>
    <s v="Revolut"/>
    <s v="Bank Transfer"/>
    <s v="Booking.com"/>
  </r>
  <r>
    <s v="TXN103027"/>
    <x v="272"/>
    <x v="41"/>
    <x v="3"/>
    <x v="10"/>
    <x v="1"/>
    <n v="2864.42"/>
    <s v="Main Bank"/>
    <s v="Bank Transfer"/>
    <s v="Employer Bonus"/>
  </r>
  <r>
    <s v="TXN102608"/>
    <x v="272"/>
    <x v="25"/>
    <x v="0"/>
    <x v="0"/>
    <x v="0"/>
    <n v="16.350000000000001"/>
    <s v="Revolut"/>
    <s v="Bank Transfer"/>
    <s v="McDonald's"/>
  </r>
  <r>
    <s v="TXN100939"/>
    <x v="272"/>
    <x v="47"/>
    <x v="4"/>
    <x v="19"/>
    <x v="0"/>
    <n v="129.5"/>
    <s v="Main Bank"/>
    <s v="Bank Transfer"/>
    <s v="Landlord"/>
  </r>
  <r>
    <s v="TXN103289"/>
    <x v="273"/>
    <x v="41"/>
    <x v="3"/>
    <x v="10"/>
    <x v="1"/>
    <n v="2522.4299999999998"/>
    <s v="Main Bank"/>
    <s v="Credit Card"/>
    <s v="Employer Bonus"/>
  </r>
  <r>
    <s v="TXN100498"/>
    <x v="273"/>
    <x v="75"/>
    <x v="4"/>
    <x v="7"/>
    <x v="0"/>
    <n v="182.72"/>
    <s v="Revolut"/>
    <s v="Debit Card"/>
    <s v="Energy Provider"/>
  </r>
  <r>
    <s v="TXN103179"/>
    <x v="273"/>
    <x v="31"/>
    <x v="3"/>
    <x v="6"/>
    <x v="1"/>
    <n v="737.74"/>
    <s v="Main Bank"/>
    <s v="Credit Card"/>
    <s v="Employer"/>
  </r>
  <r>
    <s v="TXN100734"/>
    <x v="273"/>
    <x v="20"/>
    <x v="2"/>
    <x v="3"/>
    <x v="0"/>
    <n v="308.06"/>
    <s v="Main Bank"/>
    <s v="Debit Card"/>
    <s v="Amazon"/>
  </r>
  <r>
    <s v="TXN102256"/>
    <x v="273"/>
    <x v="62"/>
    <x v="2"/>
    <x v="4"/>
    <x v="0"/>
    <n v="281.11"/>
    <s v="Savings"/>
    <s v="Debit Card"/>
    <s v="IKEA"/>
  </r>
  <r>
    <s v="TXN100703"/>
    <x v="273"/>
    <x v="45"/>
    <x v="6"/>
    <x v="12"/>
    <x v="0"/>
    <n v="93.94"/>
    <s v="Main Bank"/>
    <s v="Debit Card"/>
    <s v="Local Transit"/>
  </r>
  <r>
    <s v="TXN101658"/>
    <x v="274"/>
    <x v="25"/>
    <x v="0"/>
    <x v="0"/>
    <x v="0"/>
    <n v="50.16"/>
    <s v="Revolut"/>
    <s v="Debit Card"/>
    <s v="McDonald's"/>
  </r>
  <r>
    <s v="TXN100508"/>
    <x v="274"/>
    <x v="67"/>
    <x v="3"/>
    <x v="6"/>
    <x v="1"/>
    <n v="649.97"/>
    <s v="Savings"/>
    <s v="Credit Card"/>
    <s v="Freelance Client"/>
  </r>
  <r>
    <s v="TXN101936"/>
    <x v="274"/>
    <x v="72"/>
    <x v="3"/>
    <x v="8"/>
    <x v="1"/>
    <n v="349.96"/>
    <s v="Main Bank"/>
    <s v="Debit Card"/>
    <s v="Employer"/>
  </r>
  <r>
    <s v="TXN101145"/>
    <x v="275"/>
    <x v="21"/>
    <x v="0"/>
    <x v="1"/>
    <x v="0"/>
    <n v="79.819999999999993"/>
    <s v="Main Bank"/>
    <s v="Debit Card"/>
    <s v="EDEKA"/>
  </r>
  <r>
    <s v="TXN103491"/>
    <x v="275"/>
    <x v="47"/>
    <x v="4"/>
    <x v="19"/>
    <x v="0"/>
    <n v="199.74"/>
    <s v="Main Bank"/>
    <s v="Debit Card"/>
    <s v="Landlord"/>
  </r>
  <r>
    <s v="TXN103191"/>
    <x v="275"/>
    <x v="25"/>
    <x v="0"/>
    <x v="0"/>
    <x v="0"/>
    <n v="20.74"/>
    <s v="Main Bank"/>
    <s v="Direct Debit"/>
    <s v="McDonald's"/>
  </r>
  <r>
    <s v="TXN102862"/>
    <x v="275"/>
    <x v="8"/>
    <x v="0"/>
    <x v="5"/>
    <x v="0"/>
    <n v="91.95"/>
    <s v="Main Bank"/>
    <s v="Bank Transfer"/>
    <s v="McDonald's"/>
  </r>
  <r>
    <s v="TXN100495"/>
    <x v="275"/>
    <x v="33"/>
    <x v="2"/>
    <x v="16"/>
    <x v="0"/>
    <n v="52.11"/>
    <s v="Savings"/>
    <s v="Debit Card"/>
    <s v="Amazon"/>
  </r>
  <r>
    <s v="TXN100296"/>
    <x v="275"/>
    <x v="24"/>
    <x v="2"/>
    <x v="16"/>
    <x v="0"/>
    <n v="150.15"/>
    <s v="Main Bank"/>
    <s v="Debit Card"/>
    <s v="MediaMarkt"/>
  </r>
  <r>
    <s v="TXN103320"/>
    <x v="275"/>
    <x v="92"/>
    <x v="5"/>
    <x v="20"/>
    <x v="0"/>
    <n v="118.53"/>
    <s v="Revolut"/>
    <s v="Direct Debit"/>
    <s v="Travel Agency"/>
  </r>
  <r>
    <s v="TXN101897"/>
    <x v="275"/>
    <x v="18"/>
    <x v="1"/>
    <x v="13"/>
    <x v="0"/>
    <n v="116.2"/>
    <s v="Main Bank"/>
    <s v="Debit Card"/>
    <s v="Netflix"/>
  </r>
  <r>
    <s v="TXN101215"/>
    <x v="275"/>
    <x v="39"/>
    <x v="7"/>
    <x v="14"/>
    <x v="0"/>
    <n v="51.04"/>
    <s v="Main Bank"/>
    <s v="Direct Debit"/>
    <s v="Doctor"/>
  </r>
  <r>
    <s v="TXN103118"/>
    <x v="275"/>
    <x v="43"/>
    <x v="4"/>
    <x v="17"/>
    <x v="0"/>
    <n v="95.04"/>
    <s v="Main Bank"/>
    <s v="Debit Card"/>
    <s v="Landlord"/>
  </r>
  <r>
    <s v="TXN100030"/>
    <x v="275"/>
    <x v="10"/>
    <x v="4"/>
    <x v="7"/>
    <x v="0"/>
    <n v="145.61000000000001"/>
    <s v="Main Bank"/>
    <s v="Bank Transfer"/>
    <s v="Landlord"/>
  </r>
  <r>
    <s v="TXN102848"/>
    <x v="275"/>
    <x v="8"/>
    <x v="0"/>
    <x v="5"/>
    <x v="0"/>
    <n v="39.21"/>
    <s v="Main Bank"/>
    <s v="Debit Card"/>
    <s v="McDonald's"/>
  </r>
  <r>
    <s v="TXN102610"/>
    <x v="275"/>
    <x v="43"/>
    <x v="4"/>
    <x v="17"/>
    <x v="0"/>
    <n v="218.37"/>
    <s v="Main Bank"/>
    <s v="Debit Card"/>
    <s v="Landlord"/>
  </r>
  <r>
    <s v="TXN102767"/>
    <x v="276"/>
    <x v="20"/>
    <x v="2"/>
    <x v="3"/>
    <x v="0"/>
    <n v="203.91"/>
    <s v="Main Bank"/>
    <s v="Credit Card"/>
    <s v="Amazon"/>
  </r>
  <r>
    <s v="TXN100484"/>
    <x v="276"/>
    <x v="60"/>
    <x v="1"/>
    <x v="22"/>
    <x v="0"/>
    <n v="22.24"/>
    <s v="Main Bank"/>
    <s v="Cash"/>
    <s v="Spotify"/>
  </r>
  <r>
    <s v="TXN101955"/>
    <x v="276"/>
    <x v="16"/>
    <x v="3"/>
    <x v="10"/>
    <x v="1"/>
    <n v="2427.36"/>
    <s v="Main Bank"/>
    <s v="Debit Card"/>
    <s v="Employer"/>
  </r>
  <r>
    <s v="TXN101766"/>
    <x v="276"/>
    <x v="23"/>
    <x v="6"/>
    <x v="15"/>
    <x v="0"/>
    <n v="128.61000000000001"/>
    <s v="Revolut"/>
    <s v="Direct Debit"/>
    <s v="Shell"/>
  </r>
  <r>
    <s v="TXN102949"/>
    <x v="276"/>
    <x v="15"/>
    <x v="6"/>
    <x v="11"/>
    <x v="0"/>
    <n v="94.17"/>
    <s v="Main Bank"/>
    <s v="Credit Card"/>
    <s v="Auto Service"/>
  </r>
  <r>
    <s v="TXN101858"/>
    <x v="276"/>
    <x v="33"/>
    <x v="2"/>
    <x v="16"/>
    <x v="0"/>
    <n v="165.87"/>
    <s v="Main Bank"/>
    <s v="Bank Transfer"/>
    <s v="Amazon"/>
  </r>
  <r>
    <s v="TXN102638"/>
    <x v="276"/>
    <x v="27"/>
    <x v="5"/>
    <x v="9"/>
    <x v="0"/>
    <n v="174.08"/>
    <s v="Main Bank"/>
    <s v="Bank Transfer"/>
    <s v="Hotel"/>
  </r>
  <r>
    <s v="TXN102448"/>
    <x v="277"/>
    <x v="14"/>
    <x v="0"/>
    <x v="0"/>
    <x v="0"/>
    <n v="56.53"/>
    <s v="Main Bank"/>
    <s v="Credit Card"/>
    <s v="REWE"/>
  </r>
  <r>
    <s v="TXN101655"/>
    <x v="277"/>
    <x v="75"/>
    <x v="4"/>
    <x v="7"/>
    <x v="0"/>
    <n v="132.9"/>
    <s v="Main Bank"/>
    <s v="Bank Transfer"/>
    <s v="Energy Provider"/>
  </r>
  <r>
    <s v="TXN101275"/>
    <x v="277"/>
    <x v="5"/>
    <x v="2"/>
    <x v="4"/>
    <x v="0"/>
    <n v="42.43"/>
    <s v="Main Bank"/>
    <s v="Debit Card"/>
    <s v="Amazon"/>
  </r>
  <r>
    <s v="TXN100944"/>
    <x v="277"/>
    <x v="55"/>
    <x v="3"/>
    <x v="8"/>
    <x v="1"/>
    <n v="331.34"/>
    <s v="Revolut"/>
    <s v="Debit Card"/>
    <s v="Employer Bonus"/>
  </r>
  <r>
    <s v="TXN102673"/>
    <x v="277"/>
    <x v="70"/>
    <x v="7"/>
    <x v="18"/>
    <x v="0"/>
    <n v="44.1"/>
    <s v="Savings"/>
    <s v="Debit Card"/>
    <s v="Pharmacy"/>
  </r>
  <r>
    <s v="TXN101732"/>
    <x v="277"/>
    <x v="74"/>
    <x v="1"/>
    <x v="13"/>
    <x v="0"/>
    <n v="15.6"/>
    <s v="Main Bank"/>
    <s v="Debit Card"/>
    <s v="Cinema"/>
  </r>
  <r>
    <s v="TXN101831"/>
    <x v="278"/>
    <x v="9"/>
    <x v="3"/>
    <x v="6"/>
    <x v="1"/>
    <n v="862.54"/>
    <s v="Revolut"/>
    <s v="Debit Card"/>
    <s v="Employer Bonus"/>
  </r>
  <r>
    <s v="TXN100623"/>
    <x v="278"/>
    <x v="40"/>
    <x v="6"/>
    <x v="12"/>
    <x v="0"/>
    <n v="42.75"/>
    <s v="Main Bank"/>
    <s v="Credit Card"/>
    <s v="DB"/>
  </r>
  <r>
    <s v="TXN103161"/>
    <x v="279"/>
    <x v="22"/>
    <x v="2"/>
    <x v="4"/>
    <x v="0"/>
    <n v="291.04000000000002"/>
    <s v="Main Bank"/>
    <s v="Debit Card"/>
    <s v="Zalando"/>
  </r>
  <r>
    <s v="TXN102300"/>
    <x v="279"/>
    <x v="59"/>
    <x v="6"/>
    <x v="11"/>
    <x v="0"/>
    <n v="100.8"/>
    <s v="Revolut"/>
    <s v="Bank Transfer"/>
    <s v="Aral"/>
  </r>
  <r>
    <s v="TXN102007"/>
    <x v="279"/>
    <x v="4"/>
    <x v="2"/>
    <x v="3"/>
    <x v="0"/>
    <n v="86.83"/>
    <s v="Main Bank"/>
    <s v="Direct Debit"/>
    <s v="Zalando"/>
  </r>
  <r>
    <s v="TXN103276"/>
    <x v="280"/>
    <x v="72"/>
    <x v="3"/>
    <x v="8"/>
    <x v="1"/>
    <n v="264.33"/>
    <s v="Main Bank"/>
    <s v="Debit Card"/>
    <s v="Employer"/>
  </r>
  <r>
    <s v="TXN102776"/>
    <x v="280"/>
    <x v="52"/>
    <x v="6"/>
    <x v="11"/>
    <x v="0"/>
    <n v="38.75"/>
    <s v="Main Bank"/>
    <s v="Debit Card"/>
    <s v="Local Transit"/>
  </r>
  <r>
    <s v="TXN103137"/>
    <x v="280"/>
    <x v="19"/>
    <x v="7"/>
    <x v="14"/>
    <x v="0"/>
    <n v="44.38"/>
    <s v="Revolut"/>
    <s v="Cash"/>
    <s v="Gym"/>
  </r>
  <r>
    <s v="TXN101941"/>
    <x v="280"/>
    <x v="75"/>
    <x v="4"/>
    <x v="7"/>
    <x v="0"/>
    <n v="490.82"/>
    <s v="Main Bank"/>
    <s v="Credit Card"/>
    <s v="Energy Provider"/>
  </r>
  <r>
    <s v="TXN100992"/>
    <x v="280"/>
    <x v="19"/>
    <x v="7"/>
    <x v="14"/>
    <x v="0"/>
    <n v="99.32"/>
    <s v="Main Bank"/>
    <s v="Debit Card"/>
    <s v="Gym"/>
  </r>
  <r>
    <s v="TXN103221"/>
    <x v="280"/>
    <x v="4"/>
    <x v="2"/>
    <x v="3"/>
    <x v="0"/>
    <n v="182.99"/>
    <s v="Main Bank"/>
    <s v="Debit Card"/>
    <s v="Zalando"/>
  </r>
  <r>
    <s v="TXN103454"/>
    <x v="280"/>
    <x v="23"/>
    <x v="6"/>
    <x v="15"/>
    <x v="0"/>
    <n v="131.44999999999999"/>
    <s v="Main Bank"/>
    <s v="Debit Card"/>
    <s v="Shell"/>
  </r>
  <r>
    <s v="TXN100222"/>
    <x v="281"/>
    <x v="22"/>
    <x v="2"/>
    <x v="4"/>
    <x v="0"/>
    <n v="279.63"/>
    <s v="Revolut"/>
    <s v="Debit Card"/>
    <s v="Zalando"/>
  </r>
  <r>
    <s v="TXN101985"/>
    <x v="281"/>
    <x v="54"/>
    <x v="0"/>
    <x v="5"/>
    <x v="0"/>
    <n v="15.71"/>
    <s v="Main Bank"/>
    <s v="Debit Card"/>
    <s v="Lidl"/>
  </r>
  <r>
    <s v="TXN101025"/>
    <x v="281"/>
    <x v="72"/>
    <x v="3"/>
    <x v="8"/>
    <x v="1"/>
    <n v="291.77"/>
    <s v="Revolut"/>
    <s v="Credit Card"/>
    <s v="Employer"/>
  </r>
  <r>
    <s v="TXN101276"/>
    <x v="281"/>
    <x v="38"/>
    <x v="4"/>
    <x v="7"/>
    <x v="0"/>
    <n v="258.83"/>
    <s v="Main Bank"/>
    <s v="Debit Card"/>
    <s v="Vodafone"/>
  </r>
  <r>
    <s v="TXN101102"/>
    <x v="281"/>
    <x v="72"/>
    <x v="3"/>
    <x v="8"/>
    <x v="1"/>
    <n v="341.79"/>
    <s v="Main Bank"/>
    <s v="Debit Card"/>
    <s v="Employer"/>
  </r>
  <r>
    <s v="TXN101502"/>
    <x v="281"/>
    <x v="5"/>
    <x v="2"/>
    <x v="4"/>
    <x v="0"/>
    <n v="100.32"/>
    <s v="Savings"/>
    <s v="Bank Transfer"/>
    <s v="Amazon"/>
  </r>
  <r>
    <s v="TXN101162"/>
    <x v="281"/>
    <x v="81"/>
    <x v="0"/>
    <x v="5"/>
    <x v="0"/>
    <n v="47.13"/>
    <s v="Main Bank"/>
    <s v="Credit Card"/>
    <s v="REWE"/>
  </r>
  <r>
    <s v="TXN101477"/>
    <x v="282"/>
    <x v="13"/>
    <x v="3"/>
    <x v="10"/>
    <x v="1"/>
    <n v="2556.6999999999998"/>
    <s v="Revolut"/>
    <s v="Credit Card"/>
    <s v="Freelance Client"/>
  </r>
  <r>
    <s v="TXN103419"/>
    <x v="282"/>
    <x v="29"/>
    <x v="0"/>
    <x v="1"/>
    <x v="0"/>
    <n v="60.3"/>
    <s v="Main Bank"/>
    <s v="Credit Card"/>
    <s v="REWE"/>
  </r>
  <r>
    <s v="TXN101614"/>
    <x v="282"/>
    <x v="52"/>
    <x v="6"/>
    <x v="11"/>
    <x v="0"/>
    <n v="77.75"/>
    <s v="Main Bank"/>
    <s v="Debit Card"/>
    <s v="Local Transit"/>
  </r>
  <r>
    <s v="TXN100163"/>
    <x v="283"/>
    <x v="60"/>
    <x v="1"/>
    <x v="22"/>
    <x v="0"/>
    <n v="120"/>
    <s v="Main Bank"/>
    <s v="Credit Card"/>
    <s v="Spotify"/>
  </r>
  <r>
    <s v="TXN100116"/>
    <x v="283"/>
    <x v="67"/>
    <x v="3"/>
    <x v="6"/>
    <x v="1"/>
    <n v="579.19000000000005"/>
    <s v="Main Bank"/>
    <s v="Bank Transfer"/>
    <s v="Freelance Client"/>
  </r>
  <r>
    <s v="TXN103087"/>
    <x v="283"/>
    <x v="42"/>
    <x v="6"/>
    <x v="15"/>
    <x v="0"/>
    <n v="102.53"/>
    <s v="Main Bank"/>
    <s v="Debit Card"/>
    <s v="Local Transit"/>
  </r>
  <r>
    <s v="TXN103078"/>
    <x v="283"/>
    <x v="63"/>
    <x v="4"/>
    <x v="19"/>
    <x v="0"/>
    <n v="158.43"/>
    <s v="Main Bank"/>
    <s v="Credit Card"/>
    <s v="Vodafone"/>
  </r>
  <r>
    <s v="TXN102599"/>
    <x v="283"/>
    <x v="29"/>
    <x v="0"/>
    <x v="1"/>
    <x v="0"/>
    <n v="160.63999999999999"/>
    <s v="Main Bank"/>
    <s v="Credit Card"/>
    <s v="REWE"/>
  </r>
  <r>
    <s v="TXN102779"/>
    <x v="283"/>
    <x v="4"/>
    <x v="2"/>
    <x v="3"/>
    <x v="0"/>
    <n v="157.35"/>
    <s v="Main Bank"/>
    <s v="Debit Card"/>
    <s v="Zalando"/>
  </r>
  <r>
    <s v="TXN100180"/>
    <x v="283"/>
    <x v="48"/>
    <x v="0"/>
    <x v="5"/>
    <x v="0"/>
    <n v="46.28"/>
    <s v="Main Bank"/>
    <s v="Bank Transfer"/>
    <s v="EDEKA"/>
  </r>
  <r>
    <s v="TXN102500"/>
    <x v="284"/>
    <x v="51"/>
    <x v="6"/>
    <x v="15"/>
    <x v="0"/>
    <n v="103.54"/>
    <s v="Revolut"/>
    <s v="Debit Card"/>
    <s v="DB"/>
  </r>
  <r>
    <s v="TXN101928"/>
    <x v="284"/>
    <x v="20"/>
    <x v="2"/>
    <x v="3"/>
    <x v="0"/>
    <n v="156.58000000000001"/>
    <s v="Revolut"/>
    <s v="Bank Transfer"/>
    <s v="Amazon"/>
  </r>
  <r>
    <s v="TXN102240"/>
    <x v="284"/>
    <x v="14"/>
    <x v="0"/>
    <x v="0"/>
    <x v="0"/>
    <n v="51.47"/>
    <s v="Main Bank"/>
    <s v="Bank Transfer"/>
    <s v="REWE"/>
  </r>
  <r>
    <s v="TXN100688"/>
    <x v="285"/>
    <x v="8"/>
    <x v="0"/>
    <x v="5"/>
    <x v="0"/>
    <n v="15.15"/>
    <s v="Main Bank"/>
    <s v="Credit Card"/>
    <s v="McDonald's"/>
  </r>
  <r>
    <s v="TXN101641"/>
    <x v="285"/>
    <x v="20"/>
    <x v="2"/>
    <x v="3"/>
    <x v="0"/>
    <n v="32.31"/>
    <s v="Savings"/>
    <s v="Bank Transfer"/>
    <s v="Amazon"/>
  </r>
  <r>
    <s v="TXN100308"/>
    <x v="285"/>
    <x v="42"/>
    <x v="6"/>
    <x v="15"/>
    <x v="0"/>
    <n v="112"/>
    <s v="Main Bank"/>
    <s v="Debit Card"/>
    <s v="Local Transit"/>
  </r>
  <r>
    <s v="TXN101475"/>
    <x v="285"/>
    <x v="88"/>
    <x v="6"/>
    <x v="11"/>
    <x v="0"/>
    <n v="87.78"/>
    <s v="Main Bank"/>
    <s v="Debit Card"/>
    <s v="Shell"/>
  </r>
  <r>
    <s v="TXN101214"/>
    <x v="285"/>
    <x v="87"/>
    <x v="5"/>
    <x v="20"/>
    <x v="0"/>
    <n v="647.87"/>
    <s v="Revolut"/>
    <s v="Debit Card"/>
    <s v="Booking.com"/>
  </r>
  <r>
    <s v="TXN101986"/>
    <x v="285"/>
    <x v="38"/>
    <x v="4"/>
    <x v="7"/>
    <x v="0"/>
    <n v="204.7"/>
    <s v="Main Bank"/>
    <s v="Credit Card"/>
    <s v="Vodafone"/>
  </r>
  <r>
    <s v="TXN100326"/>
    <x v="285"/>
    <x v="64"/>
    <x v="7"/>
    <x v="21"/>
    <x v="0"/>
    <n v="123.55"/>
    <s v="Revolut"/>
    <s v="Debit Card"/>
    <s v="Pharmacy"/>
  </r>
  <r>
    <s v="TXN101947"/>
    <x v="286"/>
    <x v="66"/>
    <x v="2"/>
    <x v="3"/>
    <x v="0"/>
    <n v="43.84"/>
    <s v="Main Bank"/>
    <s v="Cash"/>
    <s v="MediaMarkt"/>
  </r>
  <r>
    <s v="TXN102877"/>
    <x v="286"/>
    <x v="4"/>
    <x v="2"/>
    <x v="3"/>
    <x v="0"/>
    <n v="100.25"/>
    <s v="Revolut"/>
    <s v="Credit Card"/>
    <s v="Zalando"/>
  </r>
  <r>
    <s v="TXN103445"/>
    <x v="286"/>
    <x v="11"/>
    <x v="3"/>
    <x v="8"/>
    <x v="1"/>
    <n v="388.79"/>
    <s v="Main Bank"/>
    <s v="Debit Card"/>
    <s v="Freelance Client"/>
  </r>
  <r>
    <s v="TXN101228"/>
    <x v="286"/>
    <x v="0"/>
    <x v="0"/>
    <x v="0"/>
    <x v="0"/>
    <n v="33.31"/>
    <s v="Main Bank"/>
    <s v="Debit Card"/>
    <s v="Lidl"/>
  </r>
  <r>
    <s v="TXN100147"/>
    <x v="286"/>
    <x v="3"/>
    <x v="1"/>
    <x v="2"/>
    <x v="0"/>
    <n v="8.5500000000000007"/>
    <s v="Main Bank"/>
    <s v="Bank Transfer"/>
    <s v="Spotify"/>
  </r>
  <r>
    <s v="TXN101192"/>
    <x v="287"/>
    <x v="5"/>
    <x v="2"/>
    <x v="4"/>
    <x v="0"/>
    <n v="500"/>
    <s v="Main Bank"/>
    <s v="Debit Card"/>
    <s v="Amazon"/>
  </r>
  <r>
    <s v="TXN101429"/>
    <x v="287"/>
    <x v="32"/>
    <x v="1"/>
    <x v="2"/>
    <x v="0"/>
    <n v="19.71"/>
    <s v="Main Bank"/>
    <s v="Debit Card"/>
    <s v="Cinema"/>
  </r>
  <r>
    <s v="TXN102378"/>
    <x v="287"/>
    <x v="92"/>
    <x v="5"/>
    <x v="20"/>
    <x v="0"/>
    <n v="1107.76"/>
    <s v="Revolut"/>
    <s v="Credit Card"/>
    <s v="Travel Agency"/>
  </r>
  <r>
    <s v="TXN100771"/>
    <x v="287"/>
    <x v="71"/>
    <x v="4"/>
    <x v="17"/>
    <x v="0"/>
    <n v="185.51"/>
    <s v="Main Bank"/>
    <s v="Debit Card"/>
    <s v="Vodafone"/>
  </r>
  <r>
    <s v="TXN102491"/>
    <x v="287"/>
    <x v="29"/>
    <x v="0"/>
    <x v="1"/>
    <x v="0"/>
    <n v="81.540000000000006"/>
    <s v="Main Bank"/>
    <s v="Bank Transfer"/>
    <s v="REWE"/>
  </r>
  <r>
    <s v="TXN100950"/>
    <x v="287"/>
    <x v="18"/>
    <x v="1"/>
    <x v="13"/>
    <x v="0"/>
    <n v="18.91"/>
    <s v="Main Bank"/>
    <s v="Bank Transfer"/>
    <s v="Netflix"/>
  </r>
  <r>
    <s v="TXN102184"/>
    <x v="288"/>
    <x v="25"/>
    <x v="0"/>
    <x v="0"/>
    <x v="0"/>
    <n v="30.06"/>
    <s v="Main Bank"/>
    <s v="Credit Card"/>
    <s v="McDonald's"/>
  </r>
  <r>
    <s v="TXN100879"/>
    <x v="288"/>
    <x v="10"/>
    <x v="4"/>
    <x v="7"/>
    <x v="0"/>
    <n v="146.72"/>
    <s v="Savings"/>
    <s v="Bank Transfer"/>
    <s v="Landlord"/>
  </r>
  <r>
    <s v="TXN101219"/>
    <x v="288"/>
    <x v="3"/>
    <x v="1"/>
    <x v="2"/>
    <x v="0"/>
    <n v="29.86"/>
    <s v="Main Bank"/>
    <s v="Direct Debit"/>
    <s v="Spotify"/>
  </r>
  <r>
    <s v="TXN102942"/>
    <x v="288"/>
    <x v="76"/>
    <x v="1"/>
    <x v="22"/>
    <x v="0"/>
    <n v="32.51"/>
    <s v="Revolut"/>
    <s v="Credit Card"/>
    <s v="Netflix"/>
  </r>
  <r>
    <s v="TXN103238"/>
    <x v="288"/>
    <x v="31"/>
    <x v="3"/>
    <x v="6"/>
    <x v="1"/>
    <n v="693.89"/>
    <s v="Revolut"/>
    <s v="Debit Card"/>
    <s v="Employer"/>
  </r>
  <r>
    <s v="TXN103001"/>
    <x v="288"/>
    <x v="3"/>
    <x v="1"/>
    <x v="2"/>
    <x v="0"/>
    <n v="25.48"/>
    <s v="Main Bank"/>
    <s v="Debit Card"/>
    <s v="Spotify"/>
  </r>
  <r>
    <s v="TXN100981"/>
    <x v="289"/>
    <x v="37"/>
    <x v="6"/>
    <x v="12"/>
    <x v="0"/>
    <n v="29.27"/>
    <s v="Main Bank"/>
    <s v="Debit Card"/>
    <s v="Shell"/>
  </r>
  <r>
    <s v="TXN100231"/>
    <x v="289"/>
    <x v="27"/>
    <x v="5"/>
    <x v="9"/>
    <x v="0"/>
    <n v="444.29"/>
    <s v="Main Bank"/>
    <s v="Bank Transfer"/>
    <s v="Hotel"/>
  </r>
  <r>
    <s v="TXN100554"/>
    <x v="289"/>
    <x v="57"/>
    <x v="2"/>
    <x v="3"/>
    <x v="0"/>
    <n v="215.07"/>
    <s v="Main Bank"/>
    <s v="Debit Card"/>
    <s v="IKEA"/>
  </r>
  <r>
    <s v="TXN102505"/>
    <x v="290"/>
    <x v="29"/>
    <x v="0"/>
    <x v="1"/>
    <x v="0"/>
    <n v="21.01"/>
    <s v="Revolut"/>
    <s v="Debit Card"/>
    <s v="REWE"/>
  </r>
  <r>
    <s v="TXN100425"/>
    <x v="290"/>
    <x v="63"/>
    <x v="4"/>
    <x v="19"/>
    <x v="0"/>
    <n v="258.82"/>
    <s v="Savings"/>
    <s v="Debit Card"/>
    <s v="Vodafone"/>
  </r>
  <r>
    <s v="TXN100503"/>
    <x v="290"/>
    <x v="26"/>
    <x v="0"/>
    <x v="1"/>
    <x v="0"/>
    <n v="25.5"/>
    <s v="Main Bank"/>
    <s v="Debit Card"/>
    <s v="Local Restaurant"/>
  </r>
  <r>
    <s v="TXN100229"/>
    <x v="290"/>
    <x v="55"/>
    <x v="3"/>
    <x v="8"/>
    <x v="1"/>
    <n v="312.44"/>
    <s v="Savings"/>
    <s v="Debit Card"/>
    <s v="Employer Bonus"/>
  </r>
  <r>
    <s v="TXN101329"/>
    <x v="290"/>
    <x v="61"/>
    <x v="1"/>
    <x v="2"/>
    <x v="0"/>
    <n v="17.02"/>
    <s v="Main Bank"/>
    <s v="Debit Card"/>
    <s v="Steam"/>
  </r>
  <r>
    <s v="TXN100016"/>
    <x v="290"/>
    <x v="1"/>
    <x v="0"/>
    <x v="0"/>
    <x v="0"/>
    <n v="61.46"/>
    <s v="Main Bank"/>
    <s v="Credit Card"/>
    <s v="EDEKA"/>
  </r>
  <r>
    <s v="TXN100729"/>
    <x v="290"/>
    <x v="6"/>
    <x v="0"/>
    <x v="1"/>
    <x v="0"/>
    <n v="53.33"/>
    <s v="Main Bank"/>
    <s v="Debit Card"/>
    <s v="McDonald's"/>
  </r>
  <r>
    <s v="TXN102693"/>
    <x v="290"/>
    <x v="10"/>
    <x v="4"/>
    <x v="7"/>
    <x v="0"/>
    <n v="259.39"/>
    <s v="Main Bank"/>
    <s v="Bank Transfer"/>
    <s v="Landlord"/>
  </r>
  <r>
    <s v="TXN101904"/>
    <x v="290"/>
    <x v="38"/>
    <x v="4"/>
    <x v="7"/>
    <x v="0"/>
    <n v="894.87"/>
    <s v="Main Bank"/>
    <s v="Direct Debit"/>
    <s v="Vodafone"/>
  </r>
  <r>
    <s v="TXN100998"/>
    <x v="290"/>
    <x v="21"/>
    <x v="0"/>
    <x v="1"/>
    <x v="0"/>
    <n v="49.06"/>
    <s v="Main Bank"/>
    <s v="Credit Card"/>
    <s v="EDEKA"/>
  </r>
  <r>
    <s v="TXN101612"/>
    <x v="290"/>
    <x v="49"/>
    <x v="1"/>
    <x v="13"/>
    <x v="0"/>
    <n v="31.61"/>
    <s v="Main Bank"/>
    <s v="Direct Debit"/>
    <s v="Spotify"/>
  </r>
  <r>
    <s v="TXN100058"/>
    <x v="291"/>
    <x v="1"/>
    <x v="0"/>
    <x v="0"/>
    <x v="0"/>
    <n v="43.58"/>
    <s v="Main Bank"/>
    <s v="Bank Transfer"/>
    <s v="EDEKA"/>
  </r>
  <r>
    <s v="TXN100850"/>
    <x v="291"/>
    <x v="49"/>
    <x v="1"/>
    <x v="13"/>
    <x v="0"/>
    <n v="30.4"/>
    <s v="Revolut"/>
    <s v="Debit Card"/>
    <s v="Spotify"/>
  </r>
  <r>
    <s v="TXN101841"/>
    <x v="291"/>
    <x v="59"/>
    <x v="6"/>
    <x v="11"/>
    <x v="0"/>
    <n v="104.41"/>
    <s v="Main Bank"/>
    <s v="Credit Card"/>
    <s v="Aral"/>
  </r>
  <r>
    <s v="TXN101206"/>
    <x v="291"/>
    <x v="90"/>
    <x v="5"/>
    <x v="20"/>
    <x v="0"/>
    <n v="171.29"/>
    <s v="Main Bank"/>
    <s v="Debit Card"/>
    <s v="Hotel"/>
  </r>
  <r>
    <s v="TXN100670"/>
    <x v="291"/>
    <x v="25"/>
    <x v="0"/>
    <x v="0"/>
    <x v="0"/>
    <n v="75.67"/>
    <s v="Main Bank"/>
    <s v="Debit Card"/>
    <s v="McDonald's"/>
  </r>
  <r>
    <s v="TXN100974"/>
    <x v="292"/>
    <x v="81"/>
    <x v="0"/>
    <x v="5"/>
    <x v="0"/>
    <n v="55.12"/>
    <s v="Main Bank"/>
    <s v="Debit Card"/>
    <s v="REWE"/>
  </r>
  <r>
    <s v="TXN101306"/>
    <x v="292"/>
    <x v="72"/>
    <x v="3"/>
    <x v="8"/>
    <x v="1"/>
    <n v="350.48"/>
    <s v="Main Bank"/>
    <s v="Credit Card"/>
    <s v="Employer"/>
  </r>
  <r>
    <s v="TXN102190"/>
    <x v="292"/>
    <x v="74"/>
    <x v="1"/>
    <x v="13"/>
    <x v="0"/>
    <n v="48.56"/>
    <s v="Main Bank"/>
    <s v="Direct Debit"/>
    <s v="Cinema"/>
  </r>
  <r>
    <s v="TXN102533"/>
    <x v="292"/>
    <x v="7"/>
    <x v="0"/>
    <x v="0"/>
    <x v="0"/>
    <n v="35.4"/>
    <s v="Main Bank"/>
    <s v="Debit Card"/>
    <s v="Local Restaurant"/>
  </r>
  <r>
    <s v="TXN102474"/>
    <x v="293"/>
    <x v="64"/>
    <x v="7"/>
    <x v="21"/>
    <x v="0"/>
    <n v="46.69"/>
    <s v="Main Bank"/>
    <s v="Bank Transfer"/>
    <s v="Pharmacy"/>
  </r>
  <r>
    <s v="TXN101414"/>
    <x v="293"/>
    <x v="71"/>
    <x v="4"/>
    <x v="17"/>
    <x v="0"/>
    <n v="314.42"/>
    <s v="Main Bank"/>
    <s v="Debit Card"/>
    <s v="Vodafone"/>
  </r>
  <r>
    <s v="TXN101335"/>
    <x v="293"/>
    <x v="16"/>
    <x v="3"/>
    <x v="10"/>
    <x v="1"/>
    <n v="2157.3200000000002"/>
    <s v="Main Bank"/>
    <s v="Cash"/>
    <s v="Employer"/>
  </r>
  <r>
    <s v="TXN101711"/>
    <x v="293"/>
    <x v="1"/>
    <x v="0"/>
    <x v="0"/>
    <x v="0"/>
    <n v="122.93"/>
    <s v="Main Bank"/>
    <s v="Bank Transfer"/>
    <s v="EDEKA"/>
  </r>
  <r>
    <s v="TXN102046"/>
    <x v="294"/>
    <x v="84"/>
    <x v="7"/>
    <x v="21"/>
    <x v="0"/>
    <n v="43.59"/>
    <s v="Main Bank"/>
    <s v="Bank Transfer"/>
    <s v="Gym"/>
  </r>
  <r>
    <s v="TXN101650"/>
    <x v="294"/>
    <x v="64"/>
    <x v="7"/>
    <x v="21"/>
    <x v="0"/>
    <n v="94.66"/>
    <s v="Savings"/>
    <s v="Debit Card"/>
    <s v="Pharmacy"/>
  </r>
  <r>
    <s v="TXN103145"/>
    <x v="294"/>
    <x v="8"/>
    <x v="0"/>
    <x v="5"/>
    <x v="0"/>
    <n v="62.3"/>
    <s v="Main Bank"/>
    <s v="Debit Card"/>
    <s v="McDonald's"/>
  </r>
  <r>
    <s v="TXN102298"/>
    <x v="294"/>
    <x v="43"/>
    <x v="4"/>
    <x v="17"/>
    <x v="0"/>
    <n v="200.08"/>
    <s v="Revolut"/>
    <s v="Debit Card"/>
    <s v="Landlord"/>
  </r>
  <r>
    <s v="TXN101719"/>
    <x v="294"/>
    <x v="11"/>
    <x v="3"/>
    <x v="8"/>
    <x v="1"/>
    <n v="300.31"/>
    <s v="Main Bank"/>
    <s v="Direct Debit"/>
    <s v="Freelance Client"/>
  </r>
  <r>
    <s v="TXN101083"/>
    <x v="294"/>
    <x v="37"/>
    <x v="6"/>
    <x v="12"/>
    <x v="0"/>
    <n v="117.77"/>
    <s v="Main Bank"/>
    <s v="Debit Card"/>
    <s v="Shell"/>
  </r>
  <r>
    <s v="TXN101193"/>
    <x v="294"/>
    <x v="73"/>
    <x v="6"/>
    <x v="12"/>
    <x v="0"/>
    <n v="138.16"/>
    <s v="Savings"/>
    <s v="Credit Card"/>
    <s v="Aral"/>
  </r>
  <r>
    <s v="TXN100416"/>
    <x v="295"/>
    <x v="68"/>
    <x v="2"/>
    <x v="4"/>
    <x v="0"/>
    <n v="215.43"/>
    <s v="Main Bank"/>
    <s v="Direct Debit"/>
    <s v="MediaMarkt"/>
  </r>
  <r>
    <s v="TXN101024"/>
    <x v="295"/>
    <x v="31"/>
    <x v="3"/>
    <x v="6"/>
    <x v="1"/>
    <n v="565.48"/>
    <s v="Revolut"/>
    <s v="Direct Debit"/>
    <s v="Employer"/>
  </r>
  <r>
    <s v="TXN103384"/>
    <x v="295"/>
    <x v="21"/>
    <x v="0"/>
    <x v="1"/>
    <x v="0"/>
    <n v="45.1"/>
    <s v="Revolut"/>
    <s v="Debit Card"/>
    <s v="EDEKA"/>
  </r>
  <r>
    <s v="TXN102045"/>
    <x v="296"/>
    <x v="9"/>
    <x v="3"/>
    <x v="6"/>
    <x v="1"/>
    <n v="716"/>
    <s v="Main Bank"/>
    <s v="Debit Card"/>
    <s v="Employer Bonus"/>
  </r>
  <r>
    <s v="TXN101924"/>
    <x v="296"/>
    <x v="59"/>
    <x v="6"/>
    <x v="11"/>
    <x v="0"/>
    <n v="55.04"/>
    <s v="Main Bank"/>
    <s v="Debit Card"/>
    <s v="Aral"/>
  </r>
  <r>
    <s v="TXN100015"/>
    <x v="296"/>
    <x v="0"/>
    <x v="0"/>
    <x v="0"/>
    <x v="0"/>
    <n v="147.6"/>
    <s v="Main Bank"/>
    <s v="Debit Card"/>
    <s v="Lidl"/>
  </r>
  <r>
    <s v="TXN101843"/>
    <x v="296"/>
    <x v="23"/>
    <x v="6"/>
    <x v="15"/>
    <x v="0"/>
    <n v="89.21"/>
    <s v="Main Bank"/>
    <s v="Credit Card"/>
    <s v="Shell"/>
  </r>
  <r>
    <s v="TXN102081"/>
    <x v="296"/>
    <x v="10"/>
    <x v="4"/>
    <x v="7"/>
    <x v="0"/>
    <n v="123.01"/>
    <s v="Main Bank"/>
    <s v="Debit Card"/>
    <s v="Landlord"/>
  </r>
  <r>
    <s v="TXN102678"/>
    <x v="296"/>
    <x v="50"/>
    <x v="4"/>
    <x v="17"/>
    <x v="0"/>
    <n v="261.79000000000002"/>
    <s v="Revolut"/>
    <s v="Debit Card"/>
    <s v="Energy Provider"/>
  </r>
  <r>
    <s v="TXN100307"/>
    <x v="296"/>
    <x v="44"/>
    <x v="2"/>
    <x v="16"/>
    <x v="0"/>
    <n v="35.369999999999997"/>
    <s v="Main Bank"/>
    <s v="Bank Transfer"/>
    <s v="Zalando"/>
  </r>
  <r>
    <s v="TXN100082"/>
    <x v="297"/>
    <x v="18"/>
    <x v="1"/>
    <x v="13"/>
    <x v="0"/>
    <n v="22.83"/>
    <s v="Main Bank"/>
    <s v="Debit Card"/>
    <s v="Netflix"/>
  </r>
  <r>
    <s v="TXN100988"/>
    <x v="297"/>
    <x v="88"/>
    <x v="6"/>
    <x v="11"/>
    <x v="0"/>
    <n v="45.45"/>
    <s v="Revolut"/>
    <s v="Bank Transfer"/>
    <s v="Shell"/>
  </r>
  <r>
    <s v="TXN100306"/>
    <x v="297"/>
    <x v="13"/>
    <x v="3"/>
    <x v="10"/>
    <x v="1"/>
    <n v="2453.17"/>
    <s v="Revolut"/>
    <s v="Credit Card"/>
    <s v="Freelance Client"/>
  </r>
  <r>
    <s v="TXN102704"/>
    <x v="297"/>
    <x v="53"/>
    <x v="4"/>
    <x v="19"/>
    <x v="0"/>
    <n v="224.78"/>
    <s v="Revolut"/>
    <s v="Debit Card"/>
    <s v="Energy Provider"/>
  </r>
  <r>
    <s v="TXN102570"/>
    <x v="297"/>
    <x v="9"/>
    <x v="3"/>
    <x v="6"/>
    <x v="1"/>
    <n v="644.73"/>
    <s v="Revolut"/>
    <s v="Debit Card"/>
    <s v="Employer Bonus"/>
  </r>
  <r>
    <s v="TXN101763"/>
    <x v="298"/>
    <x v="50"/>
    <x v="4"/>
    <x v="17"/>
    <x v="0"/>
    <n v="289.79000000000002"/>
    <s v="Revolut"/>
    <s v="Bank Transfer"/>
    <s v="Energy Provider"/>
  </r>
  <r>
    <s v="TXN101373"/>
    <x v="298"/>
    <x v="9"/>
    <x v="3"/>
    <x v="6"/>
    <x v="1"/>
    <n v="693.58"/>
    <s v="Main Bank"/>
    <s v="Debit Card"/>
    <s v="Employer Bonus"/>
  </r>
  <r>
    <s v="TXN102213"/>
    <x v="298"/>
    <x v="47"/>
    <x v="4"/>
    <x v="19"/>
    <x v="0"/>
    <n v="214.3"/>
    <s v="Main Bank"/>
    <s v="Credit Card"/>
    <s v="Landlord"/>
  </r>
  <r>
    <s v="TXN101357"/>
    <x v="298"/>
    <x v="16"/>
    <x v="3"/>
    <x v="10"/>
    <x v="1"/>
    <n v="2341.69"/>
    <s v="Main Bank"/>
    <s v="Debit Card"/>
    <s v="Employer"/>
  </r>
  <r>
    <s v="TXN103072"/>
    <x v="298"/>
    <x v="60"/>
    <x v="1"/>
    <x v="22"/>
    <x v="0"/>
    <n v="22.77"/>
    <s v="Main Bank"/>
    <s v="Credit Card"/>
    <s v="Spotify"/>
  </r>
  <r>
    <s v="TXN102289"/>
    <x v="298"/>
    <x v="5"/>
    <x v="2"/>
    <x v="4"/>
    <x v="0"/>
    <n v="139.69999999999999"/>
    <s v="Main Bank"/>
    <s v="Debit Card"/>
    <s v="Amazon"/>
  </r>
  <r>
    <s v="TXN100888"/>
    <x v="298"/>
    <x v="25"/>
    <x v="0"/>
    <x v="0"/>
    <x v="0"/>
    <n v="131.41"/>
    <s v="Revolut"/>
    <s v="Credit Card"/>
    <s v="McDonald's"/>
  </r>
  <r>
    <s v="TXN102576"/>
    <x v="298"/>
    <x v="35"/>
    <x v="1"/>
    <x v="13"/>
    <x v="0"/>
    <n v="93.52"/>
    <s v="Savings"/>
    <s v="Debit Card"/>
    <s v="Steam"/>
  </r>
  <r>
    <s v="TXN101951"/>
    <x v="298"/>
    <x v="10"/>
    <x v="4"/>
    <x v="7"/>
    <x v="0"/>
    <n v="319.85000000000002"/>
    <s v="Main Bank"/>
    <s v="Debit Card"/>
    <s v="Landlord"/>
  </r>
  <r>
    <s v="TXN101110"/>
    <x v="298"/>
    <x v="14"/>
    <x v="0"/>
    <x v="0"/>
    <x v="0"/>
    <n v="111.36"/>
    <s v="Main Bank"/>
    <s v="Bank Transfer"/>
    <s v="REWE"/>
  </r>
  <r>
    <s v="TXN100779"/>
    <x v="299"/>
    <x v="39"/>
    <x v="7"/>
    <x v="14"/>
    <x v="0"/>
    <n v="134.63"/>
    <s v="Revolut"/>
    <s v="Credit Card"/>
    <s v="Doctor"/>
  </r>
  <r>
    <s v="TXN101744"/>
    <x v="299"/>
    <x v="10"/>
    <x v="4"/>
    <x v="7"/>
    <x v="0"/>
    <n v="159.05000000000001"/>
    <s v="Savings"/>
    <s v="Bank Transfer"/>
    <s v="Landlord"/>
  </r>
  <r>
    <s v="TXN101364"/>
    <x v="299"/>
    <x v="80"/>
    <x v="1"/>
    <x v="22"/>
    <x v="0"/>
    <n v="24.67"/>
    <s v="Main Bank"/>
    <s v="Bank Transfer"/>
    <s v="Cinema"/>
  </r>
  <r>
    <s v="TXN102579"/>
    <x v="299"/>
    <x v="23"/>
    <x v="6"/>
    <x v="15"/>
    <x v="0"/>
    <n v="17.96"/>
    <s v="Main Bank"/>
    <s v="Debit Card"/>
    <s v="Shell"/>
  </r>
  <r>
    <s v="TXN100855"/>
    <x v="299"/>
    <x v="21"/>
    <x v="0"/>
    <x v="1"/>
    <x v="0"/>
    <n v="19.37"/>
    <s v="Main Bank"/>
    <s v="Bank Transfer"/>
    <s v="EDEKA"/>
  </r>
  <r>
    <s v="TXN100190"/>
    <x v="300"/>
    <x v="2"/>
    <x v="0"/>
    <x v="1"/>
    <x v="0"/>
    <n v="13.98"/>
    <s v="Revolut"/>
    <s v="Bank Transfer"/>
    <s v="Lidl"/>
  </r>
  <r>
    <s v="TXN102750"/>
    <x v="300"/>
    <x v="18"/>
    <x v="1"/>
    <x v="13"/>
    <x v="0"/>
    <n v="42.83"/>
    <s v="Main Bank"/>
    <s v="Direct Debit"/>
    <s v="Netflix"/>
  </r>
  <r>
    <s v="TXN100573"/>
    <x v="300"/>
    <x v="36"/>
    <x v="6"/>
    <x v="15"/>
    <x v="0"/>
    <n v="78.36"/>
    <s v="Main Bank"/>
    <s v="Debit Card"/>
    <s v="Aral"/>
  </r>
  <r>
    <s v="TXN101344"/>
    <x v="300"/>
    <x v="28"/>
    <x v="7"/>
    <x v="14"/>
    <x v="0"/>
    <n v="60.05"/>
    <s v="Main Bank"/>
    <s v="Bank Transfer"/>
    <s v="Pharmacy"/>
  </r>
  <r>
    <s v="TXN100107"/>
    <x v="300"/>
    <x v="52"/>
    <x v="6"/>
    <x v="11"/>
    <x v="0"/>
    <n v="78.040000000000006"/>
    <s v="Revolut"/>
    <s v="Direct Debit"/>
    <s v="Local Transit"/>
  </r>
  <r>
    <s v="TXN102026"/>
    <x v="301"/>
    <x v="2"/>
    <x v="0"/>
    <x v="1"/>
    <x v="0"/>
    <n v="58.75"/>
    <s v="Savings"/>
    <s v="Credit Card"/>
    <s v="Lidl"/>
  </r>
  <r>
    <s v="TXN102314"/>
    <x v="301"/>
    <x v="28"/>
    <x v="7"/>
    <x v="14"/>
    <x v="0"/>
    <n v="25.16"/>
    <s v="Main Bank"/>
    <s v="Debit Card"/>
    <s v="Pharmacy"/>
  </r>
  <r>
    <s v="TXN100830"/>
    <x v="301"/>
    <x v="85"/>
    <x v="2"/>
    <x v="16"/>
    <x v="0"/>
    <n v="36.840000000000003"/>
    <s v="Main Bank"/>
    <s v="Debit Card"/>
    <s v="IKEA"/>
  </r>
  <r>
    <s v="TXN102120"/>
    <x v="301"/>
    <x v="11"/>
    <x v="3"/>
    <x v="8"/>
    <x v="1"/>
    <n v="353.94"/>
    <s v="Revolut"/>
    <s v="Debit Card"/>
    <s v="Freelance Client"/>
  </r>
  <r>
    <s v="TXN103412"/>
    <x v="301"/>
    <x v="2"/>
    <x v="0"/>
    <x v="1"/>
    <x v="0"/>
    <n v="23.4"/>
    <s v="Main Bank"/>
    <s v="Direct Debit"/>
    <s v="Lidl"/>
  </r>
  <r>
    <s v="TXN103172"/>
    <x v="301"/>
    <x v="34"/>
    <x v="0"/>
    <x v="5"/>
    <x v="0"/>
    <n v="56.97"/>
    <s v="Main Bank"/>
    <s v="Debit Card"/>
    <s v="Local Restaurant"/>
  </r>
  <r>
    <s v="TXN102352"/>
    <x v="301"/>
    <x v="9"/>
    <x v="3"/>
    <x v="6"/>
    <x v="1"/>
    <n v="812.78"/>
    <s v="Savings"/>
    <s v="Debit Card"/>
    <s v="Employer Bonus"/>
  </r>
  <r>
    <s v="TXN100745"/>
    <x v="301"/>
    <x v="0"/>
    <x v="0"/>
    <x v="0"/>
    <x v="0"/>
    <n v="49.97"/>
    <s v="Main Bank"/>
    <s v="Debit Card"/>
    <s v="Lidl"/>
  </r>
  <r>
    <s v="TXN103129"/>
    <x v="301"/>
    <x v="9"/>
    <x v="3"/>
    <x v="6"/>
    <x v="1"/>
    <n v="805.45"/>
    <s v="Main Bank"/>
    <s v="Direct Debit"/>
    <s v="Employer Bonus"/>
  </r>
  <r>
    <s v="TXN103487"/>
    <x v="302"/>
    <x v="40"/>
    <x v="6"/>
    <x v="12"/>
    <x v="0"/>
    <n v="52.76"/>
    <s v="Main Bank"/>
    <s v="Direct Debit"/>
    <s v="DB"/>
  </r>
  <r>
    <s v="TXN100948"/>
    <x v="302"/>
    <x v="55"/>
    <x v="3"/>
    <x v="8"/>
    <x v="1"/>
    <n v="364.08"/>
    <s v="Revolut"/>
    <s v="Direct Debit"/>
    <s v="Employer Bonus"/>
  </r>
  <r>
    <s v="TXN101279"/>
    <x v="302"/>
    <x v="48"/>
    <x v="0"/>
    <x v="5"/>
    <x v="0"/>
    <n v="43.88"/>
    <s v="Revolut"/>
    <s v="Debit Card"/>
    <s v="EDEKA"/>
  </r>
  <r>
    <s v="TXN100885"/>
    <x v="303"/>
    <x v="87"/>
    <x v="5"/>
    <x v="20"/>
    <x v="0"/>
    <n v="414.81"/>
    <s v="Revolut"/>
    <s v="Bank Transfer"/>
    <s v="Booking.com"/>
  </r>
  <r>
    <s v="TXN102552"/>
    <x v="303"/>
    <x v="75"/>
    <x v="4"/>
    <x v="7"/>
    <x v="0"/>
    <n v="140.19999999999999"/>
    <s v="Revolut"/>
    <s v="Debit Card"/>
    <s v="Energy Provider"/>
  </r>
  <r>
    <s v="TXN103476"/>
    <x v="303"/>
    <x v="13"/>
    <x v="3"/>
    <x v="10"/>
    <x v="1"/>
    <n v="2448.02"/>
    <s v="Main Bank"/>
    <s v="Bank Transfer"/>
    <s v="Freelance Client"/>
  </r>
  <r>
    <s v="TXN102138"/>
    <x v="303"/>
    <x v="58"/>
    <x v="7"/>
    <x v="21"/>
    <x v="0"/>
    <n v="44.43"/>
    <s v="Savings"/>
    <s v="Debit Card"/>
    <s v="Doctor"/>
  </r>
  <r>
    <s v="TXN102290"/>
    <x v="303"/>
    <x v="14"/>
    <x v="0"/>
    <x v="0"/>
    <x v="0"/>
    <n v="35.21"/>
    <s v="Main Bank"/>
    <s v="Debit Card"/>
    <s v="REWE"/>
  </r>
  <r>
    <s v="TXN100245"/>
    <x v="303"/>
    <x v="47"/>
    <x v="4"/>
    <x v="19"/>
    <x v="0"/>
    <n v="199.21"/>
    <s v="Main Bank"/>
    <s v="Bank Transfer"/>
    <s v="Landlord"/>
  </r>
  <r>
    <s v="TXN103010"/>
    <x v="304"/>
    <x v="50"/>
    <x v="4"/>
    <x v="17"/>
    <x v="0"/>
    <n v="321.54000000000002"/>
    <s v="Main Bank"/>
    <s v="Debit Card"/>
    <s v="Energy Provider"/>
  </r>
  <r>
    <s v="TXN100805"/>
    <x v="304"/>
    <x v="52"/>
    <x v="6"/>
    <x v="11"/>
    <x v="0"/>
    <n v="47.03"/>
    <s v="Main Bank"/>
    <s v="Debit Card"/>
    <s v="Local Transit"/>
  </r>
  <r>
    <s v="TXN102177"/>
    <x v="304"/>
    <x v="29"/>
    <x v="0"/>
    <x v="1"/>
    <x v="0"/>
    <n v="31.06"/>
    <s v="Main Bank"/>
    <s v="Bank Transfer"/>
    <s v="REWE"/>
  </r>
  <r>
    <s v="TXN100039"/>
    <x v="305"/>
    <x v="60"/>
    <x v="1"/>
    <x v="22"/>
    <x v="0"/>
    <n v="48.26"/>
    <s v="Main Bank"/>
    <s v="Debit Card"/>
    <s v="Spotify"/>
  </r>
  <r>
    <s v="TXN100917"/>
    <x v="305"/>
    <x v="48"/>
    <x v="0"/>
    <x v="5"/>
    <x v="0"/>
    <n v="56.05"/>
    <s v="Main Bank"/>
    <s v="Bank Transfer"/>
    <s v="EDEKA"/>
  </r>
  <r>
    <s v="TXN103498"/>
    <x v="305"/>
    <x v="16"/>
    <x v="3"/>
    <x v="10"/>
    <x v="1"/>
    <n v="2551.98"/>
    <s v="Savings"/>
    <s v="Credit Card"/>
    <s v="Employer"/>
  </r>
  <r>
    <s v="TXN100957"/>
    <x v="305"/>
    <x v="33"/>
    <x v="2"/>
    <x v="16"/>
    <x v="0"/>
    <n v="191.85"/>
    <s v="Savings"/>
    <s v="Credit Card"/>
    <s v="Amazon"/>
  </r>
  <r>
    <s v="TXN100043"/>
    <x v="305"/>
    <x v="75"/>
    <x v="4"/>
    <x v="7"/>
    <x v="0"/>
    <n v="94.95"/>
    <s v="Main Bank"/>
    <s v="Debit Card"/>
    <s v="Energy Provider"/>
  </r>
  <r>
    <s v="TXN100418"/>
    <x v="305"/>
    <x v="42"/>
    <x v="6"/>
    <x v="15"/>
    <x v="0"/>
    <n v="44.22"/>
    <s v="Main Bank"/>
    <s v="Debit Card"/>
    <s v="Local Transit"/>
  </r>
  <r>
    <s v="TXN102457"/>
    <x v="305"/>
    <x v="66"/>
    <x v="2"/>
    <x v="3"/>
    <x v="0"/>
    <n v="213.98"/>
    <s v="Revolut"/>
    <s v="Debit Card"/>
    <s v="MediaMarkt"/>
  </r>
  <r>
    <s v="TXN100161"/>
    <x v="305"/>
    <x v="42"/>
    <x v="6"/>
    <x v="15"/>
    <x v="0"/>
    <n v="105.55"/>
    <s v="Main Bank"/>
    <s v="Credit Card"/>
    <s v="Local Transit"/>
  </r>
  <r>
    <s v="TXN100637"/>
    <x v="305"/>
    <x v="4"/>
    <x v="2"/>
    <x v="3"/>
    <x v="0"/>
    <n v="247.65"/>
    <s v="Main Bank"/>
    <s v="Debit Card"/>
    <s v="Zalando"/>
  </r>
  <r>
    <s v="TXN101922"/>
    <x v="305"/>
    <x v="47"/>
    <x v="4"/>
    <x v="19"/>
    <x v="0"/>
    <n v="314.12"/>
    <s v="Main Bank"/>
    <s v="Bank Transfer"/>
    <s v="Landlord"/>
  </r>
  <r>
    <s v="TXN102124"/>
    <x v="305"/>
    <x v="51"/>
    <x v="6"/>
    <x v="15"/>
    <x v="0"/>
    <n v="212.37"/>
    <s v="Main Bank"/>
    <s v="Bank Transfer"/>
    <s v="DB"/>
  </r>
  <r>
    <s v="TXN100579"/>
    <x v="305"/>
    <x v="62"/>
    <x v="2"/>
    <x v="4"/>
    <x v="0"/>
    <n v="131.09"/>
    <s v="Revolut"/>
    <s v="Credit Card"/>
    <s v="IKEA"/>
  </r>
  <r>
    <s v="TXN100767"/>
    <x v="306"/>
    <x v="92"/>
    <x v="5"/>
    <x v="20"/>
    <x v="0"/>
    <n v="216.34"/>
    <s v="Main Bank"/>
    <s v="Bank Transfer"/>
    <s v="Travel Agency"/>
  </r>
  <r>
    <s v="TXN102726"/>
    <x v="306"/>
    <x v="81"/>
    <x v="0"/>
    <x v="5"/>
    <x v="0"/>
    <n v="51.82"/>
    <s v="Savings"/>
    <s v="Direct Debit"/>
    <s v="REWE"/>
  </r>
  <r>
    <s v="TXN100996"/>
    <x v="306"/>
    <x v="43"/>
    <x v="4"/>
    <x v="17"/>
    <x v="0"/>
    <n v="607.78"/>
    <s v="Revolut"/>
    <s v="Bank Transfer"/>
    <s v="Landlord"/>
  </r>
  <r>
    <s v="TXN100288"/>
    <x v="306"/>
    <x v="57"/>
    <x v="2"/>
    <x v="3"/>
    <x v="0"/>
    <n v="67.260000000000005"/>
    <s v="Main Bank"/>
    <s v="Credit Card"/>
    <s v="IKEA"/>
  </r>
  <r>
    <s v="TXN103038"/>
    <x v="306"/>
    <x v="41"/>
    <x v="3"/>
    <x v="10"/>
    <x v="1"/>
    <n v="2646.51"/>
    <s v="Main Bank"/>
    <s v="Credit Card"/>
    <s v="Employer Bonus"/>
  </r>
  <r>
    <s v="TXN102834"/>
    <x v="306"/>
    <x v="1"/>
    <x v="0"/>
    <x v="0"/>
    <x v="0"/>
    <n v="88.04"/>
    <s v="Main Bank"/>
    <s v="Debit Card"/>
    <s v="EDEKA"/>
  </r>
  <r>
    <s v="TXN101550"/>
    <x v="306"/>
    <x v="32"/>
    <x v="1"/>
    <x v="2"/>
    <x v="0"/>
    <n v="35.33"/>
    <s v="Revolut"/>
    <s v="Cash"/>
    <s v="Cinema"/>
  </r>
  <r>
    <s v="TXN103266"/>
    <x v="306"/>
    <x v="50"/>
    <x v="4"/>
    <x v="17"/>
    <x v="0"/>
    <n v="364.9"/>
    <s v="Main Bank"/>
    <s v="Credit Card"/>
    <s v="Energy Provider"/>
  </r>
  <r>
    <s v="TXN102071"/>
    <x v="306"/>
    <x v="70"/>
    <x v="7"/>
    <x v="18"/>
    <x v="0"/>
    <n v="17.79"/>
    <s v="Revolut"/>
    <s v="Bank Transfer"/>
    <s v="Pharmacy"/>
  </r>
  <r>
    <s v="TXN100399"/>
    <x v="306"/>
    <x v="19"/>
    <x v="7"/>
    <x v="14"/>
    <x v="0"/>
    <n v="250"/>
    <s v="Main Bank"/>
    <s v="Bank Transfer"/>
    <s v="Gym"/>
  </r>
  <r>
    <s v="TXN100451"/>
    <x v="307"/>
    <x v="91"/>
    <x v="5"/>
    <x v="23"/>
    <x v="0"/>
    <n v="168.99"/>
    <s v="Main Bank"/>
    <s v="Cash"/>
    <s v="Hotel"/>
  </r>
  <r>
    <s v="TXN102745"/>
    <x v="307"/>
    <x v="77"/>
    <x v="1"/>
    <x v="22"/>
    <x v="0"/>
    <n v="10.85"/>
    <s v="Main Bank"/>
    <s v="Debit Card"/>
    <s v="Steam"/>
  </r>
  <r>
    <s v="TXN100714"/>
    <x v="307"/>
    <x v="78"/>
    <x v="6"/>
    <x v="15"/>
    <x v="0"/>
    <n v="65.27"/>
    <s v="Main Bank"/>
    <s v="Debit Card"/>
    <s v="Auto Service"/>
  </r>
  <r>
    <s v="TXN100183"/>
    <x v="307"/>
    <x v="41"/>
    <x v="3"/>
    <x v="10"/>
    <x v="1"/>
    <n v="2327.86"/>
    <s v="Revolut"/>
    <s v="Bank Transfer"/>
    <s v="Employer Bonus"/>
  </r>
  <r>
    <s v="TXN100841"/>
    <x v="308"/>
    <x v="75"/>
    <x v="4"/>
    <x v="7"/>
    <x v="0"/>
    <n v="83.94"/>
    <s v="Revolut"/>
    <s v="Credit Card"/>
    <s v="Energy Provider"/>
  </r>
  <r>
    <s v="TXN102816"/>
    <x v="308"/>
    <x v="27"/>
    <x v="5"/>
    <x v="9"/>
    <x v="0"/>
    <n v="246.89"/>
    <s v="Main Bank"/>
    <s v="Direct Debit"/>
    <s v="Hotel"/>
  </r>
  <r>
    <s v="TXN101163"/>
    <x v="308"/>
    <x v="73"/>
    <x v="6"/>
    <x v="12"/>
    <x v="0"/>
    <n v="138.1"/>
    <s v="Main Bank"/>
    <s v="Bank Transfer"/>
    <s v="Aral"/>
  </r>
  <r>
    <s v="TXN102867"/>
    <x v="308"/>
    <x v="68"/>
    <x v="2"/>
    <x v="4"/>
    <x v="0"/>
    <n v="83.08"/>
    <s v="Main Bank"/>
    <s v="Debit Card"/>
    <s v="MediaMarkt"/>
  </r>
  <r>
    <s v="TXN100334"/>
    <x v="308"/>
    <x v="75"/>
    <x v="4"/>
    <x v="7"/>
    <x v="0"/>
    <n v="609.62"/>
    <s v="Main Bank"/>
    <s v="Credit Card"/>
    <s v="Energy Provider"/>
  </r>
  <r>
    <s v="TXN102996"/>
    <x v="308"/>
    <x v="11"/>
    <x v="3"/>
    <x v="8"/>
    <x v="1"/>
    <n v="396.92"/>
    <s v="Main Bank"/>
    <s v="Debit Card"/>
    <s v="Freelance Client"/>
  </r>
  <r>
    <s v="TXN100896"/>
    <x v="309"/>
    <x v="14"/>
    <x v="0"/>
    <x v="0"/>
    <x v="0"/>
    <n v="46.81"/>
    <s v="Revolut"/>
    <s v="Debit Card"/>
    <s v="REWE"/>
  </r>
  <r>
    <s v="TXN102717"/>
    <x v="309"/>
    <x v="32"/>
    <x v="1"/>
    <x v="2"/>
    <x v="0"/>
    <n v="19.93"/>
    <s v="Revolut"/>
    <s v="Debit Card"/>
    <s v="Cinema"/>
  </r>
  <r>
    <s v="TXN100849"/>
    <x v="309"/>
    <x v="24"/>
    <x v="2"/>
    <x v="16"/>
    <x v="0"/>
    <n v="109.13"/>
    <s v="Main Bank"/>
    <s v="Bank Transfer"/>
    <s v="MediaMarkt"/>
  </r>
  <r>
    <s v="TXN100460"/>
    <x v="310"/>
    <x v="38"/>
    <x v="4"/>
    <x v="7"/>
    <x v="0"/>
    <n v="158.51"/>
    <s v="Savings"/>
    <s v="Debit Card"/>
    <s v="Vodafone"/>
  </r>
  <r>
    <s v="TXN100036"/>
    <x v="310"/>
    <x v="9"/>
    <x v="3"/>
    <x v="6"/>
    <x v="1"/>
    <n v="784.89"/>
    <s v="Main Bank"/>
    <s v="Direct Debit"/>
    <s v="Employer Bonus"/>
  </r>
  <r>
    <s v="TXN101903"/>
    <x v="310"/>
    <x v="87"/>
    <x v="5"/>
    <x v="20"/>
    <x v="0"/>
    <n v="264.26"/>
    <s v="Revolut"/>
    <s v="Bank Transfer"/>
    <s v="Booking.com"/>
  </r>
  <r>
    <s v="TXN102070"/>
    <x v="311"/>
    <x v="73"/>
    <x v="6"/>
    <x v="12"/>
    <x v="0"/>
    <n v="61.12"/>
    <s v="Savings"/>
    <s v="Debit Card"/>
    <s v="Aral"/>
  </r>
  <r>
    <s v="TXN102529"/>
    <x v="311"/>
    <x v="10"/>
    <x v="4"/>
    <x v="7"/>
    <x v="0"/>
    <n v="312.81"/>
    <s v="Main Bank"/>
    <s v="Debit Card"/>
    <s v="Landlord"/>
  </r>
  <r>
    <s v="TXN103274"/>
    <x v="312"/>
    <x v="5"/>
    <x v="2"/>
    <x v="4"/>
    <x v="0"/>
    <n v="190.02"/>
    <s v="Savings"/>
    <s v="Credit Card"/>
    <s v="Amazon"/>
  </r>
  <r>
    <s v="TXN103171"/>
    <x v="312"/>
    <x v="61"/>
    <x v="1"/>
    <x v="2"/>
    <x v="0"/>
    <n v="36.17"/>
    <s v="Revolut"/>
    <s v="Direct Debit"/>
    <s v="Steam"/>
  </r>
  <r>
    <s v="TXN102654"/>
    <x v="312"/>
    <x v="43"/>
    <x v="4"/>
    <x v="17"/>
    <x v="0"/>
    <n v="177.03"/>
    <s v="Savings"/>
    <s v="Bank Transfer"/>
    <s v="Landlord"/>
  </r>
  <r>
    <s v="TXN102473"/>
    <x v="312"/>
    <x v="67"/>
    <x v="3"/>
    <x v="6"/>
    <x v="1"/>
    <n v="761.58"/>
    <s v="Main Bank"/>
    <s v="Bank Transfer"/>
    <s v="Freelance Client"/>
  </r>
  <r>
    <s v="TXN101231"/>
    <x v="313"/>
    <x v="31"/>
    <x v="3"/>
    <x v="6"/>
    <x v="1"/>
    <n v="627.01"/>
    <s v="Revolut"/>
    <s v="Credit Card"/>
    <s v="Employer"/>
  </r>
  <r>
    <s v="TXN103230"/>
    <x v="313"/>
    <x v="21"/>
    <x v="0"/>
    <x v="1"/>
    <x v="0"/>
    <n v="17.12"/>
    <s v="Revolut"/>
    <s v="Bank Transfer"/>
    <s v="EDEKA"/>
  </r>
  <r>
    <s v="TXN101165"/>
    <x v="313"/>
    <x v="29"/>
    <x v="0"/>
    <x v="1"/>
    <x v="0"/>
    <n v="94.16"/>
    <s v="Revolut"/>
    <s v="Cash"/>
    <s v="REWE"/>
  </r>
  <r>
    <s v="TXN101508"/>
    <x v="313"/>
    <x v="22"/>
    <x v="2"/>
    <x v="4"/>
    <x v="0"/>
    <n v="70.83"/>
    <s v="Savings"/>
    <s v="Bank Transfer"/>
    <s v="Zalando"/>
  </r>
  <r>
    <s v="TXN102999"/>
    <x v="314"/>
    <x v="6"/>
    <x v="0"/>
    <x v="1"/>
    <x v="0"/>
    <n v="77.56"/>
    <s v="Main Bank"/>
    <s v="Debit Card"/>
    <s v="McDonald's"/>
  </r>
  <r>
    <s v="TXN102128"/>
    <x v="314"/>
    <x v="21"/>
    <x v="0"/>
    <x v="1"/>
    <x v="0"/>
    <n v="36.22"/>
    <s v="Revolut"/>
    <s v="Bank Transfer"/>
    <s v="EDEKA"/>
  </r>
  <r>
    <s v="TXN102838"/>
    <x v="314"/>
    <x v="47"/>
    <x v="4"/>
    <x v="19"/>
    <x v="0"/>
    <n v="119.48"/>
    <s v="Revolut"/>
    <s v="Debit Card"/>
    <s v="Landlord"/>
  </r>
  <r>
    <s v="TXN102469"/>
    <x v="314"/>
    <x v="68"/>
    <x v="2"/>
    <x v="4"/>
    <x v="0"/>
    <n v="47.17"/>
    <s v="Main Bank"/>
    <s v="Debit Card"/>
    <s v="MediaMarkt"/>
  </r>
  <r>
    <s v="TXN101381"/>
    <x v="314"/>
    <x v="81"/>
    <x v="0"/>
    <x v="5"/>
    <x v="0"/>
    <n v="60.51"/>
    <s v="Revolut"/>
    <s v="Credit Card"/>
    <s v="REWE"/>
  </r>
  <r>
    <s v="TXN100859"/>
    <x v="315"/>
    <x v="57"/>
    <x v="2"/>
    <x v="3"/>
    <x v="0"/>
    <n v="102.06"/>
    <s v="Main Bank"/>
    <s v="Debit Card"/>
    <s v="IKEA"/>
  </r>
  <r>
    <s v="TXN100329"/>
    <x v="315"/>
    <x v="88"/>
    <x v="6"/>
    <x v="11"/>
    <x v="0"/>
    <n v="41.33"/>
    <s v="Main Bank"/>
    <s v="Debit Card"/>
    <s v="Shell"/>
  </r>
  <r>
    <s v="TXN100707"/>
    <x v="315"/>
    <x v="51"/>
    <x v="6"/>
    <x v="15"/>
    <x v="0"/>
    <n v="44.5"/>
    <s v="Main Bank"/>
    <s v="Bank Transfer"/>
    <s v="DB"/>
  </r>
  <r>
    <s v="TXN100868"/>
    <x v="315"/>
    <x v="26"/>
    <x v="0"/>
    <x v="1"/>
    <x v="0"/>
    <n v="28.47"/>
    <s v="Main Bank"/>
    <s v="Debit Card"/>
    <s v="Local Restaurant"/>
  </r>
  <r>
    <s v="TXN101321"/>
    <x v="315"/>
    <x v="6"/>
    <x v="0"/>
    <x v="1"/>
    <x v="0"/>
    <n v="101.79"/>
    <s v="Revolut"/>
    <s v="Credit Card"/>
    <s v="McDonald's"/>
  </r>
  <r>
    <s v="TXN101134"/>
    <x v="315"/>
    <x v="26"/>
    <x v="0"/>
    <x v="1"/>
    <x v="0"/>
    <n v="41.83"/>
    <s v="Main Bank"/>
    <s v="Bank Transfer"/>
    <s v="Local Restaurant"/>
  </r>
  <r>
    <s v="TXN102322"/>
    <x v="315"/>
    <x v="19"/>
    <x v="7"/>
    <x v="14"/>
    <x v="0"/>
    <n v="186.19"/>
    <s v="Revolut"/>
    <s v="Bank Transfer"/>
    <s v="Gym"/>
  </r>
  <r>
    <s v="TXN101197"/>
    <x v="315"/>
    <x v="9"/>
    <x v="3"/>
    <x v="6"/>
    <x v="1"/>
    <n v="661"/>
    <s v="Revolut"/>
    <s v="Direct Debit"/>
    <s v="Employer Bonus"/>
  </r>
  <r>
    <s v="TXN101891"/>
    <x v="316"/>
    <x v="43"/>
    <x v="4"/>
    <x v="17"/>
    <x v="0"/>
    <n v="146.26"/>
    <s v="Main Bank"/>
    <s v="Bank Transfer"/>
    <s v="Landlord"/>
  </r>
  <r>
    <s v="TXN102922"/>
    <x v="316"/>
    <x v="39"/>
    <x v="7"/>
    <x v="14"/>
    <x v="0"/>
    <n v="49.36"/>
    <s v="Savings"/>
    <s v="Direct Debit"/>
    <s v="Doctor"/>
  </r>
  <r>
    <s v="TXN102647"/>
    <x v="316"/>
    <x v="13"/>
    <x v="3"/>
    <x v="10"/>
    <x v="1"/>
    <n v="2726.36"/>
    <s v="Revolut"/>
    <s v="Bank Transfer"/>
    <s v="Freelance Client"/>
  </r>
  <r>
    <s v="TXN102510"/>
    <x v="316"/>
    <x v="16"/>
    <x v="3"/>
    <x v="10"/>
    <x v="1"/>
    <n v="2520.75"/>
    <s v="Revolut"/>
    <s v="Credit Card"/>
    <s v="Employer"/>
  </r>
  <r>
    <s v="TXN103080"/>
    <x v="317"/>
    <x v="72"/>
    <x v="3"/>
    <x v="8"/>
    <x v="1"/>
    <n v="334.57"/>
    <s v="Revolut"/>
    <s v="Debit Card"/>
    <s v="Employer"/>
  </r>
  <r>
    <s v="TXN100355"/>
    <x v="317"/>
    <x v="47"/>
    <x v="4"/>
    <x v="19"/>
    <x v="0"/>
    <n v="210.65"/>
    <s v="Revolut"/>
    <s v="Debit Card"/>
    <s v="Landlord"/>
  </r>
  <r>
    <s v="TXN102394"/>
    <x v="317"/>
    <x v="2"/>
    <x v="0"/>
    <x v="1"/>
    <x v="0"/>
    <n v="88.29"/>
    <s v="Main Bank"/>
    <s v="Debit Card"/>
    <s v="Lidl"/>
  </r>
  <r>
    <s v="TXN101814"/>
    <x v="317"/>
    <x v="63"/>
    <x v="4"/>
    <x v="19"/>
    <x v="0"/>
    <n v="364.37"/>
    <s v="Revolut"/>
    <s v="Debit Card"/>
    <s v="Vodafone"/>
  </r>
  <r>
    <s v="TXN100033"/>
    <x v="317"/>
    <x v="10"/>
    <x v="4"/>
    <x v="7"/>
    <x v="0"/>
    <n v="781.37"/>
    <s v="Main Bank"/>
    <s v="Debit Card"/>
    <s v="Landlord"/>
  </r>
  <r>
    <s v="TXN102836"/>
    <x v="317"/>
    <x v="55"/>
    <x v="3"/>
    <x v="8"/>
    <x v="1"/>
    <n v="352.41"/>
    <s v="Revolut"/>
    <s v="Bank Transfer"/>
    <s v="Employer Bonus"/>
  </r>
  <r>
    <s v="TXN101347"/>
    <x v="318"/>
    <x v="73"/>
    <x v="6"/>
    <x v="12"/>
    <x v="0"/>
    <n v="143.88999999999999"/>
    <s v="Main Bank"/>
    <s v="Debit Card"/>
    <s v="Aral"/>
  </r>
  <r>
    <s v="TXN102436"/>
    <x v="318"/>
    <x v="15"/>
    <x v="6"/>
    <x v="11"/>
    <x v="0"/>
    <n v="76.78"/>
    <s v="Main Bank"/>
    <s v="Bank Transfer"/>
    <s v="Auto Service"/>
  </r>
  <r>
    <s v="TXN102514"/>
    <x v="318"/>
    <x v="5"/>
    <x v="2"/>
    <x v="4"/>
    <x v="0"/>
    <n v="67.150000000000006"/>
    <s v="Revolut"/>
    <s v="Bank Transfer"/>
    <s v="Amazon"/>
  </r>
  <r>
    <s v="TXN101191"/>
    <x v="318"/>
    <x v="43"/>
    <x v="4"/>
    <x v="17"/>
    <x v="0"/>
    <n v="155.74"/>
    <s v="Main Bank"/>
    <s v="Debit Card"/>
    <s v="Landlord"/>
  </r>
  <r>
    <s v="TXN101900"/>
    <x v="319"/>
    <x v="12"/>
    <x v="5"/>
    <x v="9"/>
    <x v="0"/>
    <n v="506.01"/>
    <s v="Revolut"/>
    <s v="Debit Card"/>
    <s v="Lufthansa"/>
  </r>
  <r>
    <s v="TXN100138"/>
    <x v="319"/>
    <x v="84"/>
    <x v="7"/>
    <x v="21"/>
    <x v="0"/>
    <n v="17.350000000000001"/>
    <s v="Main Bank"/>
    <s v="Bank Transfer"/>
    <s v="Gym"/>
  </r>
  <r>
    <s v="TXN102521"/>
    <x v="319"/>
    <x v="82"/>
    <x v="7"/>
    <x v="18"/>
    <x v="0"/>
    <n v="79.69"/>
    <s v="Main Bank"/>
    <s v="Cash"/>
    <s v="Doctor"/>
  </r>
  <r>
    <s v="TXN101446"/>
    <x v="319"/>
    <x v="25"/>
    <x v="0"/>
    <x v="0"/>
    <x v="0"/>
    <n v="80.59"/>
    <s v="Revolut"/>
    <s v="Bank Transfer"/>
    <s v="McDonald's"/>
  </r>
  <r>
    <s v="TXN102857"/>
    <x v="319"/>
    <x v="7"/>
    <x v="0"/>
    <x v="0"/>
    <x v="0"/>
    <n v="51.96"/>
    <s v="Main Bank"/>
    <s v="Credit Card"/>
    <s v="Local Restaurant"/>
  </r>
  <r>
    <s v="TXN101619"/>
    <x v="319"/>
    <x v="22"/>
    <x v="2"/>
    <x v="4"/>
    <x v="0"/>
    <n v="65.36"/>
    <s v="Main Bank"/>
    <s v="Bank Transfer"/>
    <s v="Zalando"/>
  </r>
  <r>
    <s v="TXN102016"/>
    <x v="319"/>
    <x v="73"/>
    <x v="6"/>
    <x v="12"/>
    <x v="0"/>
    <n v="131.62"/>
    <s v="Main Bank"/>
    <s v="Debit Card"/>
    <s v="Aral"/>
  </r>
  <r>
    <s v="TXN100132"/>
    <x v="319"/>
    <x v="1"/>
    <x v="0"/>
    <x v="0"/>
    <x v="0"/>
    <n v="46.6"/>
    <s v="Main Bank"/>
    <s v="Debit Card"/>
    <s v="EDEKA"/>
  </r>
  <r>
    <s v="TXN102252"/>
    <x v="320"/>
    <x v="72"/>
    <x v="3"/>
    <x v="8"/>
    <x v="1"/>
    <n v="353.47"/>
    <s v="Revolut"/>
    <s v="Bank Transfer"/>
    <s v="Employer"/>
  </r>
  <r>
    <s v="TXN102334"/>
    <x v="320"/>
    <x v="49"/>
    <x v="1"/>
    <x v="13"/>
    <x v="0"/>
    <n v="26.52"/>
    <s v="Main Bank"/>
    <s v="Debit Card"/>
    <s v="Spotify"/>
  </r>
  <r>
    <s v="TXN103444"/>
    <x v="320"/>
    <x v="41"/>
    <x v="3"/>
    <x v="10"/>
    <x v="1"/>
    <n v="2516.69"/>
    <s v="Revolut"/>
    <s v="Direct Debit"/>
    <s v="Employer Bonus"/>
  </r>
  <r>
    <s v="TXN100679"/>
    <x v="321"/>
    <x v="55"/>
    <x v="3"/>
    <x v="8"/>
    <x v="1"/>
    <n v="362.89"/>
    <s v="Savings"/>
    <s v="Debit Card"/>
    <s v="Employer Bonus"/>
  </r>
  <r>
    <s v="TXN102709"/>
    <x v="321"/>
    <x v="38"/>
    <x v="4"/>
    <x v="7"/>
    <x v="0"/>
    <n v="255.3"/>
    <s v="Main Bank"/>
    <s v="Credit Card"/>
    <s v="Vodafone"/>
  </r>
  <r>
    <s v="TXN101118"/>
    <x v="321"/>
    <x v="9"/>
    <x v="3"/>
    <x v="6"/>
    <x v="1"/>
    <n v="620.26"/>
    <s v="Main Bank"/>
    <s v="Bank Transfer"/>
    <s v="Employer Bonus"/>
  </r>
  <r>
    <s v="TXN103158"/>
    <x v="321"/>
    <x v="63"/>
    <x v="4"/>
    <x v="19"/>
    <x v="0"/>
    <n v="272.97000000000003"/>
    <s v="Main Bank"/>
    <s v="Bank Transfer"/>
    <s v="Vodafone"/>
  </r>
  <r>
    <s v="TXN103166"/>
    <x v="321"/>
    <x v="5"/>
    <x v="2"/>
    <x v="4"/>
    <x v="0"/>
    <n v="124.31"/>
    <s v="Main Bank"/>
    <s v="Cash"/>
    <s v="Amazon"/>
  </r>
  <r>
    <s v="TXN101097"/>
    <x v="321"/>
    <x v="26"/>
    <x v="0"/>
    <x v="1"/>
    <x v="0"/>
    <n v="17.239999999999998"/>
    <s v="Main Bank"/>
    <s v="Bank Transfer"/>
    <s v="Local Restaurant"/>
  </r>
  <r>
    <s v="TXN101281"/>
    <x v="321"/>
    <x v="80"/>
    <x v="1"/>
    <x v="22"/>
    <x v="0"/>
    <n v="70.11"/>
    <s v="Main Bank"/>
    <s v="Direct Debit"/>
    <s v="Cinema"/>
  </r>
  <r>
    <s v="TXN103327"/>
    <x v="322"/>
    <x v="11"/>
    <x v="3"/>
    <x v="8"/>
    <x v="1"/>
    <n v="356.59"/>
    <s v="Main Bank"/>
    <s v="Cash"/>
    <s v="Freelance Client"/>
  </r>
  <r>
    <s v="TXN101003"/>
    <x v="322"/>
    <x v="11"/>
    <x v="3"/>
    <x v="8"/>
    <x v="1"/>
    <n v="410.69"/>
    <s v="Main Bank"/>
    <s v="Debit Card"/>
    <s v="Freelance Client"/>
  </r>
  <r>
    <s v="TXN103091"/>
    <x v="322"/>
    <x v="85"/>
    <x v="2"/>
    <x v="16"/>
    <x v="0"/>
    <n v="191.09"/>
    <s v="Main Bank"/>
    <s v="Bank Transfer"/>
    <s v="IKEA"/>
  </r>
  <r>
    <s v="TXN100158"/>
    <x v="322"/>
    <x v="92"/>
    <x v="5"/>
    <x v="20"/>
    <x v="0"/>
    <n v="712.69"/>
    <s v="Revolut"/>
    <s v="Debit Card"/>
    <s v="Travel Agency"/>
  </r>
  <r>
    <s v="TXN102137"/>
    <x v="322"/>
    <x v="38"/>
    <x v="4"/>
    <x v="7"/>
    <x v="0"/>
    <n v="167.6"/>
    <s v="Revolut"/>
    <s v="Direct Debit"/>
    <s v="Vodafone"/>
  </r>
  <r>
    <s v="TXN102628"/>
    <x v="323"/>
    <x v="77"/>
    <x v="1"/>
    <x v="22"/>
    <x v="0"/>
    <n v="28.59"/>
    <s v="Revolut"/>
    <s v="Debit Card"/>
    <s v="Steam"/>
  </r>
  <r>
    <s v="TXN101071"/>
    <x v="323"/>
    <x v="21"/>
    <x v="0"/>
    <x v="1"/>
    <x v="0"/>
    <n v="26.12"/>
    <s v="Main Bank"/>
    <s v="Debit Card"/>
    <s v="EDEKA"/>
  </r>
  <r>
    <s v="TXN103407"/>
    <x v="323"/>
    <x v="31"/>
    <x v="3"/>
    <x v="6"/>
    <x v="1"/>
    <n v="681.59"/>
    <s v="Savings"/>
    <s v="Debit Card"/>
    <s v="Employer"/>
  </r>
  <r>
    <s v="TXN103390"/>
    <x v="323"/>
    <x v="60"/>
    <x v="1"/>
    <x v="22"/>
    <x v="0"/>
    <n v="8.36"/>
    <s v="Main Bank"/>
    <s v="Debit Card"/>
    <s v="Spotify"/>
  </r>
  <r>
    <s v="TXN102544"/>
    <x v="324"/>
    <x v="32"/>
    <x v="1"/>
    <x v="2"/>
    <x v="0"/>
    <n v="72.94"/>
    <s v="Main Bank"/>
    <s v="Direct Debit"/>
    <s v="Cinema"/>
  </r>
  <r>
    <s v="TXN102006"/>
    <x v="324"/>
    <x v="46"/>
    <x v="7"/>
    <x v="18"/>
    <x v="0"/>
    <n v="73.11"/>
    <s v="Revolut"/>
    <s v="Credit Card"/>
    <s v="Gym"/>
  </r>
  <r>
    <s v="TXN102180"/>
    <x v="324"/>
    <x v="68"/>
    <x v="2"/>
    <x v="4"/>
    <x v="0"/>
    <n v="51.48"/>
    <s v="Main Bank"/>
    <s v="Bank Transfer"/>
    <s v="MediaMarkt"/>
  </r>
  <r>
    <s v="TXN102828"/>
    <x v="324"/>
    <x v="38"/>
    <x v="4"/>
    <x v="7"/>
    <x v="0"/>
    <n v="247.68"/>
    <s v="Revolut"/>
    <s v="Direct Debit"/>
    <s v="Vodafone"/>
  </r>
  <r>
    <s v="TXN102271"/>
    <x v="324"/>
    <x v="53"/>
    <x v="4"/>
    <x v="19"/>
    <x v="0"/>
    <n v="227.15"/>
    <s v="Main Bank"/>
    <s v="Debit Card"/>
    <s v="Energy Provider"/>
  </r>
  <r>
    <s v="TXN102461"/>
    <x v="325"/>
    <x v="31"/>
    <x v="3"/>
    <x v="6"/>
    <x v="1"/>
    <n v="612.27"/>
    <s v="Revolut"/>
    <s v="Debit Card"/>
    <s v="Employer"/>
  </r>
  <r>
    <s v="TXN102591"/>
    <x v="325"/>
    <x v="72"/>
    <x v="3"/>
    <x v="8"/>
    <x v="1"/>
    <n v="326.44"/>
    <s v="Main Bank"/>
    <s v="Credit Card"/>
    <s v="Employer"/>
  </r>
  <r>
    <s v="TXN102555"/>
    <x v="325"/>
    <x v="50"/>
    <x v="4"/>
    <x v="17"/>
    <x v="0"/>
    <n v="189.9"/>
    <s v="Savings"/>
    <s v="Credit Card"/>
    <s v="Energy Provider"/>
  </r>
  <r>
    <s v="TXN100316"/>
    <x v="325"/>
    <x v="84"/>
    <x v="7"/>
    <x v="21"/>
    <x v="0"/>
    <n v="37.92"/>
    <s v="Revolut"/>
    <s v="Debit Card"/>
    <s v="Gym"/>
  </r>
  <r>
    <s v="TXN103202"/>
    <x v="325"/>
    <x v="68"/>
    <x v="2"/>
    <x v="4"/>
    <x v="0"/>
    <n v="129.31"/>
    <s v="Main Bank"/>
    <s v="Debit Card"/>
    <s v="MediaMarkt"/>
  </r>
  <r>
    <s v="TXN101861"/>
    <x v="325"/>
    <x v="90"/>
    <x v="5"/>
    <x v="20"/>
    <x v="0"/>
    <n v="256.01"/>
    <s v="Main Bank"/>
    <s v="Debit Card"/>
    <s v="Hotel"/>
  </r>
  <r>
    <s v="TXN100793"/>
    <x v="325"/>
    <x v="20"/>
    <x v="2"/>
    <x v="3"/>
    <x v="0"/>
    <n v="152.54"/>
    <s v="Revolut"/>
    <s v="Credit Card"/>
    <s v="Amazon"/>
  </r>
  <r>
    <s v="TXN100064"/>
    <x v="325"/>
    <x v="73"/>
    <x v="6"/>
    <x v="12"/>
    <x v="0"/>
    <n v="41.42"/>
    <s v="Main Bank"/>
    <s v="Debit Card"/>
    <s v="Aral"/>
  </r>
  <r>
    <s v="TXN102268"/>
    <x v="325"/>
    <x v="46"/>
    <x v="7"/>
    <x v="18"/>
    <x v="0"/>
    <n v="51.55"/>
    <s v="Main Bank"/>
    <s v="Cash"/>
    <s v="Gym"/>
  </r>
  <r>
    <s v="TXN101080"/>
    <x v="326"/>
    <x v="31"/>
    <x v="3"/>
    <x v="6"/>
    <x v="1"/>
    <n v="769.79"/>
    <s v="Main Bank"/>
    <s v="Bank Transfer"/>
    <s v="Employer"/>
  </r>
  <r>
    <s v="TXN102000"/>
    <x v="326"/>
    <x v="7"/>
    <x v="0"/>
    <x v="0"/>
    <x v="0"/>
    <n v="32.36"/>
    <s v="Revolut"/>
    <s v="Credit Card"/>
    <s v="Local Restaurant"/>
  </r>
  <r>
    <s v="TXN100022"/>
    <x v="326"/>
    <x v="7"/>
    <x v="0"/>
    <x v="0"/>
    <x v="0"/>
    <n v="21.92"/>
    <s v="Savings"/>
    <s v="Bank Transfer"/>
    <s v="Local Restaurant"/>
  </r>
  <r>
    <s v="TXN100634"/>
    <x v="326"/>
    <x v="22"/>
    <x v="2"/>
    <x v="4"/>
    <x v="0"/>
    <n v="351.25"/>
    <s v="Main Bank"/>
    <s v="Bank Transfer"/>
    <s v="Zalando"/>
  </r>
  <r>
    <s v="TXN102926"/>
    <x v="326"/>
    <x v="11"/>
    <x v="3"/>
    <x v="8"/>
    <x v="1"/>
    <n v="342.82"/>
    <s v="Revolut"/>
    <s v="Credit Card"/>
    <s v="Freelance Client"/>
  </r>
  <r>
    <s v="TXN100953"/>
    <x v="327"/>
    <x v="54"/>
    <x v="0"/>
    <x v="5"/>
    <x v="0"/>
    <n v="148.63999999999999"/>
    <s v="Main Bank"/>
    <s v="Bank Transfer"/>
    <s v="Lidl"/>
  </r>
  <r>
    <s v="TXN100505"/>
    <x v="327"/>
    <x v="3"/>
    <x v="1"/>
    <x v="2"/>
    <x v="0"/>
    <n v="87.99"/>
    <s v="Main Bank"/>
    <s v="Debit Card"/>
    <s v="Spotify"/>
  </r>
  <r>
    <s v="TXN103449"/>
    <x v="327"/>
    <x v="61"/>
    <x v="1"/>
    <x v="2"/>
    <x v="0"/>
    <n v="20.72"/>
    <s v="Main Bank"/>
    <s v="Debit Card"/>
    <s v="Steam"/>
  </r>
  <r>
    <s v="TXN101524"/>
    <x v="327"/>
    <x v="75"/>
    <x v="4"/>
    <x v="7"/>
    <x v="0"/>
    <n v="197.69"/>
    <s v="Main Bank"/>
    <s v="Bank Transfer"/>
    <s v="Energy Provider"/>
  </r>
  <r>
    <s v="TXN102356"/>
    <x v="328"/>
    <x v="34"/>
    <x v="0"/>
    <x v="5"/>
    <x v="0"/>
    <n v="29.54"/>
    <s v="Main Bank"/>
    <s v="Bank Transfer"/>
    <s v="Local Restaurant"/>
  </r>
  <r>
    <s v="TXN102198"/>
    <x v="328"/>
    <x v="67"/>
    <x v="3"/>
    <x v="6"/>
    <x v="1"/>
    <n v="780.52"/>
    <s v="Revolut"/>
    <s v="Debit Card"/>
    <s v="Freelance Client"/>
  </r>
  <r>
    <s v="TXN101523"/>
    <x v="328"/>
    <x v="73"/>
    <x v="6"/>
    <x v="12"/>
    <x v="0"/>
    <n v="11.94"/>
    <s v="Main Bank"/>
    <s v="Direct Debit"/>
    <s v="Aral"/>
  </r>
  <r>
    <s v="TXN101133"/>
    <x v="329"/>
    <x v="50"/>
    <x v="4"/>
    <x v="17"/>
    <x v="0"/>
    <n v="56.61"/>
    <s v="Main Bank"/>
    <s v="Debit Card"/>
    <s v="Energy Provider"/>
  </r>
  <r>
    <s v="TXN101241"/>
    <x v="329"/>
    <x v="72"/>
    <x v="3"/>
    <x v="8"/>
    <x v="1"/>
    <n v="301.44"/>
    <s v="Savings"/>
    <s v="Credit Card"/>
    <s v="Employer"/>
  </r>
  <r>
    <s v="TXN102479"/>
    <x v="329"/>
    <x v="81"/>
    <x v="0"/>
    <x v="5"/>
    <x v="0"/>
    <n v="19.37"/>
    <s v="Main Bank"/>
    <s v="Debit Card"/>
    <s v="REWE"/>
  </r>
  <r>
    <s v="TXN103490"/>
    <x v="330"/>
    <x v="42"/>
    <x v="6"/>
    <x v="15"/>
    <x v="0"/>
    <n v="102.91"/>
    <s v="Main Bank"/>
    <s v="Debit Card"/>
    <s v="Local Transit"/>
  </r>
  <r>
    <s v="TXN103096"/>
    <x v="330"/>
    <x v="3"/>
    <x v="1"/>
    <x v="2"/>
    <x v="0"/>
    <n v="25.28"/>
    <s v="Revolut"/>
    <s v="Debit Card"/>
    <s v="Spotify"/>
  </r>
  <r>
    <s v="TXN102467"/>
    <x v="330"/>
    <x v="37"/>
    <x v="6"/>
    <x v="12"/>
    <x v="0"/>
    <n v="74.89"/>
    <s v="Savings"/>
    <s v="Cash"/>
    <s v="Shell"/>
  </r>
  <r>
    <s v="TXN102690"/>
    <x v="330"/>
    <x v="30"/>
    <x v="6"/>
    <x v="11"/>
    <x v="0"/>
    <n v="28.31"/>
    <s v="Revolut"/>
    <s v="Credit Card"/>
    <s v="DB"/>
  </r>
  <r>
    <s v="TXN103247"/>
    <x v="330"/>
    <x v="24"/>
    <x v="2"/>
    <x v="16"/>
    <x v="0"/>
    <n v="413.26"/>
    <s v="Main Bank"/>
    <s v="Debit Card"/>
    <s v="MediaMarkt"/>
  </r>
  <r>
    <s v="TXN102223"/>
    <x v="330"/>
    <x v="71"/>
    <x v="4"/>
    <x v="17"/>
    <x v="0"/>
    <n v="417.65"/>
    <s v="Main Bank"/>
    <s v="Credit Card"/>
    <s v="Vodafone"/>
  </r>
  <r>
    <s v="TXN100929"/>
    <x v="330"/>
    <x v="18"/>
    <x v="1"/>
    <x v="13"/>
    <x v="0"/>
    <n v="92.37"/>
    <s v="Main Bank"/>
    <s v="Credit Card"/>
    <s v="Netflix"/>
  </r>
  <r>
    <s v="TXN102670"/>
    <x v="330"/>
    <x v="25"/>
    <x v="0"/>
    <x v="0"/>
    <x v="0"/>
    <n v="19.399999999999999"/>
    <s v="Revolut"/>
    <s v="Cash"/>
    <s v="McDonald's"/>
  </r>
  <r>
    <s v="TXN102633"/>
    <x v="330"/>
    <x v="75"/>
    <x v="4"/>
    <x v="7"/>
    <x v="0"/>
    <n v="368.83"/>
    <s v="Savings"/>
    <s v="Direct Debit"/>
    <s v="Energy Provider"/>
  </r>
  <r>
    <s v="TXN101464"/>
    <x v="331"/>
    <x v="77"/>
    <x v="1"/>
    <x v="22"/>
    <x v="0"/>
    <n v="48.07"/>
    <s v="Main Bank"/>
    <s v="Debit Card"/>
    <s v="Steam"/>
  </r>
  <r>
    <s v="TXN101721"/>
    <x v="331"/>
    <x v="81"/>
    <x v="0"/>
    <x v="5"/>
    <x v="0"/>
    <n v="86.23"/>
    <s v="Main Bank"/>
    <s v="Debit Card"/>
    <s v="REWE"/>
  </r>
  <r>
    <s v="TXN100594"/>
    <x v="331"/>
    <x v="36"/>
    <x v="6"/>
    <x v="15"/>
    <x v="0"/>
    <n v="64.52"/>
    <s v="Revolut"/>
    <s v="Bank Transfer"/>
    <s v="Aral"/>
  </r>
  <r>
    <s v="TXN102506"/>
    <x v="331"/>
    <x v="53"/>
    <x v="4"/>
    <x v="19"/>
    <x v="0"/>
    <n v="222.73"/>
    <s v="Revolut"/>
    <s v="Debit Card"/>
    <s v="Energy Provider"/>
  </r>
  <r>
    <s v="TXN101324"/>
    <x v="331"/>
    <x v="25"/>
    <x v="0"/>
    <x v="0"/>
    <x v="0"/>
    <n v="70.69"/>
    <s v="Revolut"/>
    <s v="Cash"/>
    <s v="McDonald's"/>
  </r>
  <r>
    <s v="TXN100586"/>
    <x v="331"/>
    <x v="0"/>
    <x v="0"/>
    <x v="0"/>
    <x v="0"/>
    <n v="75.989999999999995"/>
    <s v="Revolut"/>
    <s v="Credit Card"/>
    <s v="Lidl"/>
  </r>
  <r>
    <s v="TXN102799"/>
    <x v="331"/>
    <x v="31"/>
    <x v="3"/>
    <x v="6"/>
    <x v="1"/>
    <n v="598.45000000000005"/>
    <s v="Savings"/>
    <s v="Debit Card"/>
    <s v="Employer"/>
  </r>
  <r>
    <s v="TXN101048"/>
    <x v="331"/>
    <x v="47"/>
    <x v="4"/>
    <x v="19"/>
    <x v="0"/>
    <n v="342.2"/>
    <s v="Main Bank"/>
    <s v="Debit Card"/>
    <s v="Landlord"/>
  </r>
  <r>
    <s v="TXN101030"/>
    <x v="331"/>
    <x v="31"/>
    <x v="3"/>
    <x v="6"/>
    <x v="1"/>
    <n v="663.94"/>
    <s v="Main Bank"/>
    <s v="Debit Card"/>
    <s v="Employer"/>
  </r>
  <r>
    <s v="TXN103348"/>
    <x v="331"/>
    <x v="2"/>
    <x v="0"/>
    <x v="1"/>
    <x v="0"/>
    <n v="55.82"/>
    <s v="Main Bank"/>
    <s v="Cash"/>
    <s v="Lidl"/>
  </r>
  <r>
    <s v="TXN102129"/>
    <x v="332"/>
    <x v="9"/>
    <x v="3"/>
    <x v="6"/>
    <x v="1"/>
    <n v="902.04"/>
    <s v="Savings"/>
    <s v="Bank Transfer"/>
    <s v="Employer Bonus"/>
  </r>
  <r>
    <s v="TXN103398"/>
    <x v="332"/>
    <x v="67"/>
    <x v="3"/>
    <x v="6"/>
    <x v="1"/>
    <n v="792.96"/>
    <s v="Main Bank"/>
    <s v="Debit Card"/>
    <s v="Freelance Client"/>
  </r>
  <r>
    <s v="TXN101330"/>
    <x v="332"/>
    <x v="62"/>
    <x v="2"/>
    <x v="4"/>
    <x v="0"/>
    <n v="95.54"/>
    <s v="Main Bank"/>
    <s v="Bank Transfer"/>
    <s v="IKEA"/>
  </r>
  <r>
    <s v="TXN100977"/>
    <x v="332"/>
    <x v="35"/>
    <x v="1"/>
    <x v="13"/>
    <x v="0"/>
    <n v="36.4"/>
    <s v="Revolut"/>
    <s v="Credit Card"/>
    <s v="Steam"/>
  </r>
  <r>
    <s v="TXN100152"/>
    <x v="332"/>
    <x v="34"/>
    <x v="0"/>
    <x v="5"/>
    <x v="0"/>
    <n v="16.190000000000001"/>
    <s v="Main Bank"/>
    <s v="Debit Card"/>
    <s v="Local Restaurant"/>
  </r>
  <r>
    <s v="TXN102056"/>
    <x v="332"/>
    <x v="65"/>
    <x v="1"/>
    <x v="2"/>
    <x v="0"/>
    <n v="31.21"/>
    <s v="Main Bank"/>
    <s v="Debit Card"/>
    <s v="Netflix"/>
  </r>
  <r>
    <s v="TXN102826"/>
    <x v="332"/>
    <x v="9"/>
    <x v="3"/>
    <x v="6"/>
    <x v="1"/>
    <n v="758.85"/>
    <s v="Main Bank"/>
    <s v="Bank Transfer"/>
    <s v="Employer Bonus"/>
  </r>
  <r>
    <s v="TXN102204"/>
    <x v="333"/>
    <x v="63"/>
    <x v="4"/>
    <x v="19"/>
    <x v="0"/>
    <n v="143.99"/>
    <s v="Main Bank"/>
    <s v="Credit Card"/>
    <s v="Vodafone"/>
  </r>
  <r>
    <s v="TXN103283"/>
    <x v="333"/>
    <x v="41"/>
    <x v="3"/>
    <x v="10"/>
    <x v="1"/>
    <n v="2498.7199999999998"/>
    <s v="Main Bank"/>
    <s v="Credit Card"/>
    <s v="Employer Bonus"/>
  </r>
  <r>
    <s v="TXN101262"/>
    <x v="333"/>
    <x v="92"/>
    <x v="5"/>
    <x v="20"/>
    <x v="0"/>
    <n v="211.31"/>
    <s v="Main Bank"/>
    <s v="Direct Debit"/>
    <s v="Travel Agency"/>
  </r>
  <r>
    <s v="TXN101863"/>
    <x v="333"/>
    <x v="2"/>
    <x v="0"/>
    <x v="1"/>
    <x v="0"/>
    <n v="86.91"/>
    <s v="Main Bank"/>
    <s v="Bank Transfer"/>
    <s v="Lidl"/>
  </r>
  <r>
    <s v="TXN100985"/>
    <x v="334"/>
    <x v="28"/>
    <x v="7"/>
    <x v="14"/>
    <x v="0"/>
    <n v="70.66"/>
    <s v="Main Bank"/>
    <s v="Credit Card"/>
    <s v="Pharmacy"/>
  </r>
  <r>
    <s v="TXN100918"/>
    <x v="334"/>
    <x v="13"/>
    <x v="3"/>
    <x v="10"/>
    <x v="1"/>
    <n v="2499.83"/>
    <s v="Main Bank"/>
    <s v="Credit Card"/>
    <s v="Freelance Client"/>
  </r>
  <r>
    <s v="TXN102581"/>
    <x v="334"/>
    <x v="54"/>
    <x v="0"/>
    <x v="5"/>
    <x v="0"/>
    <n v="38.01"/>
    <s v="Main Bank"/>
    <s v="Debit Card"/>
    <s v="Lidl"/>
  </r>
  <r>
    <s v="TXN101991"/>
    <x v="335"/>
    <x v="27"/>
    <x v="5"/>
    <x v="9"/>
    <x v="0"/>
    <n v="979.93"/>
    <s v="Main Bank"/>
    <s v="Bank Transfer"/>
    <s v="Hotel"/>
  </r>
  <r>
    <s v="TXN102133"/>
    <x v="335"/>
    <x v="5"/>
    <x v="2"/>
    <x v="4"/>
    <x v="0"/>
    <n v="159.06"/>
    <s v="Main Bank"/>
    <s v="Bank Transfer"/>
    <s v="Amazon"/>
  </r>
  <r>
    <s v="TXN102803"/>
    <x v="335"/>
    <x v="41"/>
    <x v="3"/>
    <x v="10"/>
    <x v="1"/>
    <n v="2893.05"/>
    <s v="Savings"/>
    <s v="Cash"/>
    <s v="Employer Bonus"/>
  </r>
  <r>
    <s v="TXN101836"/>
    <x v="335"/>
    <x v="74"/>
    <x v="1"/>
    <x v="13"/>
    <x v="0"/>
    <n v="19.28"/>
    <s v="Main Bank"/>
    <s v="Debit Card"/>
    <s v="Cinema"/>
  </r>
  <r>
    <s v="TXN102899"/>
    <x v="335"/>
    <x v="15"/>
    <x v="6"/>
    <x v="11"/>
    <x v="0"/>
    <n v="94.83"/>
    <s v="Revolut"/>
    <s v="Debit Card"/>
    <s v="Auto Service"/>
  </r>
  <r>
    <s v="TXN100812"/>
    <x v="335"/>
    <x v="13"/>
    <x v="3"/>
    <x v="10"/>
    <x v="1"/>
    <n v="2476.52"/>
    <s v="Revolut"/>
    <s v="Debit Card"/>
    <s v="Freelance Client"/>
  </r>
  <r>
    <s v="TXN103464"/>
    <x v="335"/>
    <x v="65"/>
    <x v="1"/>
    <x v="2"/>
    <x v="0"/>
    <n v="26.48"/>
    <s v="Main Bank"/>
    <s v="Debit Card"/>
    <s v="Netflix"/>
  </r>
  <r>
    <s v="TXN103231"/>
    <x v="336"/>
    <x v="68"/>
    <x v="2"/>
    <x v="4"/>
    <x v="0"/>
    <n v="110"/>
    <s v="Main Bank"/>
    <s v="Debit Card"/>
    <s v="MediaMarkt"/>
  </r>
  <r>
    <s v="TXN102825"/>
    <x v="336"/>
    <x v="30"/>
    <x v="6"/>
    <x v="11"/>
    <x v="0"/>
    <n v="49.71"/>
    <s v="Main Bank"/>
    <s v="Credit Card"/>
    <s v="DB"/>
  </r>
  <r>
    <s v="TXN100740"/>
    <x v="336"/>
    <x v="37"/>
    <x v="6"/>
    <x v="12"/>
    <x v="0"/>
    <n v="10.23"/>
    <s v="Main Bank"/>
    <s v="Debit Card"/>
    <s v="Shell"/>
  </r>
  <r>
    <s v="TXN102091"/>
    <x v="336"/>
    <x v="27"/>
    <x v="5"/>
    <x v="9"/>
    <x v="0"/>
    <n v="397.11"/>
    <s v="Main Bank"/>
    <s v="Direct Debit"/>
    <s v="Hotel"/>
  </r>
  <r>
    <s v="TXN102716"/>
    <x v="336"/>
    <x v="25"/>
    <x v="0"/>
    <x v="0"/>
    <x v="0"/>
    <n v="73.150000000000006"/>
    <s v="Main Bank"/>
    <s v="Debit Card"/>
    <s v="McDonald's"/>
  </r>
  <r>
    <s v="TXN101029"/>
    <x v="337"/>
    <x v="8"/>
    <x v="0"/>
    <x v="5"/>
    <x v="0"/>
    <n v="77.48"/>
    <s v="Revolut"/>
    <s v="Debit Card"/>
    <s v="McDonald's"/>
  </r>
  <r>
    <s v="TXN102351"/>
    <x v="337"/>
    <x v="80"/>
    <x v="1"/>
    <x v="22"/>
    <x v="0"/>
    <n v="23.37"/>
    <s v="Main Bank"/>
    <s v="Debit Card"/>
    <s v="Cinema"/>
  </r>
  <r>
    <s v="TXN103070"/>
    <x v="338"/>
    <x v="77"/>
    <x v="1"/>
    <x v="22"/>
    <x v="0"/>
    <n v="56.05"/>
    <s v="Main Bank"/>
    <s v="Debit Card"/>
    <s v="Steam"/>
  </r>
  <r>
    <s v="TXN100384"/>
    <x v="338"/>
    <x v="67"/>
    <x v="3"/>
    <x v="6"/>
    <x v="1"/>
    <n v="813.22"/>
    <s v="Revolut"/>
    <s v="Bank Transfer"/>
    <s v="Freelance Client"/>
  </r>
  <r>
    <s v="TXN102075"/>
    <x v="338"/>
    <x v="13"/>
    <x v="3"/>
    <x v="10"/>
    <x v="1"/>
    <n v="2178.4699999999998"/>
    <s v="Main Bank"/>
    <s v="Credit Card"/>
    <s v="Freelance Client"/>
  </r>
  <r>
    <s v="TXN102228"/>
    <x v="339"/>
    <x v="76"/>
    <x v="1"/>
    <x v="22"/>
    <x v="0"/>
    <n v="17.920000000000002"/>
    <s v="Revolut"/>
    <s v="Cash"/>
    <s v="Netflix"/>
  </r>
  <r>
    <s v="TXN102020"/>
    <x v="339"/>
    <x v="35"/>
    <x v="1"/>
    <x v="13"/>
    <x v="0"/>
    <n v="40.24"/>
    <s v="Main Bank"/>
    <s v="Debit Card"/>
    <s v="Steam"/>
  </r>
  <r>
    <s v="TXN102028"/>
    <x v="339"/>
    <x v="9"/>
    <x v="3"/>
    <x v="6"/>
    <x v="1"/>
    <n v="668"/>
    <s v="Savings"/>
    <s v="Debit Card"/>
    <s v="Employer Bonus"/>
  </r>
  <r>
    <s v="TXN102063"/>
    <x v="339"/>
    <x v="41"/>
    <x v="3"/>
    <x v="10"/>
    <x v="1"/>
    <n v="2418.84"/>
    <s v="Main Bank"/>
    <s v="Direct Debit"/>
    <s v="Employer Bonus"/>
  </r>
  <r>
    <s v="TXN103365"/>
    <x v="339"/>
    <x v="11"/>
    <x v="3"/>
    <x v="8"/>
    <x v="1"/>
    <n v="289.8"/>
    <s v="Revolut"/>
    <s v="Debit Card"/>
    <s v="Freelance Client"/>
  </r>
  <r>
    <s v="TXN100347"/>
    <x v="339"/>
    <x v="60"/>
    <x v="1"/>
    <x v="22"/>
    <x v="0"/>
    <n v="20.07"/>
    <s v="Main Bank"/>
    <s v="Direct Debit"/>
    <s v="Spotify"/>
  </r>
  <r>
    <s v="TXN101180"/>
    <x v="339"/>
    <x v="24"/>
    <x v="2"/>
    <x v="16"/>
    <x v="0"/>
    <n v="85.17"/>
    <s v="Revolut"/>
    <s v="Credit Card"/>
    <s v="MediaMarkt"/>
  </r>
  <r>
    <s v="TXN101822"/>
    <x v="339"/>
    <x v="29"/>
    <x v="0"/>
    <x v="1"/>
    <x v="0"/>
    <n v="28.47"/>
    <s v="Revolut"/>
    <s v="Credit Card"/>
    <s v="REWE"/>
  </r>
  <r>
    <s v="TXN100170"/>
    <x v="340"/>
    <x v="18"/>
    <x v="1"/>
    <x v="13"/>
    <x v="0"/>
    <n v="64.02"/>
    <s v="Revolut"/>
    <s v="Bank Transfer"/>
    <s v="Netflix"/>
  </r>
  <r>
    <s v="TXN102536"/>
    <x v="340"/>
    <x v="72"/>
    <x v="3"/>
    <x v="8"/>
    <x v="1"/>
    <n v="344.5"/>
    <s v="Revolut"/>
    <s v="Cash"/>
    <s v="Employer"/>
  </r>
  <r>
    <s v="TXN102170"/>
    <x v="340"/>
    <x v="59"/>
    <x v="6"/>
    <x v="11"/>
    <x v="0"/>
    <n v="72.06"/>
    <s v="Main Bank"/>
    <s v="Bank Transfer"/>
    <s v="Aral"/>
  </r>
  <r>
    <s v="TXN100773"/>
    <x v="340"/>
    <x v="7"/>
    <x v="0"/>
    <x v="0"/>
    <x v="0"/>
    <n v="61.43"/>
    <s v="Main Bank"/>
    <s v="Direct Debit"/>
    <s v="Local Restaurant"/>
  </r>
  <r>
    <s v="TXN100293"/>
    <x v="340"/>
    <x v="31"/>
    <x v="3"/>
    <x v="6"/>
    <x v="1"/>
    <n v="598.98"/>
    <s v="Main Bank"/>
    <s v="Debit Card"/>
    <s v="Employer"/>
  </r>
  <r>
    <s v="TXN100133"/>
    <x v="340"/>
    <x v="38"/>
    <x v="4"/>
    <x v="7"/>
    <x v="0"/>
    <n v="448.51"/>
    <s v="Revolut"/>
    <s v="Direct Debit"/>
    <s v="Vodafone"/>
  </r>
  <r>
    <s v="TXN101411"/>
    <x v="341"/>
    <x v="8"/>
    <x v="0"/>
    <x v="5"/>
    <x v="0"/>
    <n v="67.52"/>
    <s v="Main Bank"/>
    <s v="Debit Card"/>
    <s v="McDonald's"/>
  </r>
  <r>
    <s v="TXN101770"/>
    <x v="341"/>
    <x v="51"/>
    <x v="6"/>
    <x v="15"/>
    <x v="0"/>
    <n v="119.9"/>
    <s v="Main Bank"/>
    <s v="Credit Card"/>
    <s v="DB"/>
  </r>
  <r>
    <s v="TXN101702"/>
    <x v="341"/>
    <x v="23"/>
    <x v="6"/>
    <x v="15"/>
    <x v="0"/>
    <n v="23.26"/>
    <s v="Main Bank"/>
    <s v="Debit Card"/>
    <s v="Shell"/>
  </r>
  <r>
    <s v="TXN100869"/>
    <x v="342"/>
    <x v="67"/>
    <x v="3"/>
    <x v="6"/>
    <x v="1"/>
    <n v="568.49"/>
    <s v="Revolut"/>
    <s v="Direct Debit"/>
    <s v="Freelance Client"/>
  </r>
  <r>
    <s v="TXN100582"/>
    <x v="342"/>
    <x v="31"/>
    <x v="3"/>
    <x v="6"/>
    <x v="1"/>
    <n v="667.24"/>
    <s v="Main Bank"/>
    <s v="Bank Transfer"/>
    <s v="Employer"/>
  </r>
  <r>
    <s v="TXN100362"/>
    <x v="342"/>
    <x v="74"/>
    <x v="1"/>
    <x v="13"/>
    <x v="0"/>
    <n v="41.37"/>
    <s v="Main Bank"/>
    <s v="Debit Card"/>
    <s v="Cinema"/>
  </r>
  <r>
    <s v="TXN100119"/>
    <x v="342"/>
    <x v="72"/>
    <x v="3"/>
    <x v="8"/>
    <x v="1"/>
    <n v="393.88"/>
    <s v="Main Bank"/>
    <s v="Debit Card"/>
    <s v="Employer"/>
  </r>
  <r>
    <s v="TXN102719"/>
    <x v="342"/>
    <x v="16"/>
    <x v="3"/>
    <x v="10"/>
    <x v="1"/>
    <n v="2237.94"/>
    <s v="Main Bank"/>
    <s v="Debit Card"/>
    <s v="Employer"/>
  </r>
  <r>
    <s v="TXN100304"/>
    <x v="342"/>
    <x v="77"/>
    <x v="1"/>
    <x v="22"/>
    <x v="0"/>
    <n v="44.05"/>
    <s v="Revolut"/>
    <s v="Direct Debit"/>
    <s v="Steam"/>
  </r>
  <r>
    <s v="TXN100825"/>
    <x v="342"/>
    <x v="57"/>
    <x v="2"/>
    <x v="3"/>
    <x v="0"/>
    <n v="158.19"/>
    <s v="Main Bank"/>
    <s v="Debit Card"/>
    <s v="IKEA"/>
  </r>
  <r>
    <s v="TXN101957"/>
    <x v="342"/>
    <x v="65"/>
    <x v="1"/>
    <x v="2"/>
    <x v="0"/>
    <n v="10.42"/>
    <s v="Main Bank"/>
    <s v="Bank Transfer"/>
    <s v="Netflix"/>
  </r>
  <r>
    <s v="TXN103142"/>
    <x v="342"/>
    <x v="72"/>
    <x v="3"/>
    <x v="8"/>
    <x v="1"/>
    <n v="365.89"/>
    <s v="Revolut"/>
    <s v="Debit Card"/>
    <s v="Employer"/>
  </r>
  <r>
    <s v="TXN101570"/>
    <x v="343"/>
    <x v="85"/>
    <x v="2"/>
    <x v="16"/>
    <x v="0"/>
    <n v="278.19"/>
    <s v="Main Bank"/>
    <s v="Credit Card"/>
    <s v="IKEA"/>
  </r>
  <r>
    <s v="TXN103064"/>
    <x v="343"/>
    <x v="80"/>
    <x v="1"/>
    <x v="22"/>
    <x v="0"/>
    <n v="39.58"/>
    <s v="Main Bank"/>
    <s v="Direct Debit"/>
    <s v="Cinema"/>
  </r>
  <r>
    <s v="TXN100583"/>
    <x v="344"/>
    <x v="33"/>
    <x v="2"/>
    <x v="16"/>
    <x v="0"/>
    <n v="177.31"/>
    <s v="Main Bank"/>
    <s v="Debit Card"/>
    <s v="Amazon"/>
  </r>
  <r>
    <s v="TXN102710"/>
    <x v="344"/>
    <x v="1"/>
    <x v="0"/>
    <x v="0"/>
    <x v="0"/>
    <n v="96.05"/>
    <s v="Main Bank"/>
    <s v="Credit Card"/>
    <s v="EDEKA"/>
  </r>
  <r>
    <s v="TXN102764"/>
    <x v="344"/>
    <x v="57"/>
    <x v="2"/>
    <x v="3"/>
    <x v="0"/>
    <n v="340.03"/>
    <s v="Main Bank"/>
    <s v="Cash"/>
    <s v="IKEA"/>
  </r>
  <r>
    <s v="TXN102486"/>
    <x v="344"/>
    <x v="16"/>
    <x v="3"/>
    <x v="10"/>
    <x v="1"/>
    <n v="2702.25"/>
    <s v="Revolut"/>
    <s v="Debit Card"/>
    <s v="Employer"/>
  </r>
  <r>
    <s v="TXN101485"/>
    <x v="344"/>
    <x v="30"/>
    <x v="6"/>
    <x v="11"/>
    <x v="0"/>
    <n v="51.73"/>
    <s v="Revolut"/>
    <s v="Credit Card"/>
    <s v="DB"/>
  </r>
  <r>
    <s v="TXN103371"/>
    <x v="345"/>
    <x v="25"/>
    <x v="0"/>
    <x v="0"/>
    <x v="0"/>
    <n v="60.13"/>
    <s v="Main Bank"/>
    <s v="Debit Card"/>
    <s v="McDonald's"/>
  </r>
  <r>
    <s v="TXN100946"/>
    <x v="345"/>
    <x v="75"/>
    <x v="4"/>
    <x v="7"/>
    <x v="0"/>
    <n v="123.17"/>
    <s v="Main Bank"/>
    <s v="Debit Card"/>
    <s v="Energy Provider"/>
  </r>
  <r>
    <s v="TXN100620"/>
    <x v="345"/>
    <x v="19"/>
    <x v="7"/>
    <x v="14"/>
    <x v="0"/>
    <n v="49.27"/>
    <s v="Main Bank"/>
    <s v="Bank Transfer"/>
    <s v="Gym"/>
  </r>
  <r>
    <s v="TXN100814"/>
    <x v="346"/>
    <x v="72"/>
    <x v="3"/>
    <x v="8"/>
    <x v="1"/>
    <n v="394.73"/>
    <s v="Revolut"/>
    <s v="Credit Card"/>
    <s v="Employer"/>
  </r>
  <r>
    <s v="TXN100150"/>
    <x v="346"/>
    <x v="6"/>
    <x v="0"/>
    <x v="1"/>
    <x v="0"/>
    <n v="32.700000000000003"/>
    <s v="Main Bank"/>
    <s v="Debit Card"/>
    <s v="McDonald's"/>
  </r>
  <r>
    <s v="TXN102732"/>
    <x v="347"/>
    <x v="68"/>
    <x v="2"/>
    <x v="4"/>
    <x v="0"/>
    <n v="86.48"/>
    <s v="Revolut"/>
    <s v="Bank Transfer"/>
    <s v="MediaMarkt"/>
  </r>
  <r>
    <s v="TXN100964"/>
    <x v="347"/>
    <x v="36"/>
    <x v="6"/>
    <x v="15"/>
    <x v="0"/>
    <n v="107.65"/>
    <s v="Revolut"/>
    <s v="Direct Debit"/>
    <s v="Aral"/>
  </r>
  <r>
    <s v="TXN103389"/>
    <x v="348"/>
    <x v="50"/>
    <x v="4"/>
    <x v="17"/>
    <x v="0"/>
    <n v="273.74"/>
    <s v="Main Bank"/>
    <s v="Debit Card"/>
    <s v="Energy Provider"/>
  </r>
  <r>
    <s v="TXN102802"/>
    <x v="348"/>
    <x v="72"/>
    <x v="3"/>
    <x v="8"/>
    <x v="1"/>
    <n v="363.01"/>
    <s v="Revolut"/>
    <s v="Direct Debit"/>
    <s v="Employer"/>
  </r>
  <r>
    <s v="TXN101353"/>
    <x v="348"/>
    <x v="40"/>
    <x v="6"/>
    <x v="12"/>
    <x v="0"/>
    <n v="25.52"/>
    <s v="Main Bank"/>
    <s v="Debit Card"/>
    <s v="DB"/>
  </r>
  <r>
    <s v="TXN100156"/>
    <x v="349"/>
    <x v="25"/>
    <x v="0"/>
    <x v="0"/>
    <x v="0"/>
    <n v="44.14"/>
    <s v="Main Bank"/>
    <s v="Bank Transfer"/>
    <s v="McDonald's"/>
  </r>
  <r>
    <s v="TXN101019"/>
    <x v="349"/>
    <x v="16"/>
    <x v="3"/>
    <x v="10"/>
    <x v="1"/>
    <n v="2743.85"/>
    <s v="Main Bank"/>
    <s v="Debit Card"/>
    <s v="Employer"/>
  </r>
  <r>
    <s v="TXN102913"/>
    <x v="350"/>
    <x v="28"/>
    <x v="7"/>
    <x v="14"/>
    <x v="0"/>
    <n v="154.47999999999999"/>
    <s v="Main Bank"/>
    <s v="Bank Transfer"/>
    <s v="Pharmacy"/>
  </r>
  <r>
    <s v="TXN102307"/>
    <x v="350"/>
    <x v="53"/>
    <x v="4"/>
    <x v="19"/>
    <x v="0"/>
    <n v="283.57"/>
    <s v="Revolut"/>
    <s v="Credit Card"/>
    <s v="Energy Provider"/>
  </r>
  <r>
    <s v="TXN102724"/>
    <x v="350"/>
    <x v="22"/>
    <x v="2"/>
    <x v="4"/>
    <x v="0"/>
    <n v="157.69"/>
    <s v="Revolut"/>
    <s v="Direct Debit"/>
    <s v="Zalando"/>
  </r>
  <r>
    <s v="TXN101573"/>
    <x v="350"/>
    <x v="70"/>
    <x v="7"/>
    <x v="18"/>
    <x v="0"/>
    <n v="35.71"/>
    <s v="Main Bank"/>
    <s v="Cash"/>
    <s v="Pharmacy"/>
  </r>
  <r>
    <s v="TXN103272"/>
    <x v="350"/>
    <x v="43"/>
    <x v="4"/>
    <x v="17"/>
    <x v="0"/>
    <n v="90.91"/>
    <s v="Main Bank"/>
    <s v="Debit Card"/>
    <s v="Landlord"/>
  </r>
  <r>
    <s v="TXN100910"/>
    <x v="350"/>
    <x v="51"/>
    <x v="6"/>
    <x v="15"/>
    <x v="0"/>
    <n v="109.1"/>
    <s v="Revolut"/>
    <s v="Credit Card"/>
    <s v="DB"/>
  </r>
  <r>
    <s v="TXN103271"/>
    <x v="350"/>
    <x v="2"/>
    <x v="0"/>
    <x v="1"/>
    <x v="0"/>
    <n v="54.73"/>
    <s v="Main Bank"/>
    <s v="Bank Transfer"/>
    <s v="Lidl"/>
  </r>
  <r>
    <s v="TXN101889"/>
    <x v="350"/>
    <x v="28"/>
    <x v="7"/>
    <x v="14"/>
    <x v="0"/>
    <n v="23.26"/>
    <s v="Main Bank"/>
    <s v="Debit Card"/>
    <s v="Pharmacy"/>
  </r>
  <r>
    <s v="TXN100135"/>
    <x v="351"/>
    <x v="55"/>
    <x v="3"/>
    <x v="8"/>
    <x v="1"/>
    <n v="325.42"/>
    <s v="Main Bank"/>
    <s v="Debit Card"/>
    <s v="Employer Bonus"/>
  </r>
  <r>
    <s v="TXN101945"/>
    <x v="351"/>
    <x v="87"/>
    <x v="5"/>
    <x v="20"/>
    <x v="0"/>
    <n v="1048.96"/>
    <s v="Main Bank"/>
    <s v="Direct Debit"/>
    <s v="Booking.com"/>
  </r>
  <r>
    <s v="TXN100632"/>
    <x v="351"/>
    <x v="9"/>
    <x v="3"/>
    <x v="6"/>
    <x v="1"/>
    <n v="737.3"/>
    <s v="Revolut"/>
    <s v="Debit Card"/>
    <s v="Employer Bonus"/>
  </r>
  <r>
    <s v="TXN103265"/>
    <x v="351"/>
    <x v="91"/>
    <x v="5"/>
    <x v="23"/>
    <x v="0"/>
    <n v="165.47"/>
    <s v="Revolut"/>
    <s v="Credit Card"/>
    <s v="Hotel"/>
  </r>
  <r>
    <s v="TXN101791"/>
    <x v="351"/>
    <x v="21"/>
    <x v="0"/>
    <x v="1"/>
    <x v="0"/>
    <n v="33.97"/>
    <s v="Revolut"/>
    <s v="Debit Card"/>
    <s v="EDEKA"/>
  </r>
  <r>
    <s v="TXN100521"/>
    <x v="351"/>
    <x v="60"/>
    <x v="1"/>
    <x v="22"/>
    <x v="0"/>
    <n v="19.22"/>
    <s v="Main Bank"/>
    <s v="Bank Transfer"/>
    <s v="Spotify"/>
  </r>
  <r>
    <s v="TXN100598"/>
    <x v="351"/>
    <x v="54"/>
    <x v="0"/>
    <x v="5"/>
    <x v="0"/>
    <n v="25.3"/>
    <s v="Main Bank"/>
    <s v="Credit Card"/>
    <s v="Lidl"/>
  </r>
  <r>
    <s v="TXN102549"/>
    <x v="352"/>
    <x v="37"/>
    <x v="6"/>
    <x v="12"/>
    <x v="0"/>
    <n v="143.09"/>
    <s v="Main Bank"/>
    <s v="Bank Transfer"/>
    <s v="Shell"/>
  </r>
  <r>
    <s v="TXN100913"/>
    <x v="352"/>
    <x v="18"/>
    <x v="1"/>
    <x v="13"/>
    <x v="0"/>
    <n v="28.31"/>
    <s v="Main Bank"/>
    <s v="Debit Card"/>
    <s v="Netflix"/>
  </r>
  <r>
    <s v="TXN102953"/>
    <x v="352"/>
    <x v="70"/>
    <x v="7"/>
    <x v="18"/>
    <x v="0"/>
    <n v="23.91"/>
    <s v="Main Bank"/>
    <s v="Debit Card"/>
    <s v="Pharmacy"/>
  </r>
  <r>
    <s v="TXN102861"/>
    <x v="352"/>
    <x v="72"/>
    <x v="3"/>
    <x v="8"/>
    <x v="1"/>
    <n v="384.74"/>
    <s v="Main Bank"/>
    <s v="Bank Transfer"/>
    <s v="Employer"/>
  </r>
  <r>
    <s v="TXN102952"/>
    <x v="352"/>
    <x v="64"/>
    <x v="7"/>
    <x v="21"/>
    <x v="0"/>
    <n v="79.099999999999994"/>
    <s v="Revolut"/>
    <s v="Credit Card"/>
    <s v="Pharmacy"/>
  </r>
  <r>
    <s v="TXN101493"/>
    <x v="352"/>
    <x v="29"/>
    <x v="0"/>
    <x v="1"/>
    <x v="0"/>
    <n v="55.1"/>
    <s v="Main Bank"/>
    <s v="Debit Card"/>
    <s v="REWE"/>
  </r>
  <r>
    <s v="TXN100280"/>
    <x v="353"/>
    <x v="86"/>
    <x v="5"/>
    <x v="9"/>
    <x v="0"/>
    <n v="57.98"/>
    <s v="Revolut"/>
    <s v="Debit Card"/>
    <s v="Booking.com"/>
  </r>
  <r>
    <s v="TXN103290"/>
    <x v="353"/>
    <x v="48"/>
    <x v="0"/>
    <x v="5"/>
    <x v="0"/>
    <n v="68.150000000000006"/>
    <s v="Savings"/>
    <s v="Bank Transfer"/>
    <s v="EDEKA"/>
  </r>
  <r>
    <s v="TXN103098"/>
    <x v="353"/>
    <x v="75"/>
    <x v="4"/>
    <x v="7"/>
    <x v="0"/>
    <n v="157.68"/>
    <s v="Main Bank"/>
    <s v="Debit Card"/>
    <s v="Energy Provider"/>
  </r>
  <r>
    <s v="TXN101966"/>
    <x v="353"/>
    <x v="22"/>
    <x v="2"/>
    <x v="4"/>
    <x v="0"/>
    <n v="56.13"/>
    <s v="Main Bank"/>
    <s v="Bank Transfer"/>
    <s v="Zalando"/>
  </r>
  <r>
    <s v="TXN102809"/>
    <x v="353"/>
    <x v="66"/>
    <x v="2"/>
    <x v="3"/>
    <x v="0"/>
    <n v="43.89"/>
    <s v="Main Bank"/>
    <s v="Credit Card"/>
    <s v="MediaMarkt"/>
  </r>
  <r>
    <s v="TXN101184"/>
    <x v="353"/>
    <x v="67"/>
    <x v="3"/>
    <x v="6"/>
    <x v="1"/>
    <n v="886.57"/>
    <s v="Main Bank"/>
    <s v="Debit Card"/>
    <s v="Freelance Client"/>
  </r>
  <r>
    <s v="TXN101741"/>
    <x v="353"/>
    <x v="13"/>
    <x v="3"/>
    <x v="10"/>
    <x v="1"/>
    <n v="2373.4899999999998"/>
    <s v="Revolut"/>
    <s v="Credit Card"/>
    <s v="Freelance Client"/>
  </r>
  <r>
    <s v="TXN101349"/>
    <x v="353"/>
    <x v="9"/>
    <x v="3"/>
    <x v="6"/>
    <x v="1"/>
    <n v="735.33"/>
    <s v="Main Bank"/>
    <s v="Bank Transfer"/>
    <s v="Employer Bonus"/>
  </r>
  <r>
    <s v="TXN103022"/>
    <x v="353"/>
    <x v="23"/>
    <x v="6"/>
    <x v="15"/>
    <x v="0"/>
    <n v="67.47"/>
    <s v="Savings"/>
    <s v="Credit Card"/>
    <s v="Shell"/>
  </r>
  <r>
    <s v="TXN103205"/>
    <x v="354"/>
    <x v="61"/>
    <x v="1"/>
    <x v="2"/>
    <x v="0"/>
    <n v="21.91"/>
    <s v="Main Bank"/>
    <s v="Bank Transfer"/>
    <s v="Steam"/>
  </r>
  <r>
    <s v="TXN100476"/>
    <x v="354"/>
    <x v="9"/>
    <x v="3"/>
    <x v="6"/>
    <x v="1"/>
    <n v="699.2"/>
    <s v="Main Bank"/>
    <s v="Direct Debit"/>
    <s v="Employer Bonus"/>
  </r>
  <r>
    <s v="TXN102255"/>
    <x v="354"/>
    <x v="55"/>
    <x v="3"/>
    <x v="8"/>
    <x v="1"/>
    <n v="345.77"/>
    <s v="Savings"/>
    <s v="Debit Card"/>
    <s v="Employer Bonus"/>
  </r>
  <r>
    <s v="TXN103042"/>
    <x v="354"/>
    <x v="31"/>
    <x v="3"/>
    <x v="6"/>
    <x v="1"/>
    <n v="634.55999999999995"/>
    <s v="Revolut"/>
    <s v="Credit Card"/>
    <s v="Employer"/>
  </r>
  <r>
    <s v="TXN100906"/>
    <x v="355"/>
    <x v="16"/>
    <x v="3"/>
    <x v="10"/>
    <x v="1"/>
    <n v="2179.13"/>
    <s v="Revolut"/>
    <s v="Credit Card"/>
    <s v="Employer"/>
  </r>
  <r>
    <s v="TXN100783"/>
    <x v="355"/>
    <x v="26"/>
    <x v="0"/>
    <x v="1"/>
    <x v="0"/>
    <n v="22.06"/>
    <s v="Main Bank"/>
    <s v="Cash"/>
    <s v="Local Restaurant"/>
  </r>
  <r>
    <s v="TXN102934"/>
    <x v="355"/>
    <x v="85"/>
    <x v="2"/>
    <x v="16"/>
    <x v="0"/>
    <n v="205.88"/>
    <s v="Main Bank"/>
    <s v="Bank Transfer"/>
    <s v="IKEA"/>
  </r>
  <r>
    <s v="TXN100165"/>
    <x v="355"/>
    <x v="38"/>
    <x v="4"/>
    <x v="7"/>
    <x v="0"/>
    <n v="625.55999999999995"/>
    <s v="Revolut"/>
    <s v="Direct Debit"/>
    <s v="Vodafone"/>
  </r>
  <r>
    <s v="TXN101537"/>
    <x v="355"/>
    <x v="21"/>
    <x v="0"/>
    <x v="1"/>
    <x v="0"/>
    <n v="93.31"/>
    <s v="Main Bank"/>
    <s v="Debit Card"/>
    <s v="EDEKA"/>
  </r>
  <r>
    <s v="TXN103425"/>
    <x v="355"/>
    <x v="13"/>
    <x v="3"/>
    <x v="10"/>
    <x v="1"/>
    <n v="2684.29"/>
    <s v="Main Bank"/>
    <s v="Debit Card"/>
    <s v="Freelance Client"/>
  </r>
  <r>
    <s v="TXN101879"/>
    <x v="356"/>
    <x v="25"/>
    <x v="0"/>
    <x v="0"/>
    <x v="0"/>
    <n v="31.37"/>
    <s v="Main Bank"/>
    <s v="Debit Card"/>
    <s v="McDonald's"/>
  </r>
  <r>
    <s v="TXN100127"/>
    <x v="356"/>
    <x v="67"/>
    <x v="3"/>
    <x v="6"/>
    <x v="1"/>
    <n v="716.02"/>
    <s v="Savings"/>
    <s v="Debit Card"/>
    <s v="Freelance Client"/>
  </r>
  <r>
    <s v="TXN100938"/>
    <x v="356"/>
    <x v="13"/>
    <x v="3"/>
    <x v="10"/>
    <x v="1"/>
    <n v="2564.61"/>
    <s v="Main Bank"/>
    <s v="Direct Debit"/>
    <s v="Freelance Client"/>
  </r>
  <r>
    <s v="TXN103208"/>
    <x v="356"/>
    <x v="64"/>
    <x v="7"/>
    <x v="21"/>
    <x v="0"/>
    <n v="19.940000000000001"/>
    <s v="Revolut"/>
    <s v="Debit Card"/>
    <s v="Pharmacy"/>
  </r>
  <r>
    <s v="TXN101783"/>
    <x v="356"/>
    <x v="4"/>
    <x v="2"/>
    <x v="3"/>
    <x v="0"/>
    <n v="192.96"/>
    <s v="Main Bank"/>
    <s v="Debit Card"/>
    <s v="Zalando"/>
  </r>
  <r>
    <s v="TXN102393"/>
    <x v="356"/>
    <x v="45"/>
    <x v="6"/>
    <x v="12"/>
    <x v="0"/>
    <n v="40.58"/>
    <s v="Savings"/>
    <s v="Direct Debit"/>
    <s v="Local Transit"/>
  </r>
  <r>
    <s v="TXN100420"/>
    <x v="356"/>
    <x v="82"/>
    <x v="7"/>
    <x v="18"/>
    <x v="0"/>
    <n v="93.69"/>
    <s v="Main Bank"/>
    <s v="Debit Card"/>
    <s v="Doctor"/>
  </r>
  <r>
    <s v="TXN101560"/>
    <x v="357"/>
    <x v="41"/>
    <x v="3"/>
    <x v="10"/>
    <x v="1"/>
    <n v="1647.76"/>
    <s v="Main Bank"/>
    <s v="Direct Debit"/>
    <s v="Employer Bonus"/>
  </r>
  <r>
    <s v="TXN100113"/>
    <x v="357"/>
    <x v="72"/>
    <x v="3"/>
    <x v="8"/>
    <x v="1"/>
    <n v="374.31"/>
    <s v="Main Bank"/>
    <s v="Direct Debit"/>
    <s v="Employer"/>
  </r>
  <r>
    <s v="TXN100576"/>
    <x v="357"/>
    <x v="67"/>
    <x v="3"/>
    <x v="6"/>
    <x v="1"/>
    <n v="587.46"/>
    <s v="Revolut"/>
    <s v="Bank Transfer"/>
    <s v="Freelance Client"/>
  </r>
  <r>
    <s v="TXN102224"/>
    <x v="357"/>
    <x v="34"/>
    <x v="0"/>
    <x v="5"/>
    <x v="0"/>
    <n v="27.52"/>
    <s v="Revolut"/>
    <s v="Debit Card"/>
    <s v="Local Restaurant"/>
  </r>
  <r>
    <s v="TXN101548"/>
    <x v="358"/>
    <x v="24"/>
    <x v="2"/>
    <x v="16"/>
    <x v="0"/>
    <n v="168.16"/>
    <s v="Revolut"/>
    <s v="Cash"/>
    <s v="MediaMarkt"/>
  </r>
  <r>
    <s v="TXN101422"/>
    <x v="358"/>
    <x v="22"/>
    <x v="2"/>
    <x v="4"/>
    <x v="0"/>
    <n v="173.84"/>
    <s v="Savings"/>
    <s v="Bank Transfer"/>
    <s v="Zalando"/>
  </r>
  <r>
    <s v="TXN101679"/>
    <x v="358"/>
    <x v="0"/>
    <x v="0"/>
    <x v="0"/>
    <x v="0"/>
    <n v="52.53"/>
    <s v="Main Bank"/>
    <s v="Bank Transfer"/>
    <s v="Lidl"/>
  </r>
  <r>
    <s v="TXN100737"/>
    <x v="358"/>
    <x v="51"/>
    <x v="6"/>
    <x v="15"/>
    <x v="0"/>
    <n v="45.32"/>
    <s v="Savings"/>
    <s v="Debit Card"/>
    <s v="DB"/>
  </r>
  <r>
    <s v="TXN101170"/>
    <x v="359"/>
    <x v="48"/>
    <x v="0"/>
    <x v="5"/>
    <x v="0"/>
    <n v="53.54"/>
    <s v="Main Bank"/>
    <s v="Debit Card"/>
    <s v="EDEKA"/>
  </r>
  <r>
    <s v="TXN100549"/>
    <x v="359"/>
    <x v="33"/>
    <x v="2"/>
    <x v="16"/>
    <x v="0"/>
    <n v="45.99"/>
    <s v="Main Bank"/>
    <s v="Bank Transfer"/>
    <s v="Amazon"/>
  </r>
  <r>
    <s v="TXN102841"/>
    <x v="359"/>
    <x v="30"/>
    <x v="6"/>
    <x v="11"/>
    <x v="0"/>
    <n v="45.23"/>
    <s v="Main Bank"/>
    <s v="Credit Card"/>
    <s v="DB"/>
  </r>
  <r>
    <s v="TXN103126"/>
    <x v="359"/>
    <x v="61"/>
    <x v="1"/>
    <x v="2"/>
    <x v="0"/>
    <n v="69.260000000000005"/>
    <s v="Main Bank"/>
    <s v="Bank Transfer"/>
    <s v="Steam"/>
  </r>
  <r>
    <s v="TXN102426"/>
    <x v="360"/>
    <x v="72"/>
    <x v="3"/>
    <x v="8"/>
    <x v="1"/>
    <n v="384.76"/>
    <s v="Main Bank"/>
    <s v="Direct Debit"/>
    <s v="Employer"/>
  </r>
  <r>
    <s v="TXN100202"/>
    <x v="360"/>
    <x v="71"/>
    <x v="4"/>
    <x v="17"/>
    <x v="0"/>
    <n v="503.94"/>
    <s v="Main Bank"/>
    <s v="Debit Card"/>
    <s v="Vodafone"/>
  </r>
  <r>
    <s v="TXN100827"/>
    <x v="360"/>
    <x v="30"/>
    <x v="6"/>
    <x v="11"/>
    <x v="0"/>
    <n v="143.99"/>
    <s v="Main Bank"/>
    <s v="Debit Card"/>
    <s v="DB"/>
  </r>
  <r>
    <s v="TXN100686"/>
    <x v="360"/>
    <x v="68"/>
    <x v="2"/>
    <x v="4"/>
    <x v="0"/>
    <n v="320.29000000000002"/>
    <s v="Main Bank"/>
    <s v="Debit Card"/>
    <s v="MediaMarkt"/>
  </r>
  <r>
    <s v="TXN103149"/>
    <x v="360"/>
    <x v="56"/>
    <x v="5"/>
    <x v="20"/>
    <x v="0"/>
    <n v="673.17"/>
    <s v="Main Bank"/>
    <s v="Direct Debit"/>
    <s v="Lufthansa"/>
  </r>
  <r>
    <s v="TXN102266"/>
    <x v="361"/>
    <x v="76"/>
    <x v="1"/>
    <x v="22"/>
    <x v="0"/>
    <n v="32.340000000000003"/>
    <s v="Main Bank"/>
    <s v="Credit Card"/>
    <s v="Netflix"/>
  </r>
  <r>
    <s v="TXN103497"/>
    <x v="361"/>
    <x v="72"/>
    <x v="3"/>
    <x v="8"/>
    <x v="1"/>
    <n v="385.61"/>
    <s v="Revolut"/>
    <s v="Direct Debit"/>
    <s v="Employer"/>
  </r>
  <r>
    <s v="TXN102484"/>
    <x v="361"/>
    <x v="81"/>
    <x v="0"/>
    <x v="5"/>
    <x v="0"/>
    <n v="56.43"/>
    <s v="Main Bank"/>
    <s v="Debit Card"/>
    <s v="REWE"/>
  </r>
  <r>
    <s v="TXN101962"/>
    <x v="361"/>
    <x v="45"/>
    <x v="6"/>
    <x v="12"/>
    <x v="0"/>
    <n v="225.54"/>
    <s v="Revolut"/>
    <s v="Debit Card"/>
    <s v="Local Transit"/>
  </r>
  <r>
    <s v="TXN102824"/>
    <x v="361"/>
    <x v="54"/>
    <x v="0"/>
    <x v="5"/>
    <x v="0"/>
    <n v="50.31"/>
    <s v="Main Bank"/>
    <s v="Credit Card"/>
    <s v="Lidl"/>
  </r>
  <r>
    <s v="TXN100318"/>
    <x v="361"/>
    <x v="0"/>
    <x v="0"/>
    <x v="0"/>
    <x v="0"/>
    <n v="30.73"/>
    <s v="Revolut"/>
    <s v="Bank Transfer"/>
    <s v="Lidl"/>
  </r>
  <r>
    <s v="TXN101489"/>
    <x v="361"/>
    <x v="36"/>
    <x v="6"/>
    <x v="15"/>
    <x v="0"/>
    <n v="31.95"/>
    <s v="Main Bank"/>
    <s v="Cash"/>
    <s v="Aral"/>
  </r>
  <r>
    <s v="TXN102013"/>
    <x v="362"/>
    <x v="72"/>
    <x v="3"/>
    <x v="8"/>
    <x v="1"/>
    <n v="333.71"/>
    <s v="Revolut"/>
    <s v="Bank Transfer"/>
    <s v="Employer"/>
  </r>
  <r>
    <s v="TXN102616"/>
    <x v="362"/>
    <x v="75"/>
    <x v="4"/>
    <x v="7"/>
    <x v="0"/>
    <n v="193.28"/>
    <s v="Main Bank"/>
    <s v="Direct Debit"/>
    <s v="Energy Provider"/>
  </r>
  <r>
    <s v="TXN102327"/>
    <x v="362"/>
    <x v="16"/>
    <x v="3"/>
    <x v="10"/>
    <x v="1"/>
    <n v="2858.71"/>
    <s v="Main Bank"/>
    <s v="Credit Card"/>
    <s v="Employer"/>
  </r>
  <r>
    <s v="TXN103056"/>
    <x v="362"/>
    <x v="16"/>
    <x v="3"/>
    <x v="10"/>
    <x v="1"/>
    <n v="2298.73"/>
    <s v="Main Bank"/>
    <s v="Bank Transfer"/>
    <s v="Employer"/>
  </r>
  <r>
    <s v="TXN100795"/>
    <x v="362"/>
    <x v="50"/>
    <x v="4"/>
    <x v="17"/>
    <x v="0"/>
    <n v="136.52000000000001"/>
    <s v="Main Bank"/>
    <s v="Credit Card"/>
    <s v="Energy Provider"/>
  </r>
  <r>
    <s v="TXN101676"/>
    <x v="362"/>
    <x v="6"/>
    <x v="0"/>
    <x v="1"/>
    <x v="0"/>
    <n v="57.04"/>
    <s v="Main Bank"/>
    <s v="Debit Card"/>
    <s v="McDonald's"/>
  </r>
  <r>
    <s v="TXN100550"/>
    <x v="362"/>
    <x v="79"/>
    <x v="5"/>
    <x v="23"/>
    <x v="0"/>
    <n v="261.37"/>
    <s v="Main Bank"/>
    <s v="Credit Card"/>
    <s v="Travel Agency"/>
  </r>
  <r>
    <s v="TXN100687"/>
    <x v="362"/>
    <x v="57"/>
    <x v="2"/>
    <x v="3"/>
    <x v="0"/>
    <n v="38.630000000000003"/>
    <s v="Revolut"/>
    <s v="Direct Debit"/>
    <s v="IKEA"/>
  </r>
  <r>
    <s v="TXN101466"/>
    <x v="363"/>
    <x v="38"/>
    <x v="4"/>
    <x v="7"/>
    <x v="0"/>
    <n v="454.61"/>
    <s v="Revolut"/>
    <s v="Debit Card"/>
    <s v="Vodafone"/>
  </r>
  <r>
    <s v="TXN100931"/>
    <x v="363"/>
    <x v="54"/>
    <x v="0"/>
    <x v="5"/>
    <x v="0"/>
    <n v="107.72"/>
    <s v="Main Bank"/>
    <s v="Bank Transfer"/>
    <s v="Lidl"/>
  </r>
  <r>
    <s v="TXN101809"/>
    <x v="363"/>
    <x v="34"/>
    <x v="0"/>
    <x v="5"/>
    <x v="0"/>
    <n v="63.18"/>
    <s v="Main Bank"/>
    <s v="Bank Transfer"/>
    <s v="Local Restaurant"/>
  </r>
  <r>
    <s v="TXN102451"/>
    <x v="363"/>
    <x v="6"/>
    <x v="0"/>
    <x v="1"/>
    <x v="0"/>
    <n v="74.44"/>
    <s v="Main Bank"/>
    <s v="Debit Card"/>
    <s v="McDonald's"/>
  </r>
  <r>
    <s v="TXN101458"/>
    <x v="363"/>
    <x v="49"/>
    <x v="1"/>
    <x v="13"/>
    <x v="0"/>
    <n v="8.31"/>
    <s v="Revolut"/>
    <s v="Bank Transfer"/>
    <s v="Spotify"/>
  </r>
  <r>
    <s v="TXN100357"/>
    <x v="363"/>
    <x v="10"/>
    <x v="4"/>
    <x v="7"/>
    <x v="0"/>
    <n v="950"/>
    <s v="Revolut"/>
    <s v="Cash"/>
    <s v="Landlord"/>
  </r>
  <r>
    <s v="TXN100603"/>
    <x v="363"/>
    <x v="48"/>
    <x v="0"/>
    <x v="5"/>
    <x v="0"/>
    <n v="23.72"/>
    <s v="Revolut"/>
    <s v="Debit Card"/>
    <s v="EDEKA"/>
  </r>
  <r>
    <s v="TXN102742"/>
    <x v="363"/>
    <x v="6"/>
    <x v="0"/>
    <x v="1"/>
    <x v="0"/>
    <n v="37.409999999999997"/>
    <s v="Main Bank"/>
    <s v="Credit Card"/>
    <s v="McDonald's"/>
  </r>
  <r>
    <s v="TXN100618"/>
    <x v="364"/>
    <x v="2"/>
    <x v="0"/>
    <x v="1"/>
    <x v="0"/>
    <n v="56.98"/>
    <s v="Main Bank"/>
    <s v="Direct Debit"/>
    <s v="Lidl"/>
  </r>
  <r>
    <s v="TXN100117"/>
    <x v="364"/>
    <x v="72"/>
    <x v="3"/>
    <x v="8"/>
    <x v="1"/>
    <n v="345.09"/>
    <s v="Revolut"/>
    <s v="Debit Card"/>
    <s v="Employer"/>
  </r>
  <r>
    <s v="TXN101569"/>
    <x v="364"/>
    <x v="77"/>
    <x v="1"/>
    <x v="22"/>
    <x v="0"/>
    <n v="25.32"/>
    <s v="Revolut"/>
    <s v="Debit Card"/>
    <s v="Steam"/>
  </r>
  <r>
    <s v="TXN103104"/>
    <x v="364"/>
    <x v="88"/>
    <x v="6"/>
    <x v="11"/>
    <x v="0"/>
    <n v="81.06"/>
    <s v="Main Bank"/>
    <s v="Bank Transfer"/>
    <s v="Shell"/>
  </r>
  <r>
    <s v="TXN100606"/>
    <x v="365"/>
    <x v="68"/>
    <x v="2"/>
    <x v="4"/>
    <x v="0"/>
    <n v="80.290000000000006"/>
    <s v="Revolut"/>
    <s v="Debit Card"/>
    <s v="MediaMarkt"/>
  </r>
  <r>
    <s v="TXN102595"/>
    <x v="365"/>
    <x v="2"/>
    <x v="0"/>
    <x v="1"/>
    <x v="0"/>
    <n v="32.43"/>
    <s v="Main Bank"/>
    <s v="Debit Card"/>
    <s v="Lidl"/>
  </r>
  <r>
    <s v="TXN100045"/>
    <x v="366"/>
    <x v="1"/>
    <x v="0"/>
    <x v="0"/>
    <x v="0"/>
    <n v="20.67"/>
    <s v="Main Bank"/>
    <s v="Bank Transfer"/>
    <s v="EDEKA"/>
  </r>
  <r>
    <s v="TXN101150"/>
    <x v="366"/>
    <x v="67"/>
    <x v="3"/>
    <x v="6"/>
    <x v="1"/>
    <n v="793.6"/>
    <s v="Savings"/>
    <s v="Direct Debit"/>
    <s v="Freelance Client"/>
  </r>
  <r>
    <s v="TXN102759"/>
    <x v="366"/>
    <x v="64"/>
    <x v="7"/>
    <x v="21"/>
    <x v="0"/>
    <n v="42.09"/>
    <s v="Main Bank"/>
    <s v="Debit Card"/>
    <s v="Pharmacy"/>
  </r>
  <r>
    <s v="TXN101674"/>
    <x v="366"/>
    <x v="16"/>
    <x v="3"/>
    <x v="10"/>
    <x v="1"/>
    <n v="2628.03"/>
    <s v="Revolut"/>
    <s v="Debit Card"/>
    <s v="Employer"/>
  </r>
  <r>
    <s v="TXN102658"/>
    <x v="366"/>
    <x v="9"/>
    <x v="3"/>
    <x v="6"/>
    <x v="1"/>
    <n v="702.35"/>
    <s v="Main Bank"/>
    <s v="Credit Card"/>
    <s v="Employer Bonus"/>
  </r>
  <r>
    <s v="TXN100093"/>
    <x v="366"/>
    <x v="86"/>
    <x v="5"/>
    <x v="9"/>
    <x v="0"/>
    <n v="310.12"/>
    <s v="Main Bank"/>
    <s v="Bank Transfer"/>
    <s v="Booking.com"/>
  </r>
  <r>
    <s v="TXN102238"/>
    <x v="366"/>
    <x v="0"/>
    <x v="0"/>
    <x v="0"/>
    <x v="0"/>
    <n v="47.63"/>
    <s v="Main Bank"/>
    <s v="Cash"/>
    <s v="Lidl"/>
  </r>
  <r>
    <s v="TXN101638"/>
    <x v="367"/>
    <x v="8"/>
    <x v="0"/>
    <x v="5"/>
    <x v="0"/>
    <n v="44.85"/>
    <s v="Main Bank"/>
    <s v="Credit Card"/>
    <s v="McDonald's"/>
  </r>
  <r>
    <s v="TXN100210"/>
    <x v="367"/>
    <x v="7"/>
    <x v="0"/>
    <x v="0"/>
    <x v="0"/>
    <n v="10.36"/>
    <s v="Main Bank"/>
    <s v="Debit Card"/>
    <s v="Local Restaurant"/>
  </r>
  <r>
    <s v="TXN100801"/>
    <x v="367"/>
    <x v="28"/>
    <x v="7"/>
    <x v="14"/>
    <x v="0"/>
    <n v="250"/>
    <s v="Main Bank"/>
    <s v="Debit Card"/>
    <s v="Pharmacy"/>
  </r>
  <r>
    <s v="TXN101895"/>
    <x v="367"/>
    <x v="66"/>
    <x v="2"/>
    <x v="3"/>
    <x v="0"/>
    <n v="78.83"/>
    <s v="Revolut"/>
    <s v="Cash"/>
    <s v="MediaMarkt"/>
  </r>
  <r>
    <s v="TXN102598"/>
    <x v="368"/>
    <x v="33"/>
    <x v="2"/>
    <x v="16"/>
    <x v="0"/>
    <n v="39.950000000000003"/>
    <s v="Main Bank"/>
    <s v="Direct Debit"/>
    <s v="Amazon"/>
  </r>
  <r>
    <s v="TXN102617"/>
    <x v="368"/>
    <x v="30"/>
    <x v="6"/>
    <x v="11"/>
    <x v="0"/>
    <n v="78.61"/>
    <s v="Main Bank"/>
    <s v="Debit Card"/>
    <s v="DB"/>
  </r>
  <r>
    <s v="TXN101008"/>
    <x v="368"/>
    <x v="13"/>
    <x v="3"/>
    <x v="10"/>
    <x v="1"/>
    <n v="2287.94"/>
    <s v="Main Bank"/>
    <s v="Bank Transfer"/>
    <s v="Freelance Client"/>
  </r>
  <r>
    <s v="TXN100736"/>
    <x v="369"/>
    <x v="67"/>
    <x v="3"/>
    <x v="6"/>
    <x v="1"/>
    <n v="808.69"/>
    <s v="Revolut"/>
    <s v="Debit Card"/>
    <s v="Freelance Client"/>
  </r>
  <r>
    <s v="TXN102345"/>
    <x v="369"/>
    <x v="67"/>
    <x v="3"/>
    <x v="6"/>
    <x v="1"/>
    <n v="714.77"/>
    <s v="Revolut"/>
    <s v="Bank Transfer"/>
    <s v="Freelance Client"/>
  </r>
  <r>
    <s v="TXN102607"/>
    <x v="369"/>
    <x v="38"/>
    <x v="4"/>
    <x v="7"/>
    <x v="0"/>
    <n v="130.63"/>
    <s v="Savings"/>
    <s v="Credit Card"/>
    <s v="Vodafone"/>
  </r>
  <r>
    <s v="TXN102874"/>
    <x v="369"/>
    <x v="15"/>
    <x v="6"/>
    <x v="11"/>
    <x v="0"/>
    <n v="71.41"/>
    <s v="Revolut"/>
    <s v="Credit Card"/>
    <s v="Auto Service"/>
  </r>
  <r>
    <s v="TXN101374"/>
    <x v="369"/>
    <x v="44"/>
    <x v="2"/>
    <x v="16"/>
    <x v="0"/>
    <n v="125.47"/>
    <s v="Revolut"/>
    <s v="Debit Card"/>
    <s v="Zalando"/>
  </r>
  <r>
    <s v="TXN101454"/>
    <x v="369"/>
    <x v="62"/>
    <x v="2"/>
    <x v="4"/>
    <x v="0"/>
    <n v="500"/>
    <s v="Revolut"/>
    <s v="Cash"/>
    <s v="IKEA"/>
  </r>
  <r>
    <s v="TXN100842"/>
    <x v="370"/>
    <x v="18"/>
    <x v="1"/>
    <x v="13"/>
    <x v="0"/>
    <n v="24.96"/>
    <s v="Revolut"/>
    <s v="Debit Card"/>
    <s v="Netflix"/>
  </r>
  <r>
    <s v="TXN103006"/>
    <x v="370"/>
    <x v="9"/>
    <x v="3"/>
    <x v="6"/>
    <x v="1"/>
    <n v="694.49"/>
    <s v="Main Bank"/>
    <s v="Debit Card"/>
    <s v="Employer Bonus"/>
  </r>
  <r>
    <s v="TXN102429"/>
    <x v="370"/>
    <x v="6"/>
    <x v="0"/>
    <x v="1"/>
    <x v="0"/>
    <n v="50.39"/>
    <s v="Revolut"/>
    <s v="Debit Card"/>
    <s v="McDonald's"/>
  </r>
  <r>
    <s v="TXN102104"/>
    <x v="370"/>
    <x v="46"/>
    <x v="7"/>
    <x v="18"/>
    <x v="0"/>
    <n v="56.69"/>
    <s v="Main Bank"/>
    <s v="Debit Card"/>
    <s v="Gym"/>
  </r>
  <r>
    <s v="TXN100837"/>
    <x v="370"/>
    <x v="13"/>
    <x v="3"/>
    <x v="10"/>
    <x v="1"/>
    <n v="2451.38"/>
    <s v="Revolut"/>
    <s v="Bank Transfer"/>
    <s v="Freelance Client"/>
  </r>
  <r>
    <s v="TXN101447"/>
    <x v="370"/>
    <x v="46"/>
    <x v="7"/>
    <x v="18"/>
    <x v="0"/>
    <n v="84.87"/>
    <s v="Revolut"/>
    <s v="Bank Transfer"/>
    <s v="Gym"/>
  </r>
  <r>
    <s v="TXN103237"/>
    <x v="370"/>
    <x v="25"/>
    <x v="0"/>
    <x v="0"/>
    <x v="0"/>
    <n v="67.17"/>
    <s v="Main Bank"/>
    <s v="Direct Debit"/>
    <s v="McDonald's"/>
  </r>
  <r>
    <s v="TXN102718"/>
    <x v="371"/>
    <x v="41"/>
    <x v="3"/>
    <x v="10"/>
    <x v="1"/>
    <n v="2383.8200000000002"/>
    <s v="Revolut"/>
    <s v="Bank Transfer"/>
    <s v="Employer Bonus"/>
  </r>
  <r>
    <s v="TXN102011"/>
    <x v="371"/>
    <x v="75"/>
    <x v="4"/>
    <x v="7"/>
    <x v="0"/>
    <n v="175.73"/>
    <s v="Main Bank"/>
    <s v="Debit Card"/>
    <s v="Energy Provider"/>
  </r>
  <r>
    <s v="TXN100481"/>
    <x v="371"/>
    <x v="65"/>
    <x v="1"/>
    <x v="2"/>
    <x v="0"/>
    <n v="56.98"/>
    <s v="Main Bank"/>
    <s v="Debit Card"/>
    <s v="Netflix"/>
  </r>
  <r>
    <s v="TXN101311"/>
    <x v="371"/>
    <x v="43"/>
    <x v="4"/>
    <x v="17"/>
    <x v="0"/>
    <n v="274.77"/>
    <s v="Main Bank"/>
    <s v="Debit Card"/>
    <s v="Landlord"/>
  </r>
  <r>
    <s v="TXN102017"/>
    <x v="371"/>
    <x v="42"/>
    <x v="6"/>
    <x v="15"/>
    <x v="0"/>
    <n v="43.64"/>
    <s v="Savings"/>
    <s v="Debit Card"/>
    <s v="Local Transit"/>
  </r>
  <r>
    <s v="TXN100188"/>
    <x v="371"/>
    <x v="5"/>
    <x v="2"/>
    <x v="4"/>
    <x v="0"/>
    <n v="248.17"/>
    <s v="Main Bank"/>
    <s v="Credit Card"/>
    <s v="Amazon"/>
  </r>
  <r>
    <s v="TXN101927"/>
    <x v="372"/>
    <x v="22"/>
    <x v="2"/>
    <x v="4"/>
    <x v="0"/>
    <n v="206.72"/>
    <s v="Main Bank"/>
    <s v="Debit Card"/>
    <s v="Zalando"/>
  </r>
  <r>
    <s v="TXN102632"/>
    <x v="372"/>
    <x v="39"/>
    <x v="7"/>
    <x v="14"/>
    <x v="0"/>
    <n v="109.72"/>
    <s v="Revolut"/>
    <s v="Credit Card"/>
    <s v="Doctor"/>
  </r>
  <r>
    <s v="TXN103469"/>
    <x v="372"/>
    <x v="67"/>
    <x v="3"/>
    <x v="6"/>
    <x v="1"/>
    <n v="800.14"/>
    <s v="Main Bank"/>
    <s v="Debit Card"/>
    <s v="Freelance Client"/>
  </r>
  <r>
    <s v="TXN101774"/>
    <x v="373"/>
    <x v="31"/>
    <x v="3"/>
    <x v="6"/>
    <x v="1"/>
    <n v="719.73"/>
    <s v="Main Bank"/>
    <s v="Debit Card"/>
    <s v="Employer"/>
  </r>
  <r>
    <s v="TXN101310"/>
    <x v="373"/>
    <x v="31"/>
    <x v="3"/>
    <x v="6"/>
    <x v="1"/>
    <n v="778.8"/>
    <s v="Main Bank"/>
    <s v="Debit Card"/>
    <s v="Employer"/>
  </r>
  <r>
    <s v="TXN103422"/>
    <x v="374"/>
    <x v="61"/>
    <x v="1"/>
    <x v="2"/>
    <x v="0"/>
    <n v="19.23"/>
    <s v="Savings"/>
    <s v="Debit Card"/>
    <s v="Steam"/>
  </r>
  <r>
    <s v="TXN100237"/>
    <x v="374"/>
    <x v="21"/>
    <x v="0"/>
    <x v="1"/>
    <x v="0"/>
    <n v="35.47"/>
    <s v="Main Bank"/>
    <s v="Credit Card"/>
    <s v="EDEKA"/>
  </r>
  <r>
    <s v="TXN101751"/>
    <x v="374"/>
    <x v="33"/>
    <x v="2"/>
    <x v="16"/>
    <x v="0"/>
    <n v="125.97"/>
    <s v="Main Bank"/>
    <s v="Bank Transfer"/>
    <s v="Amazon"/>
  </r>
  <r>
    <s v="TXN103253"/>
    <x v="374"/>
    <x v="18"/>
    <x v="1"/>
    <x v="13"/>
    <x v="0"/>
    <n v="55.83"/>
    <s v="Revolut"/>
    <s v="Debit Card"/>
    <s v="Netflix"/>
  </r>
  <r>
    <s v="TXN101670"/>
    <x v="374"/>
    <x v="67"/>
    <x v="3"/>
    <x v="6"/>
    <x v="1"/>
    <n v="730.76"/>
    <s v="Main Bank"/>
    <s v="Debit Card"/>
    <s v="Freelance Client"/>
  </r>
  <r>
    <s v="TXN101827"/>
    <x v="375"/>
    <x v="43"/>
    <x v="4"/>
    <x v="17"/>
    <x v="0"/>
    <n v="125.65"/>
    <s v="Main Bank"/>
    <s v="Credit Card"/>
    <s v="Landlord"/>
  </r>
  <r>
    <s v="TXN101488"/>
    <x v="375"/>
    <x v="39"/>
    <x v="7"/>
    <x v="14"/>
    <x v="0"/>
    <n v="66.599999999999994"/>
    <s v="Main Bank"/>
    <s v="Credit Card"/>
    <s v="Doctor"/>
  </r>
  <r>
    <s v="TXN100341"/>
    <x v="375"/>
    <x v="85"/>
    <x v="2"/>
    <x v="16"/>
    <x v="0"/>
    <n v="127.45"/>
    <s v="Revolut"/>
    <s v="Debit Card"/>
    <s v="IKEA"/>
  </r>
  <r>
    <s v="TXN101131"/>
    <x v="375"/>
    <x v="82"/>
    <x v="7"/>
    <x v="18"/>
    <x v="0"/>
    <n v="42.25"/>
    <s v="Savings"/>
    <s v="Cash"/>
    <s v="Doctor"/>
  </r>
  <r>
    <s v="TXN102897"/>
    <x v="375"/>
    <x v="24"/>
    <x v="2"/>
    <x v="16"/>
    <x v="0"/>
    <n v="113.39"/>
    <s v="Main Bank"/>
    <s v="Credit Card"/>
    <s v="MediaMarkt"/>
  </r>
  <r>
    <s v="TXN102964"/>
    <x v="375"/>
    <x v="11"/>
    <x v="3"/>
    <x v="8"/>
    <x v="1"/>
    <n v="387.36"/>
    <s v="Main Bank"/>
    <s v="Direct Debit"/>
    <s v="Freelance Client"/>
  </r>
  <r>
    <s v="TXN100081"/>
    <x v="375"/>
    <x v="67"/>
    <x v="3"/>
    <x v="6"/>
    <x v="1"/>
    <n v="833.43"/>
    <s v="Revolut"/>
    <s v="Direct Debit"/>
    <s v="Freelance Client"/>
  </r>
  <r>
    <s v="TXN101583"/>
    <x v="375"/>
    <x v="65"/>
    <x v="1"/>
    <x v="2"/>
    <x v="0"/>
    <n v="107.33"/>
    <s v="Main Bank"/>
    <s v="Bank Transfer"/>
    <s v="Netflix"/>
  </r>
  <r>
    <s v="TXN103424"/>
    <x v="376"/>
    <x v="43"/>
    <x v="4"/>
    <x v="17"/>
    <x v="0"/>
    <n v="224.11"/>
    <s v="Main Bank"/>
    <s v="Bank Transfer"/>
    <s v="Landlord"/>
  </r>
  <r>
    <s v="TXN100390"/>
    <x v="376"/>
    <x v="67"/>
    <x v="3"/>
    <x v="6"/>
    <x v="1"/>
    <n v="631.87"/>
    <s v="Revolut"/>
    <s v="Debit Card"/>
    <s v="Freelance Client"/>
  </r>
  <r>
    <s v="TXN103196"/>
    <x v="376"/>
    <x v="22"/>
    <x v="2"/>
    <x v="4"/>
    <x v="0"/>
    <n v="320.24"/>
    <s v="Revolut"/>
    <s v="Credit Card"/>
    <s v="Zalando"/>
  </r>
  <r>
    <s v="TXN100730"/>
    <x v="376"/>
    <x v="8"/>
    <x v="0"/>
    <x v="5"/>
    <x v="0"/>
    <n v="26.45"/>
    <s v="Main Bank"/>
    <s v="Debit Card"/>
    <s v="McDonald's"/>
  </r>
  <r>
    <s v="TXN102039"/>
    <x v="376"/>
    <x v="29"/>
    <x v="0"/>
    <x v="1"/>
    <x v="0"/>
    <n v="122.79"/>
    <s v="Revolut"/>
    <s v="Credit Card"/>
    <s v="REWE"/>
  </r>
  <r>
    <s v="TXN101691"/>
    <x v="376"/>
    <x v="81"/>
    <x v="0"/>
    <x v="5"/>
    <x v="0"/>
    <n v="53.07"/>
    <s v="Main Bank"/>
    <s v="Credit Card"/>
    <s v="REWE"/>
  </r>
  <r>
    <s v="TXN103222"/>
    <x v="376"/>
    <x v="54"/>
    <x v="0"/>
    <x v="5"/>
    <x v="0"/>
    <n v="50.9"/>
    <s v="Main Bank"/>
    <s v="Debit Card"/>
    <s v="Lidl"/>
  </r>
  <r>
    <s v="TXN100840"/>
    <x v="376"/>
    <x v="61"/>
    <x v="1"/>
    <x v="2"/>
    <x v="0"/>
    <n v="36.69"/>
    <s v="Savings"/>
    <s v="Credit Card"/>
    <s v="Steam"/>
  </r>
  <r>
    <s v="TXN102880"/>
    <x v="377"/>
    <x v="1"/>
    <x v="0"/>
    <x v="0"/>
    <x v="0"/>
    <n v="37.090000000000003"/>
    <s v="Main Bank"/>
    <s v="Bank Transfer"/>
    <s v="EDEKA"/>
  </r>
  <r>
    <s v="TXN103094"/>
    <x v="377"/>
    <x v="11"/>
    <x v="3"/>
    <x v="8"/>
    <x v="1"/>
    <n v="306.25"/>
    <s v="Main Bank"/>
    <s v="Direct Debit"/>
    <s v="Freelance Client"/>
  </r>
  <r>
    <s v="TXN100454"/>
    <x v="377"/>
    <x v="16"/>
    <x v="3"/>
    <x v="10"/>
    <x v="1"/>
    <n v="2653.58"/>
    <s v="Revolut"/>
    <s v="Credit Card"/>
    <s v="Employer"/>
  </r>
  <r>
    <s v="TXN101327"/>
    <x v="377"/>
    <x v="6"/>
    <x v="0"/>
    <x v="1"/>
    <x v="0"/>
    <n v="44.78"/>
    <s v="Revolut"/>
    <s v="Credit Card"/>
    <s v="McDonald's"/>
  </r>
  <r>
    <s v="TXN103192"/>
    <x v="377"/>
    <x v="9"/>
    <x v="3"/>
    <x v="6"/>
    <x v="1"/>
    <n v="653.86"/>
    <s v="Main Bank"/>
    <s v="Debit Card"/>
    <s v="Employer Bonus"/>
  </r>
  <r>
    <s v="TXN100699"/>
    <x v="377"/>
    <x v="34"/>
    <x v="0"/>
    <x v="5"/>
    <x v="0"/>
    <n v="23.92"/>
    <s v="Savings"/>
    <s v="Debit Card"/>
    <s v="Local Restaurant"/>
  </r>
  <r>
    <s v="TXN101217"/>
    <x v="377"/>
    <x v="38"/>
    <x v="4"/>
    <x v="7"/>
    <x v="0"/>
    <n v="128.22999999999999"/>
    <s v="Main Bank"/>
    <s v="Bank Transfer"/>
    <s v="Vodafone"/>
  </r>
  <r>
    <s v="TXN102279"/>
    <x v="377"/>
    <x v="77"/>
    <x v="1"/>
    <x v="22"/>
    <x v="0"/>
    <n v="37.08"/>
    <s v="Main Bank"/>
    <s v="Credit Card"/>
    <s v="Steam"/>
  </r>
  <r>
    <s v="TXN103190"/>
    <x v="378"/>
    <x v="83"/>
    <x v="5"/>
    <x v="9"/>
    <x v="0"/>
    <n v="232.43"/>
    <s v="Revolut"/>
    <s v="Debit Card"/>
    <s v="Travel Agency"/>
  </r>
  <r>
    <s v="TXN102107"/>
    <x v="378"/>
    <x v="16"/>
    <x v="3"/>
    <x v="10"/>
    <x v="1"/>
    <n v="1962.65"/>
    <s v="Main Bank"/>
    <s v="Cash"/>
    <s v="Employer"/>
  </r>
  <r>
    <s v="TXN101698"/>
    <x v="378"/>
    <x v="34"/>
    <x v="0"/>
    <x v="5"/>
    <x v="0"/>
    <n v="11.91"/>
    <s v="Main Bank"/>
    <s v="Cash"/>
    <s v="Local Restaurant"/>
  </r>
  <r>
    <s v="TXN102249"/>
    <x v="379"/>
    <x v="3"/>
    <x v="1"/>
    <x v="2"/>
    <x v="0"/>
    <n v="65.16"/>
    <s v="Main Bank"/>
    <s v="Bank Transfer"/>
    <s v="Spotify"/>
  </r>
  <r>
    <s v="TXN101305"/>
    <x v="379"/>
    <x v="70"/>
    <x v="7"/>
    <x v="18"/>
    <x v="0"/>
    <n v="20.36"/>
    <s v="Main Bank"/>
    <s v="Debit Card"/>
    <s v="Pharmacy"/>
  </r>
  <r>
    <s v="TXN100836"/>
    <x v="379"/>
    <x v="40"/>
    <x v="6"/>
    <x v="12"/>
    <x v="0"/>
    <n v="37.979999999999997"/>
    <s v="Main Bank"/>
    <s v="Credit Card"/>
    <s v="DB"/>
  </r>
  <r>
    <s v="TXN100652"/>
    <x v="379"/>
    <x v="66"/>
    <x v="2"/>
    <x v="3"/>
    <x v="0"/>
    <n v="85.47"/>
    <s v="Main Bank"/>
    <s v="Credit Card"/>
    <s v="MediaMarkt"/>
  </r>
  <r>
    <s v="TXN103401"/>
    <x v="380"/>
    <x v="43"/>
    <x v="4"/>
    <x v="17"/>
    <x v="0"/>
    <n v="485.8"/>
    <s v="Main Bank"/>
    <s v="Debit Card"/>
    <s v="Landlord"/>
  </r>
  <r>
    <s v="TXN102532"/>
    <x v="380"/>
    <x v="55"/>
    <x v="3"/>
    <x v="8"/>
    <x v="1"/>
    <n v="325.20999999999998"/>
    <s v="Revolut"/>
    <s v="Direct Debit"/>
    <s v="Employer Bonus"/>
  </r>
  <r>
    <s v="TXN103187"/>
    <x v="380"/>
    <x v="37"/>
    <x v="6"/>
    <x v="12"/>
    <x v="0"/>
    <n v="15.93"/>
    <s v="Main Bank"/>
    <s v="Credit Card"/>
    <s v="Shell"/>
  </r>
  <r>
    <s v="TXN101690"/>
    <x v="380"/>
    <x v="90"/>
    <x v="5"/>
    <x v="20"/>
    <x v="0"/>
    <n v="125.83"/>
    <s v="Main Bank"/>
    <s v="Debit Card"/>
    <s v="Hotel"/>
  </r>
  <r>
    <s v="TXN101403"/>
    <x v="380"/>
    <x v="38"/>
    <x v="4"/>
    <x v="7"/>
    <x v="0"/>
    <n v="393.56"/>
    <s v="Main Bank"/>
    <s v="Bank Transfer"/>
    <s v="Vodafone"/>
  </r>
  <r>
    <s v="TXN103337"/>
    <x v="381"/>
    <x v="13"/>
    <x v="3"/>
    <x v="10"/>
    <x v="1"/>
    <n v="2470.4699999999998"/>
    <s v="Revolut"/>
    <s v="Credit Card"/>
    <s v="Freelance Client"/>
  </r>
  <r>
    <s v="TXN100321"/>
    <x v="381"/>
    <x v="4"/>
    <x v="2"/>
    <x v="3"/>
    <x v="0"/>
    <n v="93.88"/>
    <s v="Revolut"/>
    <s v="Bank Transfer"/>
    <s v="Zalando"/>
  </r>
  <r>
    <s v="TXN103077"/>
    <x v="382"/>
    <x v="11"/>
    <x v="3"/>
    <x v="8"/>
    <x v="1"/>
    <n v="416.75"/>
    <s v="Main Bank"/>
    <s v="Credit Card"/>
    <s v="Freelance Client"/>
  </r>
  <r>
    <s v="TXN100819"/>
    <x v="382"/>
    <x v="47"/>
    <x v="4"/>
    <x v="19"/>
    <x v="0"/>
    <n v="46.37"/>
    <s v="Main Bank"/>
    <s v="Credit Card"/>
    <s v="Landlord"/>
  </r>
  <r>
    <s v="TXN103189"/>
    <x v="382"/>
    <x v="11"/>
    <x v="3"/>
    <x v="8"/>
    <x v="1"/>
    <n v="372.97"/>
    <s v="Main Bank"/>
    <s v="Debit Card"/>
    <s v="Freelance Client"/>
  </r>
  <r>
    <s v="TXN101823"/>
    <x v="382"/>
    <x v="35"/>
    <x v="1"/>
    <x v="13"/>
    <x v="0"/>
    <n v="34.31"/>
    <s v="Revolut"/>
    <s v="Debit Card"/>
    <s v="Steam"/>
  </r>
  <r>
    <s v="TXN101216"/>
    <x v="382"/>
    <x v="81"/>
    <x v="0"/>
    <x v="5"/>
    <x v="0"/>
    <n v="33.99"/>
    <s v="Revolut"/>
    <s v="Debit Card"/>
    <s v="REWE"/>
  </r>
  <r>
    <s v="TXN102656"/>
    <x v="383"/>
    <x v="40"/>
    <x v="6"/>
    <x v="12"/>
    <x v="0"/>
    <n v="39.380000000000003"/>
    <s v="Main Bank"/>
    <s v="Cash"/>
    <s v="DB"/>
  </r>
  <r>
    <s v="TXN100060"/>
    <x v="383"/>
    <x v="40"/>
    <x v="6"/>
    <x v="12"/>
    <x v="0"/>
    <n v="60.06"/>
    <s v="Main Bank"/>
    <s v="Credit Card"/>
    <s v="DB"/>
  </r>
  <r>
    <s v="TXN101598"/>
    <x v="383"/>
    <x v="47"/>
    <x v="4"/>
    <x v="19"/>
    <x v="0"/>
    <n v="139.25"/>
    <s v="Revolut"/>
    <s v="Bank Transfer"/>
    <s v="Landlord"/>
  </r>
  <r>
    <s v="TXN100980"/>
    <x v="383"/>
    <x v="80"/>
    <x v="1"/>
    <x v="22"/>
    <x v="0"/>
    <n v="15.43"/>
    <s v="Savings"/>
    <s v="Bank Transfer"/>
    <s v="Cinema"/>
  </r>
  <r>
    <s v="TXN102501"/>
    <x v="384"/>
    <x v="55"/>
    <x v="3"/>
    <x v="8"/>
    <x v="1"/>
    <n v="367.51"/>
    <s v="Main Bank"/>
    <s v="Credit Card"/>
    <s v="Employer Bonus"/>
  </r>
  <r>
    <s v="TXN100350"/>
    <x v="384"/>
    <x v="60"/>
    <x v="1"/>
    <x v="22"/>
    <x v="0"/>
    <n v="30.41"/>
    <s v="Main Bank"/>
    <s v="Direct Debit"/>
    <s v="Spotify"/>
  </r>
  <r>
    <s v="TXN101140"/>
    <x v="384"/>
    <x v="61"/>
    <x v="1"/>
    <x v="2"/>
    <x v="0"/>
    <n v="7.54"/>
    <s v="Revolut"/>
    <s v="Credit Card"/>
    <s v="Steam"/>
  </r>
  <r>
    <s v="TXN100443"/>
    <x v="385"/>
    <x v="30"/>
    <x v="6"/>
    <x v="11"/>
    <x v="0"/>
    <n v="65.72"/>
    <s v="Main Bank"/>
    <s v="Bank Transfer"/>
    <s v="DB"/>
  </r>
  <r>
    <s v="TXN100279"/>
    <x v="385"/>
    <x v="46"/>
    <x v="7"/>
    <x v="18"/>
    <x v="0"/>
    <n v="46.96"/>
    <s v="Revolut"/>
    <s v="Credit Card"/>
    <s v="Gym"/>
  </r>
  <r>
    <s v="TXN100675"/>
    <x v="385"/>
    <x v="15"/>
    <x v="6"/>
    <x v="11"/>
    <x v="0"/>
    <n v="157.5"/>
    <s v="Main Bank"/>
    <s v="Credit Card"/>
    <s v="Auto Service"/>
  </r>
  <r>
    <s v="TXN101870"/>
    <x v="385"/>
    <x v="64"/>
    <x v="7"/>
    <x v="21"/>
    <x v="0"/>
    <n v="30.35"/>
    <s v="Revolut"/>
    <s v="Debit Card"/>
    <s v="Pharmacy"/>
  </r>
  <r>
    <s v="TXN101821"/>
    <x v="385"/>
    <x v="81"/>
    <x v="0"/>
    <x v="5"/>
    <x v="0"/>
    <n v="52.34"/>
    <s v="Main Bank"/>
    <s v="Debit Card"/>
    <s v="REWE"/>
  </r>
  <r>
    <s v="TXN102890"/>
    <x v="385"/>
    <x v="55"/>
    <x v="3"/>
    <x v="8"/>
    <x v="1"/>
    <n v="321.66000000000003"/>
    <s v="Main Bank"/>
    <s v="Cash"/>
    <s v="Employer Bonus"/>
  </r>
  <r>
    <s v="TXN101997"/>
    <x v="386"/>
    <x v="9"/>
    <x v="3"/>
    <x v="6"/>
    <x v="1"/>
    <n v="634.17999999999995"/>
    <s v="Revolut"/>
    <s v="Debit Card"/>
    <s v="Employer Bonus"/>
  </r>
  <r>
    <s v="TXN101779"/>
    <x v="386"/>
    <x v="14"/>
    <x v="0"/>
    <x v="0"/>
    <x v="0"/>
    <n v="104.18"/>
    <s v="Main Bank"/>
    <s v="Bank Transfer"/>
    <s v="REWE"/>
  </r>
  <r>
    <s v="TXN101687"/>
    <x v="386"/>
    <x v="72"/>
    <x v="3"/>
    <x v="8"/>
    <x v="1"/>
    <n v="377.8"/>
    <s v="Main Bank"/>
    <s v="Direct Debit"/>
    <s v="Employer"/>
  </r>
  <r>
    <s v="TXN103359"/>
    <x v="386"/>
    <x v="41"/>
    <x v="3"/>
    <x v="10"/>
    <x v="1"/>
    <n v="2656.54"/>
    <s v="Main Bank"/>
    <s v="Direct Debit"/>
    <s v="Employer Bonus"/>
  </r>
  <r>
    <s v="TXN102845"/>
    <x v="386"/>
    <x v="57"/>
    <x v="2"/>
    <x v="3"/>
    <x v="0"/>
    <n v="59.54"/>
    <s v="Main Bank"/>
    <s v="Direct Debit"/>
    <s v="IKEA"/>
  </r>
  <r>
    <s v="TXN100791"/>
    <x v="386"/>
    <x v="14"/>
    <x v="0"/>
    <x v="0"/>
    <x v="0"/>
    <n v="45.69"/>
    <s v="Revolut"/>
    <s v="Debit Card"/>
    <s v="REWE"/>
  </r>
  <r>
    <s v="TXN102172"/>
    <x v="386"/>
    <x v="43"/>
    <x v="4"/>
    <x v="17"/>
    <x v="0"/>
    <n v="234.72"/>
    <s v="Main Bank"/>
    <s v="Debit Card"/>
    <s v="Landlord"/>
  </r>
  <r>
    <s v="TXN101293"/>
    <x v="386"/>
    <x v="66"/>
    <x v="2"/>
    <x v="3"/>
    <x v="0"/>
    <n v="124.74"/>
    <s v="Main Bank"/>
    <s v="Debit Card"/>
    <s v="MediaMarkt"/>
  </r>
  <r>
    <s v="TXN102323"/>
    <x v="386"/>
    <x v="65"/>
    <x v="1"/>
    <x v="2"/>
    <x v="0"/>
    <n v="14.08"/>
    <s v="Main Bank"/>
    <s v="Bank Transfer"/>
    <s v="Netflix"/>
  </r>
  <r>
    <s v="TXN103131"/>
    <x v="387"/>
    <x v="13"/>
    <x v="3"/>
    <x v="10"/>
    <x v="1"/>
    <n v="2442.1999999999998"/>
    <s v="Revolut"/>
    <s v="Credit Card"/>
    <s v="Freelance Client"/>
  </r>
  <r>
    <s v="TXN100792"/>
    <x v="387"/>
    <x v="66"/>
    <x v="2"/>
    <x v="3"/>
    <x v="0"/>
    <n v="47.54"/>
    <s v="Main Bank"/>
    <s v="Debit Card"/>
    <s v="MediaMarkt"/>
  </r>
  <r>
    <s v="TXN102409"/>
    <x v="387"/>
    <x v="55"/>
    <x v="3"/>
    <x v="8"/>
    <x v="1"/>
    <n v="312.25"/>
    <s v="Revolut"/>
    <s v="Cash"/>
    <s v="Employer Bonus"/>
  </r>
  <r>
    <s v="TXN100164"/>
    <x v="387"/>
    <x v="68"/>
    <x v="2"/>
    <x v="4"/>
    <x v="0"/>
    <n v="28.45"/>
    <s v="Main Bank"/>
    <s v="Debit Card"/>
    <s v="MediaMarkt"/>
  </r>
  <r>
    <s v="TXN103113"/>
    <x v="387"/>
    <x v="84"/>
    <x v="7"/>
    <x v="21"/>
    <x v="0"/>
    <n v="52.07"/>
    <s v="Main Bank"/>
    <s v="Debit Card"/>
    <s v="Gym"/>
  </r>
  <r>
    <s v="TXN100487"/>
    <x v="387"/>
    <x v="75"/>
    <x v="4"/>
    <x v="7"/>
    <x v="0"/>
    <n v="84.81"/>
    <s v="Main Bank"/>
    <s v="Debit Card"/>
    <s v="Energy Provider"/>
  </r>
  <r>
    <s v="TXN101207"/>
    <x v="387"/>
    <x v="18"/>
    <x v="1"/>
    <x v="13"/>
    <x v="0"/>
    <n v="21.18"/>
    <s v="Main Bank"/>
    <s v="Debit Card"/>
    <s v="Netflix"/>
  </r>
  <r>
    <s v="TXN100048"/>
    <x v="387"/>
    <x v="44"/>
    <x v="2"/>
    <x v="16"/>
    <x v="0"/>
    <n v="161.46"/>
    <s v="Savings"/>
    <s v="Debit Card"/>
    <s v="Zalando"/>
  </r>
  <r>
    <s v="TXN100530"/>
    <x v="387"/>
    <x v="13"/>
    <x v="3"/>
    <x v="10"/>
    <x v="1"/>
    <n v="2781.19"/>
    <s v="Main Bank"/>
    <s v="Direct Debit"/>
    <s v="Freelance Client"/>
  </r>
  <r>
    <s v="TXN101689"/>
    <x v="387"/>
    <x v="18"/>
    <x v="1"/>
    <x v="13"/>
    <x v="0"/>
    <n v="18.14"/>
    <s v="Revolut"/>
    <s v="Bank Transfer"/>
    <s v="Netflix"/>
  </r>
  <r>
    <s v="TXN102309"/>
    <x v="388"/>
    <x v="38"/>
    <x v="4"/>
    <x v="7"/>
    <x v="0"/>
    <n v="496.58"/>
    <s v="Main Bank"/>
    <s v="Cash"/>
    <s v="Vodafone"/>
  </r>
  <r>
    <s v="TXN100971"/>
    <x v="388"/>
    <x v="61"/>
    <x v="1"/>
    <x v="2"/>
    <x v="0"/>
    <n v="34.11"/>
    <s v="Main Bank"/>
    <s v="Debit Card"/>
    <s v="Steam"/>
  </r>
  <r>
    <s v="TXN101463"/>
    <x v="388"/>
    <x v="47"/>
    <x v="4"/>
    <x v="19"/>
    <x v="0"/>
    <n v="265.45"/>
    <s v="Savings"/>
    <s v="Bank Transfer"/>
    <s v="Landlord"/>
  </r>
  <r>
    <s v="TXN101086"/>
    <x v="388"/>
    <x v="24"/>
    <x v="2"/>
    <x v="16"/>
    <x v="0"/>
    <n v="39.65"/>
    <s v="Main Bank"/>
    <s v="Debit Card"/>
    <s v="MediaMarkt"/>
  </r>
  <r>
    <s v="TXN102791"/>
    <x v="388"/>
    <x v="39"/>
    <x v="7"/>
    <x v="14"/>
    <x v="0"/>
    <n v="28.63"/>
    <s v="Savings"/>
    <s v="Debit Card"/>
    <s v="Doctor"/>
  </r>
  <r>
    <s v="TXN100671"/>
    <x v="389"/>
    <x v="14"/>
    <x v="0"/>
    <x v="0"/>
    <x v="0"/>
    <n v="89.97"/>
    <s v="Main Bank"/>
    <s v="Credit Card"/>
    <s v="REWE"/>
  </r>
  <r>
    <s v="TXN100344"/>
    <x v="389"/>
    <x v="78"/>
    <x v="6"/>
    <x v="15"/>
    <x v="0"/>
    <n v="91"/>
    <s v="Revolut"/>
    <s v="Debit Card"/>
    <s v="Auto Service"/>
  </r>
  <r>
    <s v="TXN100238"/>
    <x v="389"/>
    <x v="71"/>
    <x v="4"/>
    <x v="17"/>
    <x v="0"/>
    <n v="329.83"/>
    <s v="Revolut"/>
    <s v="Debit Card"/>
    <s v="Vodafone"/>
  </r>
  <r>
    <s v="TXN101824"/>
    <x v="389"/>
    <x v="27"/>
    <x v="5"/>
    <x v="9"/>
    <x v="0"/>
    <n v="749.34"/>
    <s v="Revolut"/>
    <s v="Debit Card"/>
    <s v="Hotel"/>
  </r>
  <r>
    <s v="TXN103282"/>
    <x v="389"/>
    <x v="25"/>
    <x v="0"/>
    <x v="0"/>
    <x v="0"/>
    <n v="21.75"/>
    <s v="Revolut"/>
    <s v="Debit Card"/>
    <s v="McDonald's"/>
  </r>
  <r>
    <s v="TXN102700"/>
    <x v="390"/>
    <x v="27"/>
    <x v="5"/>
    <x v="9"/>
    <x v="0"/>
    <n v="477.03"/>
    <s v="Main Bank"/>
    <s v="Bank Transfer"/>
    <s v="Hotel"/>
  </r>
  <r>
    <s v="TXN101631"/>
    <x v="390"/>
    <x v="19"/>
    <x v="7"/>
    <x v="14"/>
    <x v="0"/>
    <n v="204.91"/>
    <s v="Main Bank"/>
    <s v="Bank Transfer"/>
    <s v="Gym"/>
  </r>
  <r>
    <s v="TXN103311"/>
    <x v="390"/>
    <x v="28"/>
    <x v="7"/>
    <x v="14"/>
    <x v="0"/>
    <n v="26.89"/>
    <s v="Savings"/>
    <s v="Debit Card"/>
    <s v="Pharmacy"/>
  </r>
  <r>
    <s v="TXN102397"/>
    <x v="391"/>
    <x v="48"/>
    <x v="0"/>
    <x v="5"/>
    <x v="0"/>
    <n v="66.319999999999993"/>
    <s v="Main Bank"/>
    <s v="Debit Card"/>
    <s v="EDEKA"/>
  </r>
  <r>
    <s v="TXN100041"/>
    <x v="391"/>
    <x v="1"/>
    <x v="0"/>
    <x v="0"/>
    <x v="0"/>
    <n v="35.61"/>
    <s v="Main Bank"/>
    <s v="Debit Card"/>
    <s v="EDEKA"/>
  </r>
  <r>
    <s v="TXN100764"/>
    <x v="391"/>
    <x v="64"/>
    <x v="7"/>
    <x v="21"/>
    <x v="0"/>
    <n v="24.27"/>
    <s v="Main Bank"/>
    <s v="Debit Card"/>
    <s v="Pharmacy"/>
  </r>
  <r>
    <s v="TXN102783"/>
    <x v="391"/>
    <x v="13"/>
    <x v="3"/>
    <x v="10"/>
    <x v="1"/>
    <n v="2310.0500000000002"/>
    <s v="Main Bank"/>
    <s v="Bank Transfer"/>
    <s v="Freelance Client"/>
  </r>
  <r>
    <s v="TXN102805"/>
    <x v="391"/>
    <x v="57"/>
    <x v="2"/>
    <x v="3"/>
    <x v="0"/>
    <n v="176.6"/>
    <s v="Revolut"/>
    <s v="Debit Card"/>
    <s v="IKEA"/>
  </r>
  <r>
    <s v="TXN101227"/>
    <x v="391"/>
    <x v="40"/>
    <x v="6"/>
    <x v="12"/>
    <x v="0"/>
    <n v="40.159999999999997"/>
    <s v="Revolut"/>
    <s v="Credit Card"/>
    <s v="DB"/>
  </r>
  <r>
    <s v="TXN102810"/>
    <x v="391"/>
    <x v="39"/>
    <x v="7"/>
    <x v="14"/>
    <x v="0"/>
    <n v="86.01"/>
    <s v="Savings"/>
    <s v="Direct Debit"/>
    <s v="Doctor"/>
  </r>
  <r>
    <s v="TXN102038"/>
    <x v="392"/>
    <x v="1"/>
    <x v="0"/>
    <x v="0"/>
    <x v="0"/>
    <n v="57.9"/>
    <s v="Main Bank"/>
    <s v="Bank Transfer"/>
    <s v="EDEKA"/>
  </r>
  <r>
    <s v="TXN100208"/>
    <x v="392"/>
    <x v="80"/>
    <x v="1"/>
    <x v="22"/>
    <x v="0"/>
    <n v="19.87"/>
    <s v="Main Bank"/>
    <s v="Bank Transfer"/>
    <s v="Cinema"/>
  </r>
  <r>
    <s v="TXN101964"/>
    <x v="392"/>
    <x v="23"/>
    <x v="6"/>
    <x v="15"/>
    <x v="0"/>
    <n v="62.55"/>
    <s v="Main Bank"/>
    <s v="Bank Transfer"/>
    <s v="Shell"/>
  </r>
  <r>
    <s v="TXN101813"/>
    <x v="392"/>
    <x v="14"/>
    <x v="0"/>
    <x v="0"/>
    <x v="0"/>
    <n v="38.94"/>
    <s v="Main Bank"/>
    <s v="Debit Card"/>
    <s v="REWE"/>
  </r>
  <r>
    <s v="TXN102411"/>
    <x v="392"/>
    <x v="80"/>
    <x v="1"/>
    <x v="22"/>
    <x v="0"/>
    <n v="53.32"/>
    <s v="Main Bank"/>
    <s v="Debit Card"/>
    <s v="Cinema"/>
  </r>
  <r>
    <s v="TXN100831"/>
    <x v="392"/>
    <x v="48"/>
    <x v="0"/>
    <x v="5"/>
    <x v="0"/>
    <n v="76.349999999999994"/>
    <s v="Main Bank"/>
    <s v="Credit Card"/>
    <s v="EDEKA"/>
  </r>
  <r>
    <s v="TXN101390"/>
    <x v="392"/>
    <x v="66"/>
    <x v="2"/>
    <x v="3"/>
    <x v="0"/>
    <n v="202.6"/>
    <s v="Main Bank"/>
    <s v="Cash"/>
    <s v="MediaMarkt"/>
  </r>
  <r>
    <s v="TXN100013"/>
    <x v="392"/>
    <x v="72"/>
    <x v="3"/>
    <x v="8"/>
    <x v="1"/>
    <n v="334.13"/>
    <s v="Main Bank"/>
    <s v="Credit Card"/>
    <s v="Employer"/>
  </r>
  <r>
    <s v="TXN102042"/>
    <x v="393"/>
    <x v="20"/>
    <x v="2"/>
    <x v="3"/>
    <x v="0"/>
    <n v="59.59"/>
    <s v="Main Bank"/>
    <s v="Debit Card"/>
    <s v="Amazon"/>
  </r>
  <r>
    <s v="TXN102353"/>
    <x v="393"/>
    <x v="61"/>
    <x v="1"/>
    <x v="2"/>
    <x v="0"/>
    <n v="47.03"/>
    <s v="Main Bank"/>
    <s v="Credit Card"/>
    <s v="Steam"/>
  </r>
  <r>
    <s v="TXN101291"/>
    <x v="393"/>
    <x v="37"/>
    <x v="6"/>
    <x v="12"/>
    <x v="0"/>
    <n v="104.03"/>
    <s v="Savings"/>
    <s v="Bank Transfer"/>
    <s v="Shell"/>
  </r>
  <r>
    <s v="TXN100439"/>
    <x v="393"/>
    <x v="84"/>
    <x v="7"/>
    <x v="21"/>
    <x v="0"/>
    <n v="97.8"/>
    <s v="Revolut"/>
    <s v="Bank Transfer"/>
    <s v="Gym"/>
  </r>
  <r>
    <s v="TXN100589"/>
    <x v="393"/>
    <x v="0"/>
    <x v="0"/>
    <x v="0"/>
    <x v="0"/>
    <n v="122.03"/>
    <s v="Main Bank"/>
    <s v="Direct Debit"/>
    <s v="Lidl"/>
  </r>
  <r>
    <s v="TXN103112"/>
    <x v="393"/>
    <x v="2"/>
    <x v="0"/>
    <x v="1"/>
    <x v="0"/>
    <n v="72.88"/>
    <s v="Main Bank"/>
    <s v="Debit Card"/>
    <s v="Lidl"/>
  </r>
  <r>
    <s v="TXN100243"/>
    <x v="394"/>
    <x v="72"/>
    <x v="3"/>
    <x v="8"/>
    <x v="1"/>
    <n v="365.45"/>
    <s v="Savings"/>
    <s v="Bank Transfer"/>
    <s v="Employer"/>
  </r>
  <r>
    <s v="TXN100194"/>
    <x v="394"/>
    <x v="60"/>
    <x v="1"/>
    <x v="22"/>
    <x v="0"/>
    <n v="20.93"/>
    <s v="Revolut"/>
    <s v="Credit Card"/>
    <s v="Spotify"/>
  </r>
  <r>
    <s v="TXN100069"/>
    <x v="394"/>
    <x v="71"/>
    <x v="4"/>
    <x v="17"/>
    <x v="0"/>
    <n v="309.04000000000002"/>
    <s v="Revolut"/>
    <s v="Cash"/>
    <s v="Vodafone"/>
  </r>
  <r>
    <s v="TXN100585"/>
    <x v="394"/>
    <x v="18"/>
    <x v="1"/>
    <x v="13"/>
    <x v="0"/>
    <n v="40.130000000000003"/>
    <s v="Revolut"/>
    <s v="Bank Transfer"/>
    <s v="Netflix"/>
  </r>
  <r>
    <s v="TXN101695"/>
    <x v="394"/>
    <x v="45"/>
    <x v="6"/>
    <x v="12"/>
    <x v="0"/>
    <n v="94.32"/>
    <s v="Revolut"/>
    <s v="Debit Card"/>
    <s v="Local Transit"/>
  </r>
  <r>
    <s v="TXN101664"/>
    <x v="394"/>
    <x v="68"/>
    <x v="2"/>
    <x v="4"/>
    <x v="0"/>
    <n v="232.1"/>
    <s v="Revolut"/>
    <s v="Debit Card"/>
    <s v="MediaMarkt"/>
  </r>
  <r>
    <s v="TXN100089"/>
    <x v="394"/>
    <x v="13"/>
    <x v="3"/>
    <x v="10"/>
    <x v="1"/>
    <n v="2274.85"/>
    <s v="Revolut"/>
    <s v="Bank Transfer"/>
    <s v="Freelance Client"/>
  </r>
  <r>
    <s v="TXN100071"/>
    <x v="394"/>
    <x v="87"/>
    <x v="5"/>
    <x v="20"/>
    <x v="0"/>
    <n v="235.04"/>
    <s v="Main Bank"/>
    <s v="Bank Transfer"/>
    <s v="Booking.com"/>
  </r>
  <r>
    <s v="TXN101404"/>
    <x v="395"/>
    <x v="39"/>
    <x v="7"/>
    <x v="14"/>
    <x v="0"/>
    <n v="70.290000000000006"/>
    <s v="Main Bank"/>
    <s v="Debit Card"/>
    <s v="Doctor"/>
  </r>
  <r>
    <s v="TXN102864"/>
    <x v="395"/>
    <x v="44"/>
    <x v="2"/>
    <x v="16"/>
    <x v="0"/>
    <n v="347.91"/>
    <s v="Main Bank"/>
    <s v="Bank Transfer"/>
    <s v="Zalando"/>
  </r>
  <r>
    <s v="TXN103330"/>
    <x v="395"/>
    <x v="74"/>
    <x v="1"/>
    <x v="13"/>
    <x v="0"/>
    <n v="10.93"/>
    <s v="Revolut"/>
    <s v="Direct Debit"/>
    <s v="Cinema"/>
  </r>
  <r>
    <s v="TXN103015"/>
    <x v="395"/>
    <x v="77"/>
    <x v="1"/>
    <x v="22"/>
    <x v="0"/>
    <n v="25.81"/>
    <s v="Savings"/>
    <s v="Bank Transfer"/>
    <s v="Steam"/>
  </r>
  <r>
    <s v="TXN102804"/>
    <x v="395"/>
    <x v="13"/>
    <x v="3"/>
    <x v="10"/>
    <x v="1"/>
    <n v="2527.29"/>
    <s v="Revolut"/>
    <s v="Credit Card"/>
    <s v="Freelance Client"/>
  </r>
  <r>
    <s v="TXN101474"/>
    <x v="395"/>
    <x v="78"/>
    <x v="6"/>
    <x v="15"/>
    <x v="0"/>
    <n v="33.01"/>
    <s v="Main Bank"/>
    <s v="Bank Transfer"/>
    <s v="Auto Service"/>
  </r>
  <r>
    <s v="TXN100752"/>
    <x v="396"/>
    <x v="72"/>
    <x v="3"/>
    <x v="8"/>
    <x v="1"/>
    <n v="299.08999999999997"/>
    <s v="Savings"/>
    <s v="Direct Debit"/>
    <s v="Employer"/>
  </r>
  <r>
    <s v="TXN103128"/>
    <x v="396"/>
    <x v="50"/>
    <x v="4"/>
    <x v="17"/>
    <x v="0"/>
    <n v="137.04"/>
    <s v="Revolut"/>
    <s v="Bank Transfer"/>
    <s v="Energy Provider"/>
  </r>
  <r>
    <s v="TXN100892"/>
    <x v="396"/>
    <x v="13"/>
    <x v="3"/>
    <x v="10"/>
    <x v="1"/>
    <n v="2225.81"/>
    <s v="Savings"/>
    <s v="Bank Transfer"/>
    <s v="Freelance Client"/>
  </r>
  <r>
    <s v="TXN101599"/>
    <x v="396"/>
    <x v="63"/>
    <x v="4"/>
    <x v="19"/>
    <x v="0"/>
    <n v="112.92"/>
    <s v="Revolut"/>
    <s v="Cash"/>
    <s v="Vodafone"/>
  </r>
  <r>
    <s v="TXN102444"/>
    <x v="396"/>
    <x v="72"/>
    <x v="3"/>
    <x v="8"/>
    <x v="1"/>
    <n v="297.99"/>
    <s v="Main Bank"/>
    <s v="Bank Transfer"/>
    <s v="Employer"/>
  </r>
  <r>
    <s v="TXN102835"/>
    <x v="396"/>
    <x v="30"/>
    <x v="6"/>
    <x v="11"/>
    <x v="0"/>
    <n v="161.83000000000001"/>
    <s v="Main Bank"/>
    <s v="Debit Card"/>
    <s v="DB"/>
  </r>
  <r>
    <s v="TXN100972"/>
    <x v="396"/>
    <x v="13"/>
    <x v="3"/>
    <x v="10"/>
    <x v="1"/>
    <n v="2319.4499999999998"/>
    <s v="Revolut"/>
    <s v="Debit Card"/>
    <s v="Freelance Client"/>
  </r>
  <r>
    <s v="TXN101802"/>
    <x v="396"/>
    <x v="82"/>
    <x v="7"/>
    <x v="18"/>
    <x v="0"/>
    <n v="78.709999999999994"/>
    <s v="Main Bank"/>
    <s v="Bank Transfer"/>
    <s v="Doctor"/>
  </r>
  <r>
    <s v="TXN100312"/>
    <x v="396"/>
    <x v="38"/>
    <x v="4"/>
    <x v="7"/>
    <x v="0"/>
    <n v="781.54"/>
    <s v="Revolut"/>
    <s v="Debit Card"/>
    <s v="Vodafone"/>
  </r>
  <r>
    <s v="TXN102412"/>
    <x v="397"/>
    <x v="14"/>
    <x v="0"/>
    <x v="0"/>
    <x v="0"/>
    <n v="33.67"/>
    <s v="Revolut"/>
    <s v="Bank Transfer"/>
    <s v="REWE"/>
  </r>
  <r>
    <s v="TXN103054"/>
    <x v="397"/>
    <x v="1"/>
    <x v="0"/>
    <x v="0"/>
    <x v="0"/>
    <n v="74.59"/>
    <s v="Main Bank"/>
    <s v="Bank Transfer"/>
    <s v="EDEKA"/>
  </r>
  <r>
    <s v="TXN101142"/>
    <x v="397"/>
    <x v="37"/>
    <x v="6"/>
    <x v="12"/>
    <x v="0"/>
    <n v="123.91"/>
    <s v="Main Bank"/>
    <s v="Bank Transfer"/>
    <s v="Shell"/>
  </r>
  <r>
    <s v="TXN102312"/>
    <x v="398"/>
    <x v="67"/>
    <x v="3"/>
    <x v="6"/>
    <x v="1"/>
    <n v="820.26"/>
    <s v="Main Bank"/>
    <s v="Credit Card"/>
    <s v="Freelance Client"/>
  </r>
  <r>
    <s v="TXN103416"/>
    <x v="398"/>
    <x v="66"/>
    <x v="2"/>
    <x v="3"/>
    <x v="0"/>
    <n v="209.81"/>
    <s v="Revolut"/>
    <s v="Debit Card"/>
    <s v="MediaMarkt"/>
  </r>
  <r>
    <s v="TXN103155"/>
    <x v="398"/>
    <x v="4"/>
    <x v="2"/>
    <x v="3"/>
    <x v="0"/>
    <n v="313.08"/>
    <s v="Main Bank"/>
    <s v="Cash"/>
    <s v="Zalando"/>
  </r>
  <r>
    <s v="TXN101129"/>
    <x v="398"/>
    <x v="40"/>
    <x v="6"/>
    <x v="12"/>
    <x v="0"/>
    <n v="65.58"/>
    <s v="Savings"/>
    <s v="Credit Card"/>
    <s v="DB"/>
  </r>
  <r>
    <s v="TXN101588"/>
    <x v="398"/>
    <x v="73"/>
    <x v="6"/>
    <x v="12"/>
    <x v="0"/>
    <n v="27.49"/>
    <s v="Main Bank"/>
    <s v="Debit Card"/>
    <s v="Aral"/>
  </r>
  <r>
    <s v="TXN101078"/>
    <x v="398"/>
    <x v="18"/>
    <x v="1"/>
    <x v="13"/>
    <x v="0"/>
    <n v="21.65"/>
    <s v="Main Bank"/>
    <s v="Debit Card"/>
    <s v="Netflix"/>
  </r>
  <r>
    <s v="TXN101969"/>
    <x v="399"/>
    <x v="23"/>
    <x v="6"/>
    <x v="15"/>
    <x v="0"/>
    <n v="250"/>
    <s v="Revolut"/>
    <s v="Debit Card"/>
    <s v="Shell"/>
  </r>
  <r>
    <s v="TXN100501"/>
    <x v="399"/>
    <x v="28"/>
    <x v="7"/>
    <x v="14"/>
    <x v="0"/>
    <n v="63.16"/>
    <s v="Main Bank"/>
    <s v="Credit Card"/>
    <s v="Pharmacy"/>
  </r>
  <r>
    <s v="TXN100479"/>
    <x v="399"/>
    <x v="11"/>
    <x v="3"/>
    <x v="8"/>
    <x v="1"/>
    <n v="323.14999999999998"/>
    <s v="Revolut"/>
    <s v="Credit Card"/>
    <s v="Freelance Client"/>
  </r>
  <r>
    <s v="TXN103004"/>
    <x v="399"/>
    <x v="18"/>
    <x v="1"/>
    <x v="13"/>
    <x v="0"/>
    <n v="67.209999999999994"/>
    <s v="Main Bank"/>
    <s v="Debit Card"/>
    <s v="Netflix"/>
  </r>
  <r>
    <s v="TXN100920"/>
    <x v="399"/>
    <x v="54"/>
    <x v="0"/>
    <x v="5"/>
    <x v="0"/>
    <n v="44.2"/>
    <s v="Revolut"/>
    <s v="Bank Transfer"/>
    <s v="Lidl"/>
  </r>
  <r>
    <s v="TXN102118"/>
    <x v="399"/>
    <x v="49"/>
    <x v="1"/>
    <x v="13"/>
    <x v="0"/>
    <n v="78.94"/>
    <s v="Main Bank"/>
    <s v="Debit Card"/>
    <s v="Spotify"/>
  </r>
  <r>
    <s v="TXN100427"/>
    <x v="399"/>
    <x v="20"/>
    <x v="2"/>
    <x v="3"/>
    <x v="0"/>
    <n v="214.76"/>
    <s v="Main Bank"/>
    <s v="Bank Transfer"/>
    <s v="Amazon"/>
  </r>
  <r>
    <s v="TXN103333"/>
    <x v="399"/>
    <x v="25"/>
    <x v="0"/>
    <x v="0"/>
    <x v="0"/>
    <n v="97.59"/>
    <s v="Savings"/>
    <s v="Debit Card"/>
    <s v="McDonald's"/>
  </r>
  <r>
    <s v="TXN103428"/>
    <x v="400"/>
    <x v="32"/>
    <x v="1"/>
    <x v="2"/>
    <x v="0"/>
    <n v="11.57"/>
    <s v="Main Bank"/>
    <s v="Debit Card"/>
    <s v="Cinema"/>
  </r>
  <r>
    <s v="TXN102495"/>
    <x v="400"/>
    <x v="57"/>
    <x v="2"/>
    <x v="3"/>
    <x v="0"/>
    <n v="177.43"/>
    <s v="Revolut"/>
    <s v="Credit Card"/>
    <s v="IKEA"/>
  </r>
  <r>
    <s v="TXN100559"/>
    <x v="400"/>
    <x v="28"/>
    <x v="7"/>
    <x v="14"/>
    <x v="0"/>
    <n v="159.41999999999999"/>
    <s v="Savings"/>
    <s v="Direct Debit"/>
    <s v="Pharmacy"/>
  </r>
  <r>
    <s v="TXN102318"/>
    <x v="400"/>
    <x v="17"/>
    <x v="6"/>
    <x v="12"/>
    <x v="0"/>
    <n v="48.79"/>
    <s v="Main Bank"/>
    <s v="Bank Transfer"/>
    <s v="Auto Service"/>
  </r>
  <r>
    <s v="TXN100020"/>
    <x v="400"/>
    <x v="6"/>
    <x v="0"/>
    <x v="1"/>
    <x v="0"/>
    <n v="103.66"/>
    <s v="Revolut"/>
    <s v="Cash"/>
    <s v="McDonald's"/>
  </r>
  <r>
    <s v="TXN100065"/>
    <x v="400"/>
    <x v="34"/>
    <x v="0"/>
    <x v="5"/>
    <x v="0"/>
    <n v="33.44"/>
    <s v="Revolut"/>
    <s v="Cash"/>
    <s v="Local Restaurant"/>
  </r>
  <r>
    <s v="TXN100566"/>
    <x v="400"/>
    <x v="4"/>
    <x v="2"/>
    <x v="3"/>
    <x v="0"/>
    <n v="93.63"/>
    <s v="Main Bank"/>
    <s v="Debit Card"/>
    <s v="Zalando"/>
  </r>
  <r>
    <s v="TXN100191"/>
    <x v="400"/>
    <x v="71"/>
    <x v="4"/>
    <x v="17"/>
    <x v="0"/>
    <n v="72.23"/>
    <s v="Main Bank"/>
    <s v="Direct Debit"/>
    <s v="Vodafone"/>
  </r>
  <r>
    <s v="TXN102540"/>
    <x v="401"/>
    <x v="86"/>
    <x v="5"/>
    <x v="9"/>
    <x v="0"/>
    <n v="167.44"/>
    <s v="Main Bank"/>
    <s v="Direct Debit"/>
    <s v="Booking.com"/>
  </r>
  <r>
    <s v="TXN101857"/>
    <x v="401"/>
    <x v="19"/>
    <x v="7"/>
    <x v="14"/>
    <x v="0"/>
    <n v="102.11"/>
    <s v="Revolut"/>
    <s v="Direct Debit"/>
    <s v="Gym"/>
  </r>
  <r>
    <s v="TXN103441"/>
    <x v="401"/>
    <x v="36"/>
    <x v="6"/>
    <x v="15"/>
    <x v="0"/>
    <n v="44.38"/>
    <s v="Savings"/>
    <s v="Debit Card"/>
    <s v="Aral"/>
  </r>
  <r>
    <s v="TXN101014"/>
    <x v="401"/>
    <x v="10"/>
    <x v="4"/>
    <x v="7"/>
    <x v="0"/>
    <n v="277.17"/>
    <s v="Main Bank"/>
    <s v="Bank Transfer"/>
    <s v="Landlord"/>
  </r>
  <r>
    <s v="TXN100546"/>
    <x v="401"/>
    <x v="51"/>
    <x v="6"/>
    <x v="15"/>
    <x v="0"/>
    <n v="107.35"/>
    <s v="Main Bank"/>
    <s v="Credit Card"/>
    <s v="DB"/>
  </r>
  <r>
    <s v="TXN101710"/>
    <x v="402"/>
    <x v="80"/>
    <x v="1"/>
    <x v="22"/>
    <x v="0"/>
    <n v="57.65"/>
    <s v="Main Bank"/>
    <s v="Credit Card"/>
    <s v="Cinema"/>
  </r>
  <r>
    <s v="TXN100457"/>
    <x v="402"/>
    <x v="63"/>
    <x v="4"/>
    <x v="19"/>
    <x v="0"/>
    <n v="467.88"/>
    <s v="Main Bank"/>
    <s v="Bank Transfer"/>
    <s v="Vodafone"/>
  </r>
  <r>
    <s v="TXN101501"/>
    <x v="402"/>
    <x v="66"/>
    <x v="2"/>
    <x v="3"/>
    <x v="0"/>
    <n v="73.88"/>
    <s v="Main Bank"/>
    <s v="Debit Card"/>
    <s v="MediaMarkt"/>
  </r>
  <r>
    <s v="TXN100417"/>
    <x v="402"/>
    <x v="14"/>
    <x v="0"/>
    <x v="0"/>
    <x v="0"/>
    <n v="11.91"/>
    <s v="Savings"/>
    <s v="Direct Debit"/>
    <s v="REWE"/>
  </r>
  <r>
    <s v="TXN101287"/>
    <x v="402"/>
    <x v="38"/>
    <x v="4"/>
    <x v="7"/>
    <x v="0"/>
    <n v="806.01"/>
    <s v="Revolut"/>
    <s v="Bank Transfer"/>
    <s v="Vodafone"/>
  </r>
  <r>
    <s v="TXN100593"/>
    <x v="402"/>
    <x v="25"/>
    <x v="0"/>
    <x v="0"/>
    <x v="0"/>
    <n v="149.46"/>
    <s v="Revolut"/>
    <s v="Bank Transfer"/>
    <s v="McDonald's"/>
  </r>
  <r>
    <s v="TXN100758"/>
    <x v="403"/>
    <x v="24"/>
    <x v="2"/>
    <x v="16"/>
    <x v="0"/>
    <n v="142.15"/>
    <s v="Main Bank"/>
    <s v="Debit Card"/>
    <s v="MediaMarkt"/>
  </r>
  <r>
    <s v="TXN101051"/>
    <x v="403"/>
    <x v="67"/>
    <x v="3"/>
    <x v="6"/>
    <x v="1"/>
    <n v="604.53"/>
    <s v="Savings"/>
    <s v="Debit Card"/>
    <s v="Freelance Client"/>
  </r>
  <r>
    <s v="TXN102438"/>
    <x v="403"/>
    <x v="59"/>
    <x v="6"/>
    <x v="11"/>
    <x v="0"/>
    <n v="123.32"/>
    <s v="Main Bank"/>
    <s v="Debit Card"/>
    <s v="Aral"/>
  </r>
  <r>
    <s v="TXN101432"/>
    <x v="403"/>
    <x v="33"/>
    <x v="2"/>
    <x v="16"/>
    <x v="0"/>
    <n v="178.42"/>
    <s v="Revolut"/>
    <s v="Debit Card"/>
    <s v="Amazon"/>
  </r>
  <r>
    <s v="TXN102186"/>
    <x v="403"/>
    <x v="16"/>
    <x v="3"/>
    <x v="10"/>
    <x v="1"/>
    <n v="2491.1799999999998"/>
    <s v="Savings"/>
    <s v="Debit Card"/>
    <s v="Employer"/>
  </r>
  <r>
    <s v="TXN101378"/>
    <x v="403"/>
    <x v="33"/>
    <x v="2"/>
    <x v="16"/>
    <x v="0"/>
    <n v="119.77"/>
    <s v="Revolut"/>
    <s v="Debit Card"/>
    <s v="Amazon"/>
  </r>
  <r>
    <s v="TXN101185"/>
    <x v="403"/>
    <x v="63"/>
    <x v="4"/>
    <x v="19"/>
    <x v="0"/>
    <n v="489.13"/>
    <s v="Main Bank"/>
    <s v="Credit Card"/>
    <s v="Vodafone"/>
  </r>
  <r>
    <s v="TXN102018"/>
    <x v="404"/>
    <x v="11"/>
    <x v="3"/>
    <x v="8"/>
    <x v="1"/>
    <n v="364.01"/>
    <s v="Main Bank"/>
    <s v="Debit Card"/>
    <s v="Freelance Client"/>
  </r>
  <r>
    <s v="TXN100455"/>
    <x v="404"/>
    <x v="75"/>
    <x v="4"/>
    <x v="7"/>
    <x v="0"/>
    <n v="398.44"/>
    <s v="Main Bank"/>
    <s v="Debit Card"/>
    <s v="Energy Provider"/>
  </r>
  <r>
    <s v="TXN102311"/>
    <x v="405"/>
    <x v="62"/>
    <x v="2"/>
    <x v="4"/>
    <x v="0"/>
    <n v="110.84"/>
    <s v="Revolut"/>
    <s v="Credit Card"/>
    <s v="IKEA"/>
  </r>
  <r>
    <s v="TXN102569"/>
    <x v="405"/>
    <x v="13"/>
    <x v="3"/>
    <x v="10"/>
    <x v="1"/>
    <n v="2721.92"/>
    <s v="Main Bank"/>
    <s v="Bank Transfer"/>
    <s v="Freelance Client"/>
  </r>
  <r>
    <s v="TXN101032"/>
    <x v="405"/>
    <x v="77"/>
    <x v="1"/>
    <x v="22"/>
    <x v="0"/>
    <n v="17.059999999999999"/>
    <s v="Revolut"/>
    <s v="Bank Transfer"/>
    <s v="Steam"/>
  </r>
  <r>
    <s v="TXN102064"/>
    <x v="405"/>
    <x v="68"/>
    <x v="2"/>
    <x v="4"/>
    <x v="0"/>
    <n v="182.14"/>
    <s v="Main Bank"/>
    <s v="Debit Card"/>
    <s v="MediaMarkt"/>
  </r>
  <r>
    <s v="TXN100300"/>
    <x v="406"/>
    <x v="38"/>
    <x v="4"/>
    <x v="7"/>
    <x v="0"/>
    <n v="342.26"/>
    <s v="Main Bank"/>
    <s v="Debit Card"/>
    <s v="Vodafone"/>
  </r>
  <r>
    <s v="TXN102459"/>
    <x v="406"/>
    <x v="24"/>
    <x v="2"/>
    <x v="16"/>
    <x v="0"/>
    <n v="194.81"/>
    <s v="Main Bank"/>
    <s v="Cash"/>
    <s v="MediaMarkt"/>
  </r>
  <r>
    <s v="TXN101441"/>
    <x v="406"/>
    <x v="72"/>
    <x v="3"/>
    <x v="8"/>
    <x v="1"/>
    <n v="365.91"/>
    <s v="Revolut"/>
    <s v="Debit Card"/>
    <s v="Employer"/>
  </r>
  <r>
    <s v="TXN102542"/>
    <x v="406"/>
    <x v="87"/>
    <x v="5"/>
    <x v="20"/>
    <x v="0"/>
    <n v="303.89999999999998"/>
    <s v="Main Bank"/>
    <s v="Credit Card"/>
    <s v="Booking.com"/>
  </r>
  <r>
    <s v="TXN100335"/>
    <x v="407"/>
    <x v="47"/>
    <x v="4"/>
    <x v="19"/>
    <x v="0"/>
    <n v="142.34"/>
    <s v="Main Bank"/>
    <s v="Credit Card"/>
    <s v="Landlord"/>
  </r>
  <r>
    <s v="TXN101450"/>
    <x v="407"/>
    <x v="76"/>
    <x v="1"/>
    <x v="22"/>
    <x v="0"/>
    <n v="28.3"/>
    <s v="Revolut"/>
    <s v="Bank Transfer"/>
    <s v="Netflix"/>
  </r>
  <r>
    <s v="TXN101492"/>
    <x v="407"/>
    <x v="42"/>
    <x v="6"/>
    <x v="15"/>
    <x v="0"/>
    <n v="76.55"/>
    <s v="Revolut"/>
    <s v="Debit Card"/>
    <s v="Local Transit"/>
  </r>
  <r>
    <s v="TXN103350"/>
    <x v="407"/>
    <x v="25"/>
    <x v="0"/>
    <x v="0"/>
    <x v="0"/>
    <n v="32.67"/>
    <s v="Revolut"/>
    <s v="Debit Card"/>
    <s v="McDonald's"/>
  </r>
  <r>
    <s v="TXN102404"/>
    <x v="408"/>
    <x v="7"/>
    <x v="0"/>
    <x v="0"/>
    <x v="0"/>
    <n v="42.76"/>
    <s v="Main Bank"/>
    <s v="Direct Debit"/>
    <s v="Local Restaurant"/>
  </r>
  <r>
    <s v="TXN100776"/>
    <x v="408"/>
    <x v="25"/>
    <x v="0"/>
    <x v="0"/>
    <x v="0"/>
    <n v="8.06"/>
    <s v="Main Bank"/>
    <s v="Credit Card"/>
    <s v="McDonald's"/>
  </r>
  <r>
    <s v="TXN102973"/>
    <x v="408"/>
    <x v="12"/>
    <x v="5"/>
    <x v="9"/>
    <x v="0"/>
    <n v="470.57"/>
    <s v="Main Bank"/>
    <s v="Debit Card"/>
    <s v="Lufthansa"/>
  </r>
  <r>
    <s v="TXN101582"/>
    <x v="408"/>
    <x v="40"/>
    <x v="6"/>
    <x v="12"/>
    <x v="0"/>
    <n v="55"/>
    <s v="Main Bank"/>
    <s v="Credit Card"/>
    <s v="DB"/>
  </r>
  <r>
    <s v="TXN101481"/>
    <x v="409"/>
    <x v="31"/>
    <x v="3"/>
    <x v="6"/>
    <x v="1"/>
    <n v="679.12"/>
    <s v="Revolut"/>
    <s v="Direct Debit"/>
    <s v="Employer"/>
  </r>
  <r>
    <s v="TXN101021"/>
    <x v="409"/>
    <x v="64"/>
    <x v="7"/>
    <x v="21"/>
    <x v="0"/>
    <n v="75.069999999999993"/>
    <s v="Main Bank"/>
    <s v="Debit Card"/>
    <s v="Pharmacy"/>
  </r>
  <r>
    <s v="TXN101415"/>
    <x v="409"/>
    <x v="68"/>
    <x v="2"/>
    <x v="4"/>
    <x v="0"/>
    <n v="192.04"/>
    <s v="Revolut"/>
    <s v="Cash"/>
    <s v="MediaMarkt"/>
  </r>
  <r>
    <s v="TXN103151"/>
    <x v="409"/>
    <x v="74"/>
    <x v="1"/>
    <x v="13"/>
    <x v="0"/>
    <n v="24.39"/>
    <s v="Main Bank"/>
    <s v="Debit Card"/>
    <s v="Cinema"/>
  </r>
  <r>
    <s v="TXN102730"/>
    <x v="409"/>
    <x v="20"/>
    <x v="2"/>
    <x v="3"/>
    <x v="0"/>
    <n v="176.64"/>
    <s v="Main Bank"/>
    <s v="Bank Transfer"/>
    <s v="Amazon"/>
  </r>
  <r>
    <s v="TXN101361"/>
    <x v="410"/>
    <x v="11"/>
    <x v="3"/>
    <x v="8"/>
    <x v="1"/>
    <n v="352.47"/>
    <s v="Main Bank"/>
    <s v="Direct Debit"/>
    <s v="Freelance Client"/>
  </r>
  <r>
    <s v="TXN101557"/>
    <x v="410"/>
    <x v="80"/>
    <x v="1"/>
    <x v="22"/>
    <x v="0"/>
    <n v="13.26"/>
    <s v="Main Bank"/>
    <s v="Credit Card"/>
    <s v="Cinema"/>
  </r>
  <r>
    <s v="TXN101058"/>
    <x v="410"/>
    <x v="73"/>
    <x v="6"/>
    <x v="12"/>
    <x v="0"/>
    <n v="66.44"/>
    <s v="Main Bank"/>
    <s v="Debit Card"/>
    <s v="Aral"/>
  </r>
  <r>
    <s v="TXN100111"/>
    <x v="410"/>
    <x v="0"/>
    <x v="0"/>
    <x v="0"/>
    <x v="0"/>
    <n v="65.66"/>
    <s v="Revolut"/>
    <s v="Debit Card"/>
    <s v="Lidl"/>
  </r>
  <r>
    <s v="TXN102974"/>
    <x v="410"/>
    <x v="70"/>
    <x v="7"/>
    <x v="18"/>
    <x v="0"/>
    <n v="80.540000000000006"/>
    <s v="Revolut"/>
    <s v="Debit Card"/>
    <s v="Pharmacy"/>
  </r>
  <r>
    <s v="TXN101844"/>
    <x v="410"/>
    <x v="80"/>
    <x v="1"/>
    <x v="22"/>
    <x v="0"/>
    <n v="17.79"/>
    <s v="Main Bank"/>
    <s v="Bank Transfer"/>
    <s v="Cinema"/>
  </r>
  <r>
    <s v="TXN100563"/>
    <x v="410"/>
    <x v="0"/>
    <x v="0"/>
    <x v="0"/>
    <x v="0"/>
    <n v="49.95"/>
    <s v="Main Bank"/>
    <s v="Direct Debit"/>
    <s v="Lidl"/>
  </r>
  <r>
    <s v="TXN102927"/>
    <x v="411"/>
    <x v="13"/>
    <x v="3"/>
    <x v="10"/>
    <x v="1"/>
    <n v="3001.12"/>
    <s v="Revolut"/>
    <s v="Debit Card"/>
    <s v="Freelance Client"/>
  </r>
  <r>
    <s v="TXN103235"/>
    <x v="411"/>
    <x v="42"/>
    <x v="6"/>
    <x v="15"/>
    <x v="0"/>
    <n v="62.25"/>
    <s v="Main Bank"/>
    <s v="Credit Card"/>
    <s v="Local Transit"/>
  </r>
  <r>
    <s v="TXN102502"/>
    <x v="411"/>
    <x v="69"/>
    <x v="5"/>
    <x v="23"/>
    <x v="0"/>
    <n v="361.24"/>
    <s v="Main Bank"/>
    <s v="Cash"/>
    <s v="Booking.com"/>
  </r>
  <r>
    <s v="TXN101504"/>
    <x v="411"/>
    <x v="51"/>
    <x v="6"/>
    <x v="15"/>
    <x v="0"/>
    <n v="82.25"/>
    <s v="Revolut"/>
    <s v="Debit Card"/>
    <s v="DB"/>
  </r>
  <r>
    <s v="TXN100474"/>
    <x v="411"/>
    <x v="31"/>
    <x v="3"/>
    <x v="6"/>
    <x v="1"/>
    <n v="582.22"/>
    <s v="Main Bank"/>
    <s v="Debit Card"/>
    <s v="Employer"/>
  </r>
  <r>
    <s v="TXN102151"/>
    <x v="411"/>
    <x v="30"/>
    <x v="6"/>
    <x v="11"/>
    <x v="0"/>
    <n v="16.07"/>
    <s v="Revolut"/>
    <s v="Debit Card"/>
    <s v="DB"/>
  </r>
  <r>
    <s v="TXN102034"/>
    <x v="411"/>
    <x v="72"/>
    <x v="3"/>
    <x v="8"/>
    <x v="1"/>
    <n v="351.64"/>
    <s v="Main Bank"/>
    <s v="Credit Card"/>
    <s v="Employer"/>
  </r>
  <r>
    <s v="TXN101574"/>
    <x v="412"/>
    <x v="16"/>
    <x v="3"/>
    <x v="10"/>
    <x v="1"/>
    <n v="2921.28"/>
    <s v="Revolut"/>
    <s v="Bank Transfer"/>
    <s v="Employer"/>
  </r>
  <r>
    <s v="TXN102778"/>
    <x v="412"/>
    <x v="25"/>
    <x v="0"/>
    <x v="0"/>
    <x v="0"/>
    <n v="31.42"/>
    <s v="Main Bank"/>
    <s v="Direct Debit"/>
    <s v="McDonald's"/>
  </r>
  <r>
    <s v="TXN101646"/>
    <x v="412"/>
    <x v="28"/>
    <x v="7"/>
    <x v="14"/>
    <x v="0"/>
    <n v="45.28"/>
    <s v="Main Bank"/>
    <s v="Bank Transfer"/>
    <s v="Pharmacy"/>
  </r>
  <r>
    <s v="TXN102470"/>
    <x v="412"/>
    <x v="22"/>
    <x v="2"/>
    <x v="4"/>
    <x v="0"/>
    <n v="116.56"/>
    <s v="Savings"/>
    <s v="Debit Card"/>
    <s v="Zalando"/>
  </r>
  <r>
    <s v="TXN102821"/>
    <x v="412"/>
    <x v="55"/>
    <x v="3"/>
    <x v="8"/>
    <x v="1"/>
    <n v="403.88"/>
    <s v="Main Bank"/>
    <s v="Bank Transfer"/>
    <s v="Employer Bonus"/>
  </r>
  <r>
    <s v="TXN101211"/>
    <x v="412"/>
    <x v="78"/>
    <x v="6"/>
    <x v="15"/>
    <x v="0"/>
    <n v="63.94"/>
    <s v="Main Bank"/>
    <s v="Debit Card"/>
    <s v="Auto Service"/>
  </r>
  <r>
    <s v="TXN101605"/>
    <x v="413"/>
    <x v="71"/>
    <x v="4"/>
    <x v="17"/>
    <x v="0"/>
    <n v="338.04"/>
    <s v="Main Bank"/>
    <s v="Bank Transfer"/>
    <s v="Vodafone"/>
  </r>
  <r>
    <s v="TXN102359"/>
    <x v="413"/>
    <x v="57"/>
    <x v="2"/>
    <x v="3"/>
    <x v="0"/>
    <n v="30.62"/>
    <s v="Main Bank"/>
    <s v="Debit Card"/>
    <s v="IKEA"/>
  </r>
  <r>
    <s v="TXN100833"/>
    <x v="413"/>
    <x v="48"/>
    <x v="0"/>
    <x v="5"/>
    <x v="0"/>
    <n v="65.5"/>
    <s v="Main Bank"/>
    <s v="Debit Card"/>
    <s v="EDEKA"/>
  </r>
  <r>
    <s v="TXN103105"/>
    <x v="413"/>
    <x v="0"/>
    <x v="0"/>
    <x v="0"/>
    <x v="0"/>
    <n v="39.33"/>
    <s v="Savings"/>
    <s v="Bank Transfer"/>
    <s v="Lidl"/>
  </r>
  <r>
    <s v="TXN102830"/>
    <x v="413"/>
    <x v="10"/>
    <x v="4"/>
    <x v="7"/>
    <x v="0"/>
    <n v="279.98"/>
    <s v="Main Bank"/>
    <s v="Debit Card"/>
    <s v="Landlord"/>
  </r>
  <r>
    <s v="TXN103342"/>
    <x v="414"/>
    <x v="57"/>
    <x v="2"/>
    <x v="3"/>
    <x v="0"/>
    <n v="99.14"/>
    <s v="Main Bank"/>
    <s v="Debit Card"/>
    <s v="IKEA"/>
  </r>
  <r>
    <s v="TXN102282"/>
    <x v="414"/>
    <x v="40"/>
    <x v="6"/>
    <x v="12"/>
    <x v="0"/>
    <n v="25.37"/>
    <s v="Main Bank"/>
    <s v="Bank Transfer"/>
    <s v="DB"/>
  </r>
  <r>
    <s v="TXN101669"/>
    <x v="414"/>
    <x v="43"/>
    <x v="4"/>
    <x v="17"/>
    <x v="0"/>
    <n v="554.57000000000005"/>
    <s v="Main Bank"/>
    <s v="Bank Transfer"/>
    <s v="Landlord"/>
  </r>
  <r>
    <s v="TXN101933"/>
    <x v="414"/>
    <x v="66"/>
    <x v="2"/>
    <x v="3"/>
    <x v="0"/>
    <n v="54.01"/>
    <s v="Revolut"/>
    <s v="Debit Card"/>
    <s v="MediaMarkt"/>
  </r>
  <r>
    <s v="TXN102136"/>
    <x v="414"/>
    <x v="67"/>
    <x v="3"/>
    <x v="6"/>
    <x v="1"/>
    <n v="680.76"/>
    <s v="Main Bank"/>
    <s v="Debit Card"/>
    <s v="Freelance Client"/>
  </r>
  <r>
    <s v="TXN102962"/>
    <x v="415"/>
    <x v="15"/>
    <x v="6"/>
    <x v="11"/>
    <x v="0"/>
    <n v="44.83"/>
    <s v="Main Bank"/>
    <s v="Debit Card"/>
    <s v="Auto Service"/>
  </r>
  <r>
    <s v="TXN101572"/>
    <x v="415"/>
    <x v="0"/>
    <x v="0"/>
    <x v="0"/>
    <x v="0"/>
    <n v="46.89"/>
    <s v="Savings"/>
    <s v="Debit Card"/>
    <s v="Lidl"/>
  </r>
  <r>
    <s v="TXN101483"/>
    <x v="415"/>
    <x v="68"/>
    <x v="2"/>
    <x v="4"/>
    <x v="0"/>
    <n v="132.09"/>
    <s v="Revolut"/>
    <s v="Bank Transfer"/>
    <s v="MediaMarkt"/>
  </r>
  <r>
    <s v="TXN102024"/>
    <x v="415"/>
    <x v="10"/>
    <x v="4"/>
    <x v="7"/>
    <x v="0"/>
    <n v="492.83"/>
    <s v="Revolut"/>
    <s v="Direct Debit"/>
    <s v="Landlord"/>
  </r>
  <r>
    <s v="TXN101935"/>
    <x v="415"/>
    <x v="65"/>
    <x v="1"/>
    <x v="2"/>
    <x v="0"/>
    <n v="26.94"/>
    <s v="Main Bank"/>
    <s v="Bank Transfer"/>
    <s v="Netflix"/>
  </r>
  <r>
    <s v="TXN101909"/>
    <x v="415"/>
    <x v="36"/>
    <x v="6"/>
    <x v="15"/>
    <x v="0"/>
    <n v="250"/>
    <s v="Revolut"/>
    <s v="Direct Debit"/>
    <s v="Aral"/>
  </r>
  <r>
    <s v="TXN101851"/>
    <x v="415"/>
    <x v="48"/>
    <x v="0"/>
    <x v="5"/>
    <x v="0"/>
    <n v="50.62"/>
    <s v="Main Bank"/>
    <s v="Debit Card"/>
    <s v="EDEKA"/>
  </r>
  <r>
    <s v="TXN101830"/>
    <x v="415"/>
    <x v="48"/>
    <x v="0"/>
    <x v="5"/>
    <x v="0"/>
    <n v="48.22"/>
    <s v="Main Bank"/>
    <s v="Debit Card"/>
    <s v="EDEKA"/>
  </r>
  <r>
    <s v="TXN103083"/>
    <x v="415"/>
    <x v="54"/>
    <x v="0"/>
    <x v="5"/>
    <x v="0"/>
    <n v="66.709999999999994"/>
    <s v="Revolut"/>
    <s v="Bank Transfer"/>
    <s v="Lidl"/>
  </r>
  <r>
    <s v="TXN101383"/>
    <x v="416"/>
    <x v="31"/>
    <x v="3"/>
    <x v="6"/>
    <x v="1"/>
    <n v="701.29"/>
    <s v="Savings"/>
    <s v="Credit Card"/>
    <s v="Employer"/>
  </r>
  <r>
    <s v="TXN102496"/>
    <x v="416"/>
    <x v="68"/>
    <x v="2"/>
    <x v="4"/>
    <x v="0"/>
    <n v="163.62"/>
    <s v="Revolut"/>
    <s v="Bank Transfer"/>
    <s v="MediaMarkt"/>
  </r>
  <r>
    <s v="TXN100947"/>
    <x v="416"/>
    <x v="0"/>
    <x v="0"/>
    <x v="0"/>
    <x v="0"/>
    <n v="180"/>
    <s v="Main Bank"/>
    <s v="Debit Card"/>
    <s v="Lidl"/>
  </r>
  <r>
    <s v="TXN101759"/>
    <x v="416"/>
    <x v="75"/>
    <x v="4"/>
    <x v="7"/>
    <x v="0"/>
    <n v="91.55"/>
    <s v="Revolut"/>
    <s v="Debit Card"/>
    <s v="Energy Provider"/>
  </r>
  <r>
    <s v="TXN102293"/>
    <x v="416"/>
    <x v="6"/>
    <x v="0"/>
    <x v="1"/>
    <x v="0"/>
    <n v="12.19"/>
    <s v="Main Bank"/>
    <s v="Cash"/>
    <s v="McDonald's"/>
  </r>
  <r>
    <s v="TXN103047"/>
    <x v="416"/>
    <x v="17"/>
    <x v="6"/>
    <x v="12"/>
    <x v="0"/>
    <n v="90.47"/>
    <s v="Main Bank"/>
    <s v="Debit Card"/>
    <s v="Auto Service"/>
  </r>
  <r>
    <s v="TXN101563"/>
    <x v="417"/>
    <x v="91"/>
    <x v="5"/>
    <x v="23"/>
    <x v="0"/>
    <n v="192.78"/>
    <s v="Main Bank"/>
    <s v="Direct Debit"/>
    <s v="Hotel"/>
  </r>
  <r>
    <s v="TXN103085"/>
    <x v="417"/>
    <x v="82"/>
    <x v="7"/>
    <x v="18"/>
    <x v="0"/>
    <n v="23"/>
    <s v="Revolut"/>
    <s v="Debit Card"/>
    <s v="Doctor"/>
  </r>
  <r>
    <s v="TXN100880"/>
    <x v="417"/>
    <x v="0"/>
    <x v="0"/>
    <x v="0"/>
    <x v="0"/>
    <n v="74.150000000000006"/>
    <s v="Revolut"/>
    <s v="Debit Card"/>
    <s v="Lidl"/>
  </r>
  <r>
    <s v="TXN101127"/>
    <x v="418"/>
    <x v="71"/>
    <x v="4"/>
    <x v="17"/>
    <x v="0"/>
    <n v="145.03"/>
    <s v="Main Bank"/>
    <s v="Credit Card"/>
    <s v="Vodafone"/>
  </r>
  <r>
    <s v="TXN101234"/>
    <x v="418"/>
    <x v="38"/>
    <x v="4"/>
    <x v="7"/>
    <x v="0"/>
    <n v="197.92"/>
    <s v="Revolut"/>
    <s v="Credit Card"/>
    <s v="Vodafone"/>
  </r>
  <r>
    <s v="TXN102236"/>
    <x v="418"/>
    <x v="18"/>
    <x v="1"/>
    <x v="13"/>
    <x v="0"/>
    <n v="53.13"/>
    <s v="Revolut"/>
    <s v="Cash"/>
    <s v="Netflix"/>
  </r>
  <r>
    <s v="TXN101036"/>
    <x v="418"/>
    <x v="84"/>
    <x v="7"/>
    <x v="21"/>
    <x v="0"/>
    <n v="190.3"/>
    <s v="Main Bank"/>
    <s v="Direct Debit"/>
    <s v="Gym"/>
  </r>
  <r>
    <s v="TXN102237"/>
    <x v="418"/>
    <x v="67"/>
    <x v="3"/>
    <x v="6"/>
    <x v="1"/>
    <n v="769.3"/>
    <s v="Main Bank"/>
    <s v="Credit Card"/>
    <s v="Freelance Client"/>
  </r>
  <r>
    <s v="TXN101105"/>
    <x v="418"/>
    <x v="31"/>
    <x v="3"/>
    <x v="6"/>
    <x v="1"/>
    <n v="753.23"/>
    <s v="Main Bank"/>
    <s v="Debit Card"/>
    <s v="Employer"/>
  </r>
  <r>
    <s v="TXN103182"/>
    <x v="418"/>
    <x v="29"/>
    <x v="0"/>
    <x v="1"/>
    <x v="0"/>
    <n v="33.520000000000003"/>
    <s v="Main Bank"/>
    <s v="Debit Card"/>
    <s v="REWE"/>
  </r>
  <r>
    <s v="TXN101852"/>
    <x v="419"/>
    <x v="13"/>
    <x v="3"/>
    <x v="10"/>
    <x v="1"/>
    <n v="2654.55"/>
    <s v="Main Bank"/>
    <s v="Credit Card"/>
    <s v="Freelance Client"/>
  </r>
  <r>
    <s v="TXN101589"/>
    <x v="419"/>
    <x v="51"/>
    <x v="6"/>
    <x v="15"/>
    <x v="0"/>
    <n v="22.05"/>
    <s v="Main Bank"/>
    <s v="Debit Card"/>
    <s v="DB"/>
  </r>
  <r>
    <s v="TXN102900"/>
    <x v="419"/>
    <x v="38"/>
    <x v="4"/>
    <x v="7"/>
    <x v="0"/>
    <n v="249.36"/>
    <s v="Revolut"/>
    <s v="Debit Card"/>
    <s v="Vodafone"/>
  </r>
  <r>
    <s v="TXN101516"/>
    <x v="419"/>
    <x v="63"/>
    <x v="4"/>
    <x v="19"/>
    <x v="0"/>
    <n v="59.14"/>
    <s v="Main Bank"/>
    <s v="Credit Card"/>
    <s v="Vodafone"/>
  </r>
  <r>
    <s v="TXN102706"/>
    <x v="419"/>
    <x v="9"/>
    <x v="3"/>
    <x v="6"/>
    <x v="1"/>
    <n v="819.81"/>
    <s v="Revolut"/>
    <s v="Debit Card"/>
    <s v="Employer Bonus"/>
  </r>
  <r>
    <s v="TXN101045"/>
    <x v="419"/>
    <x v="11"/>
    <x v="3"/>
    <x v="8"/>
    <x v="1"/>
    <n v="301.14"/>
    <s v="Revolut"/>
    <s v="Bank Transfer"/>
    <s v="Freelance Client"/>
  </r>
  <r>
    <s v="TXN101983"/>
    <x v="420"/>
    <x v="33"/>
    <x v="2"/>
    <x v="16"/>
    <x v="0"/>
    <n v="116.23"/>
    <s v="Revolut"/>
    <s v="Debit Card"/>
    <s v="Amazon"/>
  </r>
  <r>
    <s v="TXN100975"/>
    <x v="420"/>
    <x v="43"/>
    <x v="4"/>
    <x v="17"/>
    <x v="0"/>
    <n v="97.43"/>
    <s v="Revolut"/>
    <s v="Debit Card"/>
    <s v="Landlord"/>
  </r>
  <r>
    <s v="TXN101872"/>
    <x v="420"/>
    <x v="7"/>
    <x v="0"/>
    <x v="0"/>
    <x v="0"/>
    <n v="123.34"/>
    <s v="Revolut"/>
    <s v="Debit Card"/>
    <s v="Local Restaurant"/>
  </r>
  <r>
    <s v="TXN102362"/>
    <x v="420"/>
    <x v="30"/>
    <x v="6"/>
    <x v="11"/>
    <x v="0"/>
    <n v="83.75"/>
    <s v="Main Bank"/>
    <s v="Bank Transfer"/>
    <s v="DB"/>
  </r>
  <r>
    <s v="TXN100023"/>
    <x v="421"/>
    <x v="7"/>
    <x v="0"/>
    <x v="0"/>
    <x v="0"/>
    <n v="48.95"/>
    <s v="Revolut"/>
    <s v="Debit Card"/>
    <s v="Local Restaurant"/>
  </r>
  <r>
    <s v="TXN101720"/>
    <x v="421"/>
    <x v="26"/>
    <x v="0"/>
    <x v="1"/>
    <x v="0"/>
    <n v="50.95"/>
    <s v="Main Bank"/>
    <s v="Debit Card"/>
    <s v="Local Restaurant"/>
  </r>
  <r>
    <s v="TXN100389"/>
    <x v="421"/>
    <x v="70"/>
    <x v="7"/>
    <x v="18"/>
    <x v="0"/>
    <n v="59.01"/>
    <s v="Main Bank"/>
    <s v="Debit Card"/>
    <s v="Pharmacy"/>
  </r>
  <r>
    <s v="TXN100960"/>
    <x v="421"/>
    <x v="82"/>
    <x v="7"/>
    <x v="18"/>
    <x v="0"/>
    <n v="36.75"/>
    <s v="Revolut"/>
    <s v="Credit Card"/>
    <s v="Doctor"/>
  </r>
  <r>
    <s v="TXN103291"/>
    <x v="421"/>
    <x v="53"/>
    <x v="4"/>
    <x v="19"/>
    <x v="0"/>
    <n v="451.51"/>
    <s v="Revolut"/>
    <s v="Debit Card"/>
    <s v="Energy Provider"/>
  </r>
  <r>
    <s v="TXN101387"/>
    <x v="421"/>
    <x v="79"/>
    <x v="5"/>
    <x v="23"/>
    <x v="0"/>
    <n v="1037.19"/>
    <s v="Revolut"/>
    <s v="Debit Card"/>
    <s v="Travel Agency"/>
  </r>
  <r>
    <s v="TXN101531"/>
    <x v="422"/>
    <x v="81"/>
    <x v="0"/>
    <x v="5"/>
    <x v="0"/>
    <n v="180"/>
    <s v="Main Bank"/>
    <s v="Direct Debit"/>
    <s v="REWE"/>
  </r>
  <r>
    <s v="TXN100282"/>
    <x v="422"/>
    <x v="45"/>
    <x v="6"/>
    <x v="12"/>
    <x v="0"/>
    <n v="27.11"/>
    <s v="Revolut"/>
    <s v="Bank Transfer"/>
    <s v="Local Transit"/>
  </r>
  <r>
    <s v="TXN101876"/>
    <x v="422"/>
    <x v="57"/>
    <x v="2"/>
    <x v="3"/>
    <x v="0"/>
    <n v="30.44"/>
    <s v="Main Bank"/>
    <s v="Debit Card"/>
    <s v="IKEA"/>
  </r>
  <r>
    <s v="TXN103310"/>
    <x v="422"/>
    <x v="68"/>
    <x v="2"/>
    <x v="4"/>
    <x v="0"/>
    <n v="241.9"/>
    <s v="Main Bank"/>
    <s v="Credit Card"/>
    <s v="MediaMarkt"/>
  </r>
  <r>
    <s v="TXN103005"/>
    <x v="422"/>
    <x v="24"/>
    <x v="2"/>
    <x v="16"/>
    <x v="0"/>
    <n v="99.85"/>
    <s v="Savings"/>
    <s v="Debit Card"/>
    <s v="MediaMarkt"/>
  </r>
  <r>
    <s v="TXN101380"/>
    <x v="422"/>
    <x v="60"/>
    <x v="1"/>
    <x v="22"/>
    <x v="0"/>
    <n v="26.69"/>
    <s v="Main Bank"/>
    <s v="Credit Card"/>
    <s v="Spotify"/>
  </r>
  <r>
    <s v="TXN102906"/>
    <x v="422"/>
    <x v="63"/>
    <x v="4"/>
    <x v="19"/>
    <x v="0"/>
    <n v="425.57"/>
    <s v="Main Bank"/>
    <s v="Debit Card"/>
    <s v="Vodafone"/>
  </r>
  <r>
    <s v="TXN102504"/>
    <x v="423"/>
    <x v="67"/>
    <x v="3"/>
    <x v="6"/>
    <x v="1"/>
    <n v="550.66"/>
    <s v="Revolut"/>
    <s v="Direct Debit"/>
    <s v="Freelance Client"/>
  </r>
  <r>
    <s v="TXN103388"/>
    <x v="423"/>
    <x v="24"/>
    <x v="2"/>
    <x v="16"/>
    <x v="0"/>
    <n v="271.47000000000003"/>
    <s v="Main Bank"/>
    <s v="Bank Transfer"/>
    <s v="MediaMarkt"/>
  </r>
  <r>
    <s v="TXN100249"/>
    <x v="423"/>
    <x v="16"/>
    <x v="3"/>
    <x v="10"/>
    <x v="1"/>
    <n v="2565.21"/>
    <s v="Main Bank"/>
    <s v="Credit Card"/>
    <s v="Employer"/>
  </r>
  <r>
    <s v="TXN102626"/>
    <x v="423"/>
    <x v="72"/>
    <x v="3"/>
    <x v="8"/>
    <x v="1"/>
    <n v="316.5"/>
    <s v="Revolut"/>
    <s v="Debit Card"/>
    <s v="Employer"/>
  </r>
  <r>
    <s v="TXN100388"/>
    <x v="423"/>
    <x v="1"/>
    <x v="0"/>
    <x v="0"/>
    <x v="0"/>
    <n v="67.08"/>
    <s v="Main Bank"/>
    <s v="Credit Card"/>
    <s v="EDEKA"/>
  </r>
  <r>
    <s v="TXN101579"/>
    <x v="423"/>
    <x v="80"/>
    <x v="1"/>
    <x v="22"/>
    <x v="0"/>
    <n v="28.56"/>
    <s v="Main Bank"/>
    <s v="Bank Transfer"/>
    <s v="Cinema"/>
  </r>
  <r>
    <s v="TXN101389"/>
    <x v="423"/>
    <x v="55"/>
    <x v="3"/>
    <x v="8"/>
    <x v="1"/>
    <n v="386.88"/>
    <s v="Savings"/>
    <s v="Credit Card"/>
    <s v="Employer Bonus"/>
  </r>
  <r>
    <s v="TXN103483"/>
    <x v="423"/>
    <x v="2"/>
    <x v="0"/>
    <x v="1"/>
    <x v="0"/>
    <n v="34.32"/>
    <s v="Main Bank"/>
    <s v="Credit Card"/>
    <s v="Lidl"/>
  </r>
  <r>
    <s v="TXN102363"/>
    <x v="424"/>
    <x v="2"/>
    <x v="0"/>
    <x v="1"/>
    <x v="0"/>
    <n v="51.81"/>
    <s v="Main Bank"/>
    <s v="Debit Card"/>
    <s v="Lidl"/>
  </r>
  <r>
    <s v="TXN102694"/>
    <x v="424"/>
    <x v="44"/>
    <x v="2"/>
    <x v="16"/>
    <x v="0"/>
    <n v="120.79"/>
    <s v="Main Bank"/>
    <s v="Bank Transfer"/>
    <s v="Zalando"/>
  </r>
  <r>
    <s v="TXN100924"/>
    <x v="424"/>
    <x v="56"/>
    <x v="5"/>
    <x v="20"/>
    <x v="0"/>
    <n v="561.69000000000005"/>
    <s v="Savings"/>
    <s v="Bank Transfer"/>
    <s v="Lufthansa"/>
  </r>
  <r>
    <s v="TXN100934"/>
    <x v="424"/>
    <x v="20"/>
    <x v="2"/>
    <x v="3"/>
    <x v="0"/>
    <n v="247.22"/>
    <s v="Main Bank"/>
    <s v="Debit Card"/>
    <s v="Amazon"/>
  </r>
  <r>
    <s v="TXN103177"/>
    <x v="424"/>
    <x v="60"/>
    <x v="1"/>
    <x v="22"/>
    <x v="0"/>
    <n v="30.73"/>
    <s v="Savings"/>
    <s v="Debit Card"/>
    <s v="Spotify"/>
  </r>
  <r>
    <s v="TXN101733"/>
    <x v="425"/>
    <x v="20"/>
    <x v="2"/>
    <x v="3"/>
    <x v="0"/>
    <n v="34.53"/>
    <s v="Main Bank"/>
    <s v="Bank Transfer"/>
    <s v="Amazon"/>
  </r>
  <r>
    <s v="TXN101435"/>
    <x v="425"/>
    <x v="6"/>
    <x v="0"/>
    <x v="1"/>
    <x v="0"/>
    <n v="21.41"/>
    <s v="Revolut"/>
    <s v="Credit Card"/>
    <s v="McDonald's"/>
  </r>
  <r>
    <s v="TXN103011"/>
    <x v="425"/>
    <x v="5"/>
    <x v="2"/>
    <x v="4"/>
    <x v="0"/>
    <n v="142.16"/>
    <s v="Main Bank"/>
    <s v="Credit Card"/>
    <s v="Amazon"/>
  </r>
  <r>
    <s v="TXN101726"/>
    <x v="425"/>
    <x v="53"/>
    <x v="4"/>
    <x v="19"/>
    <x v="0"/>
    <n v="533.13"/>
    <s v="Main Bank"/>
    <s v="Credit Card"/>
    <s v="Energy Provider"/>
  </r>
  <r>
    <s v="TXN100719"/>
    <x v="426"/>
    <x v="81"/>
    <x v="0"/>
    <x v="5"/>
    <x v="0"/>
    <n v="89.97"/>
    <s v="Main Bank"/>
    <s v="Bank Transfer"/>
    <s v="REWE"/>
  </r>
  <r>
    <s v="TXN101847"/>
    <x v="426"/>
    <x v="26"/>
    <x v="0"/>
    <x v="1"/>
    <x v="0"/>
    <n v="68.92"/>
    <s v="Main Bank"/>
    <s v="Bank Transfer"/>
    <s v="Local Restaurant"/>
  </r>
  <r>
    <s v="TXN101245"/>
    <x v="427"/>
    <x v="79"/>
    <x v="5"/>
    <x v="23"/>
    <x v="0"/>
    <n v="675.2"/>
    <s v="Main Bank"/>
    <s v="Debit Card"/>
    <s v="Travel Agency"/>
  </r>
  <r>
    <s v="TXN100625"/>
    <x v="427"/>
    <x v="35"/>
    <x v="1"/>
    <x v="13"/>
    <x v="0"/>
    <n v="77.53"/>
    <s v="Revolut"/>
    <s v="Debit Card"/>
    <s v="Steam"/>
  </r>
  <r>
    <s v="TXN101436"/>
    <x v="427"/>
    <x v="71"/>
    <x v="4"/>
    <x v="17"/>
    <x v="0"/>
    <n v="521.64"/>
    <s v="Main Bank"/>
    <s v="Bank Transfer"/>
    <s v="Vodafone"/>
  </r>
  <r>
    <s v="TXN102959"/>
    <x v="428"/>
    <x v="8"/>
    <x v="0"/>
    <x v="5"/>
    <x v="0"/>
    <n v="55.63"/>
    <s v="Main Bank"/>
    <s v="Bank Transfer"/>
    <s v="McDonald's"/>
  </r>
  <r>
    <s v="TXN102144"/>
    <x v="428"/>
    <x v="34"/>
    <x v="0"/>
    <x v="5"/>
    <x v="0"/>
    <n v="81.91"/>
    <s v="Revolut"/>
    <s v="Bank Transfer"/>
    <s v="Local Restaurant"/>
  </r>
  <r>
    <s v="TXN103033"/>
    <x v="428"/>
    <x v="58"/>
    <x v="7"/>
    <x v="21"/>
    <x v="0"/>
    <n v="42.25"/>
    <s v="Revolut"/>
    <s v="Debit Card"/>
    <s v="Doctor"/>
  </r>
  <r>
    <s v="TXN102068"/>
    <x v="428"/>
    <x v="34"/>
    <x v="0"/>
    <x v="5"/>
    <x v="0"/>
    <n v="20.92"/>
    <s v="Main Bank"/>
    <s v="Bank Transfer"/>
    <s v="Local Restaurant"/>
  </r>
  <r>
    <s v="TXN103204"/>
    <x v="429"/>
    <x v="13"/>
    <x v="3"/>
    <x v="10"/>
    <x v="1"/>
    <n v="2798.94"/>
    <s v="Savings"/>
    <s v="Credit Card"/>
    <s v="Freelance Client"/>
  </r>
  <r>
    <s v="TXN100570"/>
    <x v="429"/>
    <x v="52"/>
    <x v="6"/>
    <x v="11"/>
    <x v="0"/>
    <n v="26.23"/>
    <s v="Revolut"/>
    <s v="Debit Card"/>
    <s v="Local Transit"/>
  </r>
  <r>
    <s v="TXN102384"/>
    <x v="429"/>
    <x v="59"/>
    <x v="6"/>
    <x v="11"/>
    <x v="0"/>
    <n v="90.56"/>
    <s v="Revolut"/>
    <s v="Bank Transfer"/>
    <s v="Aral"/>
  </r>
  <r>
    <s v="TXN100186"/>
    <x v="429"/>
    <x v="32"/>
    <x v="1"/>
    <x v="2"/>
    <x v="0"/>
    <n v="70.02"/>
    <s v="Main Bank"/>
    <s v="Debit Card"/>
    <s v="Cinema"/>
  </r>
  <r>
    <s v="TXN102125"/>
    <x v="429"/>
    <x v="31"/>
    <x v="3"/>
    <x v="6"/>
    <x v="1"/>
    <n v="576.21"/>
    <s v="Revolut"/>
    <s v="Credit Card"/>
    <s v="Employer"/>
  </r>
  <r>
    <s v="TXN103275"/>
    <x v="429"/>
    <x v="55"/>
    <x v="3"/>
    <x v="8"/>
    <x v="1"/>
    <n v="336.52"/>
    <s v="Main Bank"/>
    <s v="Direct Debit"/>
    <s v="Employer Bonus"/>
  </r>
  <r>
    <s v="TXN102896"/>
    <x v="429"/>
    <x v="67"/>
    <x v="3"/>
    <x v="6"/>
    <x v="1"/>
    <n v="706.1"/>
    <s v="Savings"/>
    <s v="Bank Transfer"/>
    <s v="Freelance Client"/>
  </r>
  <r>
    <s v="TXN101427"/>
    <x v="430"/>
    <x v="10"/>
    <x v="4"/>
    <x v="7"/>
    <x v="0"/>
    <n v="278.44"/>
    <s v="Main Bank"/>
    <s v="Debit Card"/>
    <s v="Landlord"/>
  </r>
  <r>
    <s v="TXN101520"/>
    <x v="430"/>
    <x v="67"/>
    <x v="3"/>
    <x v="6"/>
    <x v="1"/>
    <n v="635.88"/>
    <s v="Revolut"/>
    <s v="Debit Card"/>
    <s v="Freelance Client"/>
  </r>
  <r>
    <s v="TXN101901"/>
    <x v="430"/>
    <x v="66"/>
    <x v="2"/>
    <x v="3"/>
    <x v="0"/>
    <n v="95.38"/>
    <s v="Revolut"/>
    <s v="Direct Debit"/>
    <s v="MediaMarkt"/>
  </r>
  <r>
    <s v="TXN102246"/>
    <x v="430"/>
    <x v="4"/>
    <x v="2"/>
    <x v="3"/>
    <x v="0"/>
    <n v="104.2"/>
    <s v="Revolut"/>
    <s v="Credit Card"/>
    <s v="Zalando"/>
  </r>
  <r>
    <s v="TXN101351"/>
    <x v="431"/>
    <x v="72"/>
    <x v="3"/>
    <x v="8"/>
    <x v="1"/>
    <n v="374.76"/>
    <s v="Main Bank"/>
    <s v="Bank Transfer"/>
    <s v="Employer"/>
  </r>
  <r>
    <s v="TXN102655"/>
    <x v="431"/>
    <x v="27"/>
    <x v="5"/>
    <x v="9"/>
    <x v="0"/>
    <n v="883.35"/>
    <s v="Main Bank"/>
    <s v="Debit Card"/>
    <s v="Hotel"/>
  </r>
  <r>
    <s v="TXN100468"/>
    <x v="431"/>
    <x v="41"/>
    <x v="3"/>
    <x v="10"/>
    <x v="1"/>
    <n v="2581.91"/>
    <s v="Main Bank"/>
    <s v="Cash"/>
    <s v="Employer Bonus"/>
  </r>
  <r>
    <s v="TXN102977"/>
    <x v="431"/>
    <x v="41"/>
    <x v="3"/>
    <x v="10"/>
    <x v="1"/>
    <n v="2350.89"/>
    <s v="Main Bank"/>
    <s v="Bank Transfer"/>
    <s v="Employer Bonus"/>
  </r>
  <r>
    <s v="TXN101644"/>
    <x v="432"/>
    <x v="80"/>
    <x v="1"/>
    <x v="22"/>
    <x v="0"/>
    <n v="99.29"/>
    <s v="Revolut"/>
    <s v="Bank Transfer"/>
    <s v="Cinema"/>
  </r>
  <r>
    <s v="TXN101610"/>
    <x v="432"/>
    <x v="57"/>
    <x v="2"/>
    <x v="3"/>
    <x v="0"/>
    <n v="399.56"/>
    <s v="Main Bank"/>
    <s v="Credit Card"/>
    <s v="IKEA"/>
  </r>
  <r>
    <s v="TXN100608"/>
    <x v="432"/>
    <x v="40"/>
    <x v="6"/>
    <x v="12"/>
    <x v="0"/>
    <n v="107.41"/>
    <s v="Revolut"/>
    <s v="Credit Card"/>
    <s v="DB"/>
  </r>
  <r>
    <s v="TXN103321"/>
    <x v="433"/>
    <x v="68"/>
    <x v="2"/>
    <x v="4"/>
    <x v="0"/>
    <n v="58.34"/>
    <s v="Main Bank"/>
    <s v="Direct Debit"/>
    <s v="MediaMarkt"/>
  </r>
  <r>
    <s v="TXN101750"/>
    <x v="433"/>
    <x v="14"/>
    <x v="0"/>
    <x v="0"/>
    <x v="0"/>
    <n v="14.48"/>
    <s v="Main Bank"/>
    <s v="Bank Transfer"/>
    <s v="REWE"/>
  </r>
  <r>
    <s v="TXN101233"/>
    <x v="433"/>
    <x v="81"/>
    <x v="0"/>
    <x v="5"/>
    <x v="0"/>
    <n v="15.25"/>
    <s v="Main Bank"/>
    <s v="Debit Card"/>
    <s v="REWE"/>
  </r>
  <r>
    <s v="TXN100387"/>
    <x v="433"/>
    <x v="29"/>
    <x v="0"/>
    <x v="1"/>
    <x v="0"/>
    <n v="46.23"/>
    <s v="Revolut"/>
    <s v="Debit Card"/>
    <s v="REWE"/>
  </r>
  <r>
    <s v="TXN101358"/>
    <x v="433"/>
    <x v="15"/>
    <x v="6"/>
    <x v="11"/>
    <x v="0"/>
    <n v="43.13"/>
    <s v="Main Bank"/>
    <s v="Debit Card"/>
    <s v="Auto Service"/>
  </r>
  <r>
    <s v="TXN103041"/>
    <x v="434"/>
    <x v="81"/>
    <x v="0"/>
    <x v="5"/>
    <x v="0"/>
    <n v="121.48"/>
    <s v="Savings"/>
    <s v="Credit Card"/>
    <s v="REWE"/>
  </r>
  <r>
    <s v="TXN102619"/>
    <x v="434"/>
    <x v="11"/>
    <x v="3"/>
    <x v="8"/>
    <x v="1"/>
    <n v="297.24"/>
    <s v="Main Bank"/>
    <s v="Debit Card"/>
    <s v="Freelance Client"/>
  </r>
  <r>
    <s v="TXN102898"/>
    <x v="435"/>
    <x v="6"/>
    <x v="0"/>
    <x v="1"/>
    <x v="0"/>
    <n v="67.5"/>
    <s v="Main Bank"/>
    <s v="Bank Transfer"/>
    <s v="McDonald's"/>
  </r>
  <r>
    <s v="TXN100415"/>
    <x v="435"/>
    <x v="77"/>
    <x v="1"/>
    <x v="22"/>
    <x v="0"/>
    <n v="28.08"/>
    <s v="Main Bank"/>
    <s v="Debit Card"/>
    <s v="Steam"/>
  </r>
  <r>
    <s v="TXN102801"/>
    <x v="435"/>
    <x v="79"/>
    <x v="5"/>
    <x v="23"/>
    <x v="0"/>
    <n v="174.89"/>
    <s v="Main Bank"/>
    <s v="Credit Card"/>
    <s v="Travel Agency"/>
  </r>
  <r>
    <s v="TXN101918"/>
    <x v="435"/>
    <x v="35"/>
    <x v="1"/>
    <x v="13"/>
    <x v="0"/>
    <n v="34.630000000000003"/>
    <s v="Revolut"/>
    <s v="Direct Debit"/>
    <s v="Steam"/>
  </r>
  <r>
    <s v="TXN103318"/>
    <x v="435"/>
    <x v="38"/>
    <x v="4"/>
    <x v="7"/>
    <x v="0"/>
    <n v="125.09"/>
    <s v="Savings"/>
    <s v="Credit Card"/>
    <s v="Vodafone"/>
  </r>
  <r>
    <s v="TXN100874"/>
    <x v="436"/>
    <x v="88"/>
    <x v="6"/>
    <x v="11"/>
    <x v="0"/>
    <n v="160.41999999999999"/>
    <s v="Revolut"/>
    <s v="Bank Transfer"/>
    <s v="Shell"/>
  </r>
  <r>
    <s v="TXN100459"/>
    <x v="436"/>
    <x v="71"/>
    <x v="4"/>
    <x v="17"/>
    <x v="0"/>
    <n v="357.83"/>
    <s v="Main Bank"/>
    <s v="Credit Card"/>
    <s v="Vodafone"/>
  </r>
  <r>
    <s v="TXN101013"/>
    <x v="436"/>
    <x v="9"/>
    <x v="3"/>
    <x v="6"/>
    <x v="1"/>
    <n v="719.06"/>
    <s v="Revolut"/>
    <s v="Credit Card"/>
    <s v="Employer Bonus"/>
  </r>
  <r>
    <s v="TXN102425"/>
    <x v="436"/>
    <x v="1"/>
    <x v="0"/>
    <x v="0"/>
    <x v="0"/>
    <n v="14.72"/>
    <s v="Revolut"/>
    <s v="Bank Transfer"/>
    <s v="EDEKA"/>
  </r>
  <r>
    <s v="TXN102635"/>
    <x v="436"/>
    <x v="46"/>
    <x v="7"/>
    <x v="18"/>
    <x v="0"/>
    <n v="120.39"/>
    <s v="Main Bank"/>
    <s v="Credit Card"/>
    <s v="Gym"/>
  </r>
  <r>
    <s v="TXN102442"/>
    <x v="436"/>
    <x v="66"/>
    <x v="2"/>
    <x v="3"/>
    <x v="0"/>
    <n v="184.56"/>
    <s v="Savings"/>
    <s v="Credit Card"/>
    <s v="MediaMarkt"/>
  </r>
  <r>
    <s v="TXN100128"/>
    <x v="436"/>
    <x v="55"/>
    <x v="3"/>
    <x v="8"/>
    <x v="1"/>
    <n v="315.13"/>
    <s v="Revolut"/>
    <s v="Bank Transfer"/>
    <s v="Employer Bonus"/>
  </r>
  <r>
    <s v="TXN100059"/>
    <x v="436"/>
    <x v="10"/>
    <x v="4"/>
    <x v="7"/>
    <x v="0"/>
    <n v="483.65"/>
    <s v="Revolut"/>
    <s v="Debit Card"/>
    <s v="Landlord"/>
  </r>
  <r>
    <s v="TXN100680"/>
    <x v="436"/>
    <x v="31"/>
    <x v="3"/>
    <x v="6"/>
    <x v="1"/>
    <n v="590.72"/>
    <s v="Revolut"/>
    <s v="Credit Card"/>
    <s v="Employer"/>
  </r>
  <r>
    <s v="TXN100935"/>
    <x v="437"/>
    <x v="1"/>
    <x v="0"/>
    <x v="0"/>
    <x v="0"/>
    <n v="18.63"/>
    <s v="Main Bank"/>
    <s v="Debit Card"/>
    <s v="EDEKA"/>
  </r>
  <r>
    <s v="TXN102683"/>
    <x v="437"/>
    <x v="50"/>
    <x v="4"/>
    <x v="17"/>
    <x v="0"/>
    <n v="267.45"/>
    <s v="Savings"/>
    <s v="Debit Card"/>
    <s v="Energy Provider"/>
  </r>
  <r>
    <s v="TXN102490"/>
    <x v="437"/>
    <x v="23"/>
    <x v="6"/>
    <x v="15"/>
    <x v="0"/>
    <n v="56.61"/>
    <s v="Revolut"/>
    <s v="Credit Card"/>
    <s v="Shell"/>
  </r>
  <r>
    <s v="TXN103020"/>
    <x v="437"/>
    <x v="92"/>
    <x v="5"/>
    <x v="20"/>
    <x v="0"/>
    <n v="296.07"/>
    <s v="Revolut"/>
    <s v="Bank Transfer"/>
    <s v="Travel Agency"/>
  </r>
  <r>
    <s v="TXN102164"/>
    <x v="438"/>
    <x v="16"/>
    <x v="3"/>
    <x v="10"/>
    <x v="1"/>
    <n v="2089.7800000000002"/>
    <s v="Main Bank"/>
    <s v="Direct Debit"/>
    <s v="Employer"/>
  </r>
  <r>
    <s v="TXN101221"/>
    <x v="438"/>
    <x v="11"/>
    <x v="3"/>
    <x v="8"/>
    <x v="1"/>
    <n v="356.89"/>
    <s v="Revolut"/>
    <s v="Debit Card"/>
    <s v="Freelance Client"/>
  </r>
  <r>
    <s v="TXN103206"/>
    <x v="438"/>
    <x v="16"/>
    <x v="3"/>
    <x v="10"/>
    <x v="1"/>
    <n v="2186.8200000000002"/>
    <s v="Main Bank"/>
    <s v="Debit Card"/>
    <s v="Employer"/>
  </r>
  <r>
    <s v="TXN102627"/>
    <x v="438"/>
    <x v="50"/>
    <x v="4"/>
    <x v="17"/>
    <x v="0"/>
    <n v="206.43"/>
    <s v="Main Bank"/>
    <s v="Bank Transfer"/>
    <s v="Energy Provider"/>
  </r>
  <r>
    <s v="TXN102749"/>
    <x v="438"/>
    <x v="13"/>
    <x v="3"/>
    <x v="10"/>
    <x v="1"/>
    <n v="2651.98"/>
    <s v="Main Bank"/>
    <s v="Debit Card"/>
    <s v="Freelance Client"/>
  </r>
  <r>
    <s v="TXN102435"/>
    <x v="438"/>
    <x v="16"/>
    <x v="3"/>
    <x v="10"/>
    <x v="1"/>
    <n v="2511.79"/>
    <s v="Main Bank"/>
    <s v="Credit Card"/>
    <s v="Employer"/>
  </r>
  <r>
    <s v="TXN100955"/>
    <x v="438"/>
    <x v="37"/>
    <x v="6"/>
    <x v="12"/>
    <x v="0"/>
    <n v="90.78"/>
    <s v="Savings"/>
    <s v="Debit Card"/>
    <s v="Shell"/>
  </r>
  <r>
    <s v="TXN102373"/>
    <x v="438"/>
    <x v="39"/>
    <x v="7"/>
    <x v="14"/>
    <x v="0"/>
    <n v="38.85"/>
    <s v="Main Bank"/>
    <s v="Bank Transfer"/>
    <s v="Doctor"/>
  </r>
  <r>
    <s v="TXN101743"/>
    <x v="439"/>
    <x v="69"/>
    <x v="5"/>
    <x v="23"/>
    <x v="0"/>
    <n v="507.5"/>
    <s v="Main Bank"/>
    <s v="Direct Debit"/>
    <s v="Booking.com"/>
  </r>
  <r>
    <s v="TXN100958"/>
    <x v="439"/>
    <x v="53"/>
    <x v="4"/>
    <x v="19"/>
    <x v="0"/>
    <n v="98.28"/>
    <s v="Main Bank"/>
    <s v="Debit Card"/>
    <s v="Energy Provider"/>
  </r>
  <r>
    <s v="TXN100569"/>
    <x v="439"/>
    <x v="67"/>
    <x v="3"/>
    <x v="6"/>
    <x v="1"/>
    <n v="564.73"/>
    <s v="Revolut"/>
    <s v="Debit Card"/>
    <s v="Freelance Client"/>
  </r>
  <r>
    <s v="TXN101496"/>
    <x v="439"/>
    <x v="74"/>
    <x v="1"/>
    <x v="13"/>
    <x v="0"/>
    <n v="102.21"/>
    <s v="Main Bank"/>
    <s v="Debit Card"/>
    <s v="Cinema"/>
  </r>
  <r>
    <s v="TXN102984"/>
    <x v="440"/>
    <x v="55"/>
    <x v="3"/>
    <x v="8"/>
    <x v="1"/>
    <n v="319.19"/>
    <s v="Savings"/>
    <s v="Bank Transfer"/>
    <s v="Employer Bonus"/>
  </r>
  <r>
    <s v="TXN101260"/>
    <x v="441"/>
    <x v="20"/>
    <x v="2"/>
    <x v="3"/>
    <x v="0"/>
    <n v="116.12"/>
    <s v="Main Bank"/>
    <s v="Credit Card"/>
    <s v="Amazon"/>
  </r>
  <r>
    <s v="TXN100483"/>
    <x v="441"/>
    <x v="5"/>
    <x v="2"/>
    <x v="4"/>
    <x v="0"/>
    <n v="260.12"/>
    <s v="Main Bank"/>
    <s v="Bank Transfer"/>
    <s v="Amazon"/>
  </r>
  <r>
    <s v="TXN103314"/>
    <x v="441"/>
    <x v="10"/>
    <x v="4"/>
    <x v="7"/>
    <x v="0"/>
    <n v="105.04"/>
    <s v="Revolut"/>
    <s v="Debit Card"/>
    <s v="Landlord"/>
  </r>
  <r>
    <s v="TXN103437"/>
    <x v="441"/>
    <x v="7"/>
    <x v="0"/>
    <x v="0"/>
    <x v="0"/>
    <n v="30.67"/>
    <s v="Revolut"/>
    <s v="Bank Transfer"/>
    <s v="Local Restaurant"/>
  </r>
  <r>
    <s v="TXN102090"/>
    <x v="441"/>
    <x v="15"/>
    <x v="6"/>
    <x v="11"/>
    <x v="0"/>
    <n v="124.65"/>
    <s v="Revolut"/>
    <s v="Bank Transfer"/>
    <s v="Auto Service"/>
  </r>
  <r>
    <s v="TXN101760"/>
    <x v="441"/>
    <x v="57"/>
    <x v="2"/>
    <x v="3"/>
    <x v="0"/>
    <n v="365.22"/>
    <s v="Main Bank"/>
    <s v="Debit Card"/>
    <s v="IKEA"/>
  </r>
  <r>
    <s v="TXN102331"/>
    <x v="441"/>
    <x v="7"/>
    <x v="0"/>
    <x v="0"/>
    <x v="0"/>
    <n v="46.84"/>
    <s v="Main Bank"/>
    <s v="Credit Card"/>
    <s v="Local Restaurant"/>
  </r>
  <r>
    <s v="TXN102248"/>
    <x v="442"/>
    <x v="55"/>
    <x v="3"/>
    <x v="8"/>
    <x v="1"/>
    <n v="383.37"/>
    <s v="Main Bank"/>
    <s v="Cash"/>
    <s v="Employer Bonus"/>
  </r>
  <r>
    <s v="TXN101671"/>
    <x v="442"/>
    <x v="15"/>
    <x v="6"/>
    <x v="11"/>
    <x v="0"/>
    <n v="183.52"/>
    <s v="Main Bank"/>
    <s v="Direct Debit"/>
    <s v="Auto Service"/>
  </r>
  <r>
    <s v="TXN102142"/>
    <x v="442"/>
    <x v="66"/>
    <x v="2"/>
    <x v="3"/>
    <x v="0"/>
    <n v="110.86"/>
    <s v="Revolut"/>
    <s v="Bank Transfer"/>
    <s v="MediaMarkt"/>
  </r>
  <r>
    <s v="TXN103188"/>
    <x v="442"/>
    <x v="52"/>
    <x v="6"/>
    <x v="11"/>
    <x v="0"/>
    <n v="15.28"/>
    <s v="Main Bank"/>
    <s v="Credit Card"/>
    <s v="Local Transit"/>
  </r>
  <r>
    <s v="TXN101248"/>
    <x v="442"/>
    <x v="63"/>
    <x v="4"/>
    <x v="19"/>
    <x v="0"/>
    <n v="463.8"/>
    <s v="Main Bank"/>
    <s v="Bank Transfer"/>
    <s v="Vodafone"/>
  </r>
  <r>
    <s v="TXN100613"/>
    <x v="442"/>
    <x v="3"/>
    <x v="1"/>
    <x v="2"/>
    <x v="0"/>
    <n v="19.77"/>
    <s v="Main Bank"/>
    <s v="Bank Transfer"/>
    <s v="Spotify"/>
  </r>
  <r>
    <s v="TXN100197"/>
    <x v="442"/>
    <x v="28"/>
    <x v="7"/>
    <x v="14"/>
    <x v="0"/>
    <n v="72.819999999999993"/>
    <s v="Main Bank"/>
    <s v="Debit Card"/>
    <s v="Pharmacy"/>
  </r>
  <r>
    <s v="TXN100533"/>
    <x v="442"/>
    <x v="9"/>
    <x v="3"/>
    <x v="6"/>
    <x v="1"/>
    <n v="742.58"/>
    <s v="Main Bank"/>
    <s v="Credit Card"/>
    <s v="Employer Bonus"/>
  </r>
  <r>
    <s v="TXN100032"/>
    <x v="443"/>
    <x v="0"/>
    <x v="0"/>
    <x v="0"/>
    <x v="0"/>
    <n v="180"/>
    <s v="Revolut"/>
    <s v="Bank Transfer"/>
    <s v="Lidl"/>
  </r>
  <r>
    <s v="TXN100721"/>
    <x v="443"/>
    <x v="9"/>
    <x v="3"/>
    <x v="6"/>
    <x v="1"/>
    <n v="746.06"/>
    <s v="Main Bank"/>
    <s v="Debit Card"/>
    <s v="Employer Bonus"/>
  </r>
  <r>
    <s v="TXN103315"/>
    <x v="443"/>
    <x v="34"/>
    <x v="0"/>
    <x v="5"/>
    <x v="0"/>
    <n v="28.64"/>
    <s v="Main Bank"/>
    <s v="Credit Card"/>
    <s v="Local Restaurant"/>
  </r>
  <r>
    <s v="TXN100685"/>
    <x v="443"/>
    <x v="31"/>
    <x v="3"/>
    <x v="6"/>
    <x v="1"/>
    <n v="765.71"/>
    <s v="Main Bank"/>
    <s v="Credit Card"/>
    <s v="Employer"/>
  </r>
  <r>
    <s v="TXN102354"/>
    <x v="443"/>
    <x v="67"/>
    <x v="3"/>
    <x v="6"/>
    <x v="1"/>
    <n v="605.54999999999995"/>
    <s v="Main Bank"/>
    <s v="Credit Card"/>
    <s v="Freelance Client"/>
  </r>
  <r>
    <s v="TXN102358"/>
    <x v="444"/>
    <x v="53"/>
    <x v="4"/>
    <x v="19"/>
    <x v="0"/>
    <n v="150.77000000000001"/>
    <s v="Main Bank"/>
    <s v="Debit Card"/>
    <s v="Energy Provider"/>
  </r>
  <r>
    <s v="TXN102975"/>
    <x v="444"/>
    <x v="23"/>
    <x v="6"/>
    <x v="15"/>
    <x v="0"/>
    <n v="54.96"/>
    <s v="Main Bank"/>
    <s v="Credit Card"/>
    <s v="Shell"/>
  </r>
  <r>
    <s v="TXN101500"/>
    <x v="444"/>
    <x v="11"/>
    <x v="3"/>
    <x v="8"/>
    <x v="1"/>
    <n v="359.37"/>
    <s v="Savings"/>
    <s v="Debit Card"/>
    <s v="Freelance Client"/>
  </r>
  <r>
    <s v="TXN102958"/>
    <x v="444"/>
    <x v="9"/>
    <x v="3"/>
    <x v="6"/>
    <x v="1"/>
    <n v="662.47"/>
    <s v="Main Bank"/>
    <s v="Debit Card"/>
    <s v="Employer Bonus"/>
  </r>
  <r>
    <s v="TXN102525"/>
    <x v="444"/>
    <x v="67"/>
    <x v="3"/>
    <x v="6"/>
    <x v="1"/>
    <n v="708.31"/>
    <s v="Main Bank"/>
    <s v="Debit Card"/>
    <s v="Freelance Client"/>
  </r>
  <r>
    <s v="TXN100309"/>
    <x v="444"/>
    <x v="12"/>
    <x v="5"/>
    <x v="9"/>
    <x v="0"/>
    <n v="163.25"/>
    <s v="Main Bank"/>
    <s v="Bank Transfer"/>
    <s v="Lufthansa"/>
  </r>
  <r>
    <s v="TXN101816"/>
    <x v="444"/>
    <x v="13"/>
    <x v="3"/>
    <x v="10"/>
    <x v="1"/>
    <n v="2499.59"/>
    <s v="Main Bank"/>
    <s v="Debit Card"/>
    <s v="Freelance Client"/>
  </r>
  <r>
    <s v="TXN102870"/>
    <x v="444"/>
    <x v="51"/>
    <x v="6"/>
    <x v="15"/>
    <x v="0"/>
    <n v="165.16"/>
    <s v="Main Bank"/>
    <s v="Bank Transfer"/>
    <s v="DB"/>
  </r>
  <r>
    <s v="TXN101784"/>
    <x v="444"/>
    <x v="49"/>
    <x v="1"/>
    <x v="13"/>
    <x v="0"/>
    <n v="25.17"/>
    <s v="Main Bank"/>
    <s v="Bank Transfer"/>
    <s v="Spotify"/>
  </r>
  <r>
    <s v="TXN100372"/>
    <x v="445"/>
    <x v="63"/>
    <x v="4"/>
    <x v="19"/>
    <x v="0"/>
    <n v="255.42"/>
    <s v="Revolut"/>
    <s v="Direct Debit"/>
    <s v="Vodafone"/>
  </r>
  <r>
    <s v="TXN100327"/>
    <x v="445"/>
    <x v="4"/>
    <x v="2"/>
    <x v="3"/>
    <x v="0"/>
    <n v="90.41"/>
    <s v="Revolut"/>
    <s v="Debit Card"/>
    <s v="Zalando"/>
  </r>
  <r>
    <s v="TXN101456"/>
    <x v="445"/>
    <x v="55"/>
    <x v="3"/>
    <x v="8"/>
    <x v="1"/>
    <n v="337.86"/>
    <s v="Revolut"/>
    <s v="Debit Card"/>
    <s v="Employer Bonus"/>
  </r>
  <r>
    <s v="TXN103079"/>
    <x v="445"/>
    <x v="6"/>
    <x v="0"/>
    <x v="1"/>
    <x v="0"/>
    <n v="48.76"/>
    <s v="Revolut"/>
    <s v="Direct Debit"/>
    <s v="McDonald's"/>
  </r>
  <r>
    <s v="TXN102601"/>
    <x v="445"/>
    <x v="65"/>
    <x v="1"/>
    <x v="2"/>
    <x v="0"/>
    <n v="13.69"/>
    <s v="Main Bank"/>
    <s v="Credit Card"/>
    <s v="Netflix"/>
  </r>
  <r>
    <s v="TXN101218"/>
    <x v="445"/>
    <x v="18"/>
    <x v="1"/>
    <x v="13"/>
    <x v="0"/>
    <n v="104.02"/>
    <s v="Main Bank"/>
    <s v="Bank Transfer"/>
    <s v="Netflix"/>
  </r>
  <r>
    <s v="TXN101487"/>
    <x v="445"/>
    <x v="59"/>
    <x v="6"/>
    <x v="11"/>
    <x v="0"/>
    <n v="30.59"/>
    <s v="Main Bank"/>
    <s v="Cash"/>
    <s v="Aral"/>
  </r>
  <r>
    <s v="TXN100963"/>
    <x v="445"/>
    <x v="21"/>
    <x v="0"/>
    <x v="1"/>
    <x v="0"/>
    <n v="162.63999999999999"/>
    <s v="Main Bank"/>
    <s v="Bank Transfer"/>
    <s v="EDEKA"/>
  </r>
  <r>
    <s v="TXN102736"/>
    <x v="445"/>
    <x v="27"/>
    <x v="5"/>
    <x v="9"/>
    <x v="0"/>
    <n v="184.2"/>
    <s v="Revolut"/>
    <s v="Debit Card"/>
    <s v="Hotel"/>
  </r>
  <r>
    <s v="TXN102110"/>
    <x v="446"/>
    <x v="13"/>
    <x v="3"/>
    <x v="10"/>
    <x v="1"/>
    <n v="2558.0500000000002"/>
    <s v="Revolut"/>
    <s v="Direct Debit"/>
    <s v="Freelance Client"/>
  </r>
  <r>
    <s v="TXN101157"/>
    <x v="446"/>
    <x v="54"/>
    <x v="0"/>
    <x v="5"/>
    <x v="0"/>
    <n v="31.49"/>
    <s v="Revolut"/>
    <s v="Direct Debit"/>
    <s v="Lidl"/>
  </r>
  <r>
    <s v="TXN100046"/>
    <x v="446"/>
    <x v="74"/>
    <x v="1"/>
    <x v="13"/>
    <x v="0"/>
    <n v="14.27"/>
    <s v="Main Bank"/>
    <s v="Debit Card"/>
    <s v="Cinema"/>
  </r>
  <r>
    <s v="TXN102403"/>
    <x v="447"/>
    <x v="15"/>
    <x v="6"/>
    <x v="11"/>
    <x v="0"/>
    <n v="101.69"/>
    <s v="Revolut"/>
    <s v="Credit Card"/>
    <s v="Auto Service"/>
  </r>
  <r>
    <s v="TXN103376"/>
    <x v="447"/>
    <x v="69"/>
    <x v="5"/>
    <x v="23"/>
    <x v="0"/>
    <n v="87.75"/>
    <s v="Main Bank"/>
    <s v="Credit Card"/>
    <s v="Booking.com"/>
  </r>
  <r>
    <s v="TXN100207"/>
    <x v="448"/>
    <x v="50"/>
    <x v="4"/>
    <x v="17"/>
    <x v="0"/>
    <n v="338.39"/>
    <s v="Revolut"/>
    <s v="Credit Card"/>
    <s v="Energy Provider"/>
  </r>
  <r>
    <s v="TXN103332"/>
    <x v="448"/>
    <x v="58"/>
    <x v="7"/>
    <x v="21"/>
    <x v="0"/>
    <n v="18.53"/>
    <s v="Savings"/>
    <s v="Bank Transfer"/>
    <s v="Doctor"/>
  </r>
  <r>
    <s v="TXN100994"/>
    <x v="448"/>
    <x v="80"/>
    <x v="1"/>
    <x v="22"/>
    <x v="0"/>
    <n v="27.3"/>
    <s v="Main Bank"/>
    <s v="Bank Transfer"/>
    <s v="Cinema"/>
  </r>
  <r>
    <s v="TXN101737"/>
    <x v="448"/>
    <x v="24"/>
    <x v="2"/>
    <x v="16"/>
    <x v="0"/>
    <n v="54.48"/>
    <s v="Revolut"/>
    <s v="Debit Card"/>
    <s v="MediaMarkt"/>
  </r>
  <r>
    <s v="TXN102286"/>
    <x v="449"/>
    <x v="48"/>
    <x v="0"/>
    <x v="5"/>
    <x v="0"/>
    <n v="34.25"/>
    <s v="Revolut"/>
    <s v="Debit Card"/>
    <s v="EDEKA"/>
  </r>
  <r>
    <s v="TXN102572"/>
    <x v="449"/>
    <x v="67"/>
    <x v="3"/>
    <x v="6"/>
    <x v="1"/>
    <n v="585.88"/>
    <s v="Main Bank"/>
    <s v="Debit Card"/>
    <s v="Freelance Client"/>
  </r>
  <r>
    <s v="TXN101334"/>
    <x v="449"/>
    <x v="31"/>
    <x v="3"/>
    <x v="6"/>
    <x v="1"/>
    <n v="748.46"/>
    <s v="Savings"/>
    <s v="Debit Card"/>
    <s v="Employer"/>
  </r>
  <r>
    <s v="TXN102518"/>
    <x v="449"/>
    <x v="62"/>
    <x v="2"/>
    <x v="4"/>
    <x v="0"/>
    <n v="186.98"/>
    <s v="Main Bank"/>
    <s v="Debit Card"/>
    <s v="IKEA"/>
  </r>
  <r>
    <s v="TXN100651"/>
    <x v="449"/>
    <x v="63"/>
    <x v="4"/>
    <x v="19"/>
    <x v="0"/>
    <n v="950"/>
    <s v="Revolut"/>
    <s v="Cash"/>
    <s v="Vodafone"/>
  </r>
  <r>
    <s v="TXN103035"/>
    <x v="450"/>
    <x v="1"/>
    <x v="0"/>
    <x v="0"/>
    <x v="0"/>
    <n v="101.98"/>
    <s v="Savings"/>
    <s v="Bank Transfer"/>
    <s v="EDEKA"/>
  </r>
  <r>
    <s v="TXN100520"/>
    <x v="450"/>
    <x v="81"/>
    <x v="0"/>
    <x v="5"/>
    <x v="0"/>
    <n v="19.63"/>
    <s v="Revolut"/>
    <s v="Debit Card"/>
    <s v="REWE"/>
  </r>
  <r>
    <s v="TXN102577"/>
    <x v="451"/>
    <x v="11"/>
    <x v="3"/>
    <x v="8"/>
    <x v="1"/>
    <n v="313.97000000000003"/>
    <s v="Main Bank"/>
    <s v="Direct Debit"/>
    <s v="Freelance Client"/>
  </r>
  <r>
    <s v="TXN102080"/>
    <x v="451"/>
    <x v="56"/>
    <x v="5"/>
    <x v="20"/>
    <x v="0"/>
    <n v="177.24"/>
    <s v="Revolut"/>
    <s v="Direct Debit"/>
    <s v="Lufthansa"/>
  </r>
  <r>
    <s v="TXN103402"/>
    <x v="451"/>
    <x v="43"/>
    <x v="4"/>
    <x v="17"/>
    <x v="0"/>
    <n v="108.52"/>
    <s v="Main Bank"/>
    <s v="Credit Card"/>
    <s v="Landlord"/>
  </r>
  <r>
    <s v="TXN102757"/>
    <x v="451"/>
    <x v="20"/>
    <x v="2"/>
    <x v="3"/>
    <x v="0"/>
    <n v="59.4"/>
    <s v="Main Bank"/>
    <s v="Bank Transfer"/>
    <s v="Amazon"/>
  </r>
  <r>
    <s v="TXN101113"/>
    <x v="451"/>
    <x v="2"/>
    <x v="0"/>
    <x v="1"/>
    <x v="0"/>
    <n v="30.09"/>
    <s v="Savings"/>
    <s v="Bank Transfer"/>
    <s v="Lidl"/>
  </r>
  <r>
    <s v="TXN101469"/>
    <x v="451"/>
    <x v="41"/>
    <x v="3"/>
    <x v="10"/>
    <x v="1"/>
    <n v="2508.9"/>
    <s v="Main Bank"/>
    <s v="Debit Card"/>
    <s v="Employer Bonus"/>
  </r>
  <r>
    <s v="TXN100886"/>
    <x v="451"/>
    <x v="81"/>
    <x v="0"/>
    <x v="5"/>
    <x v="0"/>
    <n v="61.92"/>
    <s v="Main Bank"/>
    <s v="Direct Debit"/>
    <s v="REWE"/>
  </r>
  <r>
    <s v="TXN103303"/>
    <x v="452"/>
    <x v="57"/>
    <x v="2"/>
    <x v="3"/>
    <x v="0"/>
    <n v="104.77"/>
    <s v="Main Bank"/>
    <s v="Debit Card"/>
    <s v="IKEA"/>
  </r>
  <r>
    <s v="TXN102219"/>
    <x v="452"/>
    <x v="67"/>
    <x v="3"/>
    <x v="6"/>
    <x v="1"/>
    <n v="619.88"/>
    <s v="Main Bank"/>
    <s v="Credit Card"/>
    <s v="Freelance Client"/>
  </r>
  <r>
    <s v="TXN101126"/>
    <x v="452"/>
    <x v="57"/>
    <x v="2"/>
    <x v="3"/>
    <x v="0"/>
    <n v="71.180000000000007"/>
    <s v="Savings"/>
    <s v="Bank Transfer"/>
    <s v="IKEA"/>
  </r>
  <r>
    <s v="TXN100816"/>
    <x v="452"/>
    <x v="4"/>
    <x v="2"/>
    <x v="3"/>
    <x v="0"/>
    <n v="58.12"/>
    <s v="Main Bank"/>
    <s v="Debit Card"/>
    <s v="Zalando"/>
  </r>
  <r>
    <s v="TXN100778"/>
    <x v="452"/>
    <x v="70"/>
    <x v="7"/>
    <x v="18"/>
    <x v="0"/>
    <n v="92.57"/>
    <s v="Savings"/>
    <s v="Bank Transfer"/>
    <s v="Pharmacy"/>
  </r>
  <r>
    <s v="TXN101284"/>
    <x v="453"/>
    <x v="38"/>
    <x v="4"/>
    <x v="7"/>
    <x v="0"/>
    <n v="221.24"/>
    <s v="Main Bank"/>
    <s v="Debit Card"/>
    <s v="Vodafone"/>
  </r>
  <r>
    <s v="TXN102943"/>
    <x v="453"/>
    <x v="21"/>
    <x v="0"/>
    <x v="1"/>
    <x v="0"/>
    <n v="64.239999999999995"/>
    <s v="Main Bank"/>
    <s v="Credit Card"/>
    <s v="EDEKA"/>
  </r>
  <r>
    <s v="TXN101122"/>
    <x v="453"/>
    <x v="13"/>
    <x v="3"/>
    <x v="10"/>
    <x v="1"/>
    <n v="2435.0100000000002"/>
    <s v="Main Bank"/>
    <s v="Debit Card"/>
    <s v="Freelance Client"/>
  </r>
  <r>
    <s v="TXN103031"/>
    <x v="453"/>
    <x v="54"/>
    <x v="0"/>
    <x v="5"/>
    <x v="0"/>
    <n v="36.29"/>
    <s v="Revolut"/>
    <s v="Debit Card"/>
    <s v="Lidl"/>
  </r>
  <r>
    <s v="TXN100333"/>
    <x v="453"/>
    <x v="47"/>
    <x v="4"/>
    <x v="19"/>
    <x v="0"/>
    <n v="272.73"/>
    <s v="Savings"/>
    <s v="Bank Transfer"/>
    <s v="Landlord"/>
  </r>
  <r>
    <s v="TXN102428"/>
    <x v="453"/>
    <x v="9"/>
    <x v="3"/>
    <x v="6"/>
    <x v="1"/>
    <n v="749.29"/>
    <s v="Main Bank"/>
    <s v="Debit Card"/>
    <s v="Employer Bonus"/>
  </r>
  <r>
    <s v="TXN101271"/>
    <x v="453"/>
    <x v="46"/>
    <x v="7"/>
    <x v="18"/>
    <x v="0"/>
    <n v="38.380000000000003"/>
    <s v="Revolut"/>
    <s v="Debit Card"/>
    <s v="Gym"/>
  </r>
  <r>
    <s v="TXN103092"/>
    <x v="453"/>
    <x v="11"/>
    <x v="3"/>
    <x v="8"/>
    <x v="1"/>
    <n v="364.46"/>
    <s v="Main Bank"/>
    <s v="Credit Card"/>
    <s v="Freelance Client"/>
  </r>
  <r>
    <s v="TXN101565"/>
    <x v="453"/>
    <x v="13"/>
    <x v="3"/>
    <x v="10"/>
    <x v="1"/>
    <n v="2235.63"/>
    <s v="Revolut"/>
    <s v="Debit Card"/>
    <s v="Freelance Client"/>
  </r>
  <r>
    <s v="TXN101663"/>
    <x v="453"/>
    <x v="13"/>
    <x v="3"/>
    <x v="10"/>
    <x v="1"/>
    <n v="2680.82"/>
    <s v="Main Bank"/>
    <s v="Bank Transfer"/>
    <s v="Freelance Client"/>
  </r>
  <r>
    <s v="TXN100901"/>
    <x v="454"/>
    <x v="7"/>
    <x v="0"/>
    <x v="0"/>
    <x v="0"/>
    <n v="45.1"/>
    <s v="Revolut"/>
    <s v="Credit Card"/>
    <s v="Local Restaurant"/>
  </r>
  <r>
    <s v="TXN101656"/>
    <x v="454"/>
    <x v="31"/>
    <x v="3"/>
    <x v="6"/>
    <x v="1"/>
    <n v="624.25"/>
    <s v="Revolut"/>
    <s v="Direct Debit"/>
    <s v="Employer"/>
  </r>
  <r>
    <s v="TXN100820"/>
    <x v="454"/>
    <x v="17"/>
    <x v="6"/>
    <x v="12"/>
    <x v="0"/>
    <n v="78.739999999999995"/>
    <s v="Revolut"/>
    <s v="Debit Card"/>
    <s v="Auto Service"/>
  </r>
  <r>
    <s v="TXN102894"/>
    <x v="455"/>
    <x v="3"/>
    <x v="1"/>
    <x v="2"/>
    <x v="0"/>
    <n v="41.22"/>
    <s v="Savings"/>
    <s v="Bank Transfer"/>
    <s v="Spotify"/>
  </r>
  <r>
    <s v="TXN101541"/>
    <x v="455"/>
    <x v="46"/>
    <x v="7"/>
    <x v="18"/>
    <x v="0"/>
    <n v="26.71"/>
    <s v="Main Bank"/>
    <s v="Credit Card"/>
    <s v="Gym"/>
  </r>
  <r>
    <s v="TXN103144"/>
    <x v="455"/>
    <x v="22"/>
    <x v="2"/>
    <x v="4"/>
    <x v="0"/>
    <n v="343.64"/>
    <s v="Main Bank"/>
    <s v="Debit Card"/>
    <s v="Zalando"/>
  </r>
  <r>
    <s v="TXN102381"/>
    <x v="455"/>
    <x v="55"/>
    <x v="3"/>
    <x v="8"/>
    <x v="1"/>
    <n v="357.47"/>
    <s v="Revolut"/>
    <s v="Direct Debit"/>
    <s v="Employer Bonus"/>
  </r>
  <r>
    <s v="TXN101509"/>
    <x v="455"/>
    <x v="74"/>
    <x v="1"/>
    <x v="13"/>
    <x v="0"/>
    <n v="23.22"/>
    <s v="Revolut"/>
    <s v="Debit Card"/>
    <s v="Cinema"/>
  </r>
  <r>
    <s v="TXN100394"/>
    <x v="455"/>
    <x v="89"/>
    <x v="5"/>
    <x v="23"/>
    <x v="0"/>
    <n v="288.83999999999997"/>
    <s v="Revolut"/>
    <s v="Credit Card"/>
    <s v="Lufthansa"/>
  </r>
  <r>
    <s v="TXN102665"/>
    <x v="456"/>
    <x v="77"/>
    <x v="1"/>
    <x v="22"/>
    <x v="0"/>
    <n v="37.340000000000003"/>
    <s v="Main Bank"/>
    <s v="Direct Debit"/>
    <s v="Steam"/>
  </r>
  <r>
    <s v="TXN103478"/>
    <x v="456"/>
    <x v="20"/>
    <x v="2"/>
    <x v="3"/>
    <x v="0"/>
    <n v="500"/>
    <s v="Main Bank"/>
    <s v="Debit Card"/>
    <s v="Amazon"/>
  </r>
  <r>
    <s v="TXN100556"/>
    <x v="456"/>
    <x v="51"/>
    <x v="6"/>
    <x v="15"/>
    <x v="0"/>
    <n v="87.99"/>
    <s v="Main Bank"/>
    <s v="Credit Card"/>
    <s v="DB"/>
  </r>
  <r>
    <s v="TXN102858"/>
    <x v="456"/>
    <x v="38"/>
    <x v="4"/>
    <x v="7"/>
    <x v="0"/>
    <n v="437.82"/>
    <s v="Revolut"/>
    <s v="Bank Transfer"/>
    <s v="Vodafone"/>
  </r>
  <r>
    <s v="TXN101948"/>
    <x v="457"/>
    <x v="54"/>
    <x v="0"/>
    <x v="5"/>
    <x v="0"/>
    <n v="27.56"/>
    <s v="Revolut"/>
    <s v="Debit Card"/>
    <s v="Lidl"/>
  </r>
  <r>
    <s v="TXN101168"/>
    <x v="457"/>
    <x v="4"/>
    <x v="2"/>
    <x v="3"/>
    <x v="0"/>
    <n v="190.06"/>
    <s v="Main Bank"/>
    <s v="Bank Transfer"/>
    <s v="Zalando"/>
  </r>
  <r>
    <s v="TXN101713"/>
    <x v="457"/>
    <x v="91"/>
    <x v="5"/>
    <x v="23"/>
    <x v="0"/>
    <n v="303.18"/>
    <s v="Revolut"/>
    <s v="Bank Transfer"/>
    <s v="Hotel"/>
  </r>
  <r>
    <s v="TXN103500"/>
    <x v="457"/>
    <x v="46"/>
    <x v="7"/>
    <x v="18"/>
    <x v="0"/>
    <n v="155.86000000000001"/>
    <s v="Main Bank"/>
    <s v="Bank Transfer"/>
    <s v="Gym"/>
  </r>
  <r>
    <s v="TXN100319"/>
    <x v="458"/>
    <x v="25"/>
    <x v="0"/>
    <x v="0"/>
    <x v="0"/>
    <n v="44.06"/>
    <s v="Revolut"/>
    <s v="Bank Transfer"/>
    <s v="McDonald's"/>
  </r>
  <r>
    <s v="TXN101377"/>
    <x v="458"/>
    <x v="22"/>
    <x v="2"/>
    <x v="4"/>
    <x v="0"/>
    <n v="59.05"/>
    <s v="Main Bank"/>
    <s v="Debit Card"/>
    <s v="Zalando"/>
  </r>
  <r>
    <s v="TXN101460"/>
    <x v="458"/>
    <x v="60"/>
    <x v="1"/>
    <x v="22"/>
    <x v="0"/>
    <n v="29.81"/>
    <s v="Main Bank"/>
    <s v="Bank Transfer"/>
    <s v="Spotify"/>
  </r>
  <r>
    <s v="TXN101317"/>
    <x v="458"/>
    <x v="33"/>
    <x v="2"/>
    <x v="16"/>
    <x v="0"/>
    <n v="167.23"/>
    <s v="Main Bank"/>
    <s v="Credit Card"/>
    <s v="Amazon"/>
  </r>
  <r>
    <s v="TXN101337"/>
    <x v="458"/>
    <x v="34"/>
    <x v="0"/>
    <x v="5"/>
    <x v="0"/>
    <n v="29.27"/>
    <s v="Main Bank"/>
    <s v="Bank Transfer"/>
    <s v="Local Restaurant"/>
  </r>
  <r>
    <s v="TXN103254"/>
    <x v="458"/>
    <x v="53"/>
    <x v="4"/>
    <x v="19"/>
    <x v="0"/>
    <n v="229.2"/>
    <s v="Revolut"/>
    <s v="Debit Card"/>
    <s v="Energy Provider"/>
  </r>
  <r>
    <s v="TXN102109"/>
    <x v="458"/>
    <x v="26"/>
    <x v="0"/>
    <x v="1"/>
    <x v="0"/>
    <n v="115.45"/>
    <s v="Main Bank"/>
    <s v="Debit Card"/>
    <s v="Local Restaurant"/>
  </r>
  <r>
    <s v="TXN100912"/>
    <x v="459"/>
    <x v="6"/>
    <x v="0"/>
    <x v="1"/>
    <x v="0"/>
    <n v="45.16"/>
    <s v="Revolut"/>
    <s v="Debit Card"/>
    <s v="McDonald's"/>
  </r>
  <r>
    <s v="TXN102528"/>
    <x v="459"/>
    <x v="16"/>
    <x v="3"/>
    <x v="10"/>
    <x v="1"/>
    <n v="2396.5100000000002"/>
    <s v="Main Bank"/>
    <s v="Bank Transfer"/>
    <s v="Employer"/>
  </r>
  <r>
    <s v="TXN102462"/>
    <x v="459"/>
    <x v="16"/>
    <x v="3"/>
    <x v="10"/>
    <x v="1"/>
    <n v="2650.88"/>
    <s v="Revolut"/>
    <s v="Direct Debit"/>
    <s v="Employer"/>
  </r>
  <r>
    <s v="TXN102401"/>
    <x v="459"/>
    <x v="59"/>
    <x v="6"/>
    <x v="11"/>
    <x v="0"/>
    <n v="45.65"/>
    <s v="Main Bank"/>
    <s v="Debit Card"/>
    <s v="Aral"/>
  </r>
  <r>
    <s v="TXN102770"/>
    <x v="459"/>
    <x v="60"/>
    <x v="1"/>
    <x v="22"/>
    <x v="0"/>
    <n v="15.42"/>
    <s v="Main Bank"/>
    <s v="Credit Card"/>
    <s v="Spotify"/>
  </r>
  <r>
    <s v="TXN101972"/>
    <x v="460"/>
    <x v="41"/>
    <x v="3"/>
    <x v="10"/>
    <x v="1"/>
    <n v="2170.7800000000002"/>
    <s v="Main Bank"/>
    <s v="Debit Card"/>
    <s v="Employer Bonus"/>
  </r>
  <r>
    <s v="TXN103261"/>
    <x v="460"/>
    <x v="54"/>
    <x v="0"/>
    <x v="5"/>
    <x v="0"/>
    <n v="66.02"/>
    <s v="Revolut"/>
    <s v="Debit Card"/>
    <s v="Lidl"/>
  </r>
  <r>
    <s v="TXN103404"/>
    <x v="460"/>
    <x v="36"/>
    <x v="6"/>
    <x v="15"/>
    <x v="0"/>
    <n v="70.680000000000007"/>
    <s v="Main Bank"/>
    <s v="Bank Transfer"/>
    <s v="Aral"/>
  </r>
  <r>
    <s v="TXN103344"/>
    <x v="460"/>
    <x v="48"/>
    <x v="0"/>
    <x v="5"/>
    <x v="0"/>
    <n v="47.42"/>
    <s v="Main Bank"/>
    <s v="Credit Card"/>
    <s v="EDEKA"/>
  </r>
  <r>
    <s v="TXN103430"/>
    <x v="460"/>
    <x v="20"/>
    <x v="2"/>
    <x v="3"/>
    <x v="0"/>
    <n v="52.06"/>
    <s v="Main Bank"/>
    <s v="Debit Card"/>
    <s v="Amazon"/>
  </r>
  <r>
    <s v="TXN102195"/>
    <x v="460"/>
    <x v="47"/>
    <x v="4"/>
    <x v="19"/>
    <x v="0"/>
    <n v="263.27"/>
    <s v="Main Bank"/>
    <s v="Bank Transfer"/>
    <s v="Landlord"/>
  </r>
  <r>
    <s v="TXN100728"/>
    <x v="460"/>
    <x v="12"/>
    <x v="5"/>
    <x v="9"/>
    <x v="0"/>
    <n v="292.89"/>
    <s v="Revolut"/>
    <s v="Debit Card"/>
    <s v="Lufthansa"/>
  </r>
  <r>
    <s v="TXN102057"/>
    <x v="460"/>
    <x v="4"/>
    <x v="2"/>
    <x v="3"/>
    <x v="0"/>
    <n v="73.48"/>
    <s v="Revolut"/>
    <s v="Credit Card"/>
    <s v="Zalando"/>
  </r>
  <r>
    <s v="TXN101806"/>
    <x v="460"/>
    <x v="91"/>
    <x v="5"/>
    <x v="23"/>
    <x v="0"/>
    <n v="355.4"/>
    <s v="Revolut"/>
    <s v="Bank Transfer"/>
    <s v="Hotel"/>
  </r>
  <r>
    <s v="TXN100074"/>
    <x v="460"/>
    <x v="9"/>
    <x v="3"/>
    <x v="6"/>
    <x v="1"/>
    <n v="721.43"/>
    <s v="Revolut"/>
    <s v="Direct Debit"/>
    <s v="Employer Bonus"/>
  </r>
  <r>
    <s v="TXN101667"/>
    <x v="461"/>
    <x v="0"/>
    <x v="0"/>
    <x v="0"/>
    <x v="0"/>
    <n v="31.86"/>
    <s v="Main Bank"/>
    <s v="Debit Card"/>
    <s v="Lidl"/>
  </r>
  <r>
    <s v="TXN103411"/>
    <x v="461"/>
    <x v="23"/>
    <x v="6"/>
    <x v="15"/>
    <x v="0"/>
    <n v="34.9"/>
    <s v="Revolut"/>
    <s v="Debit Card"/>
    <s v="Shell"/>
  </r>
  <r>
    <s v="TXN101172"/>
    <x v="461"/>
    <x v="11"/>
    <x v="3"/>
    <x v="8"/>
    <x v="1"/>
    <n v="341.32"/>
    <s v="Main Bank"/>
    <s v="Bank Transfer"/>
    <s v="Freelance Client"/>
  </r>
  <r>
    <s v="TXN100031"/>
    <x v="461"/>
    <x v="32"/>
    <x v="1"/>
    <x v="2"/>
    <x v="0"/>
    <n v="19.39"/>
    <s v="Main Bank"/>
    <s v="Debit Card"/>
    <s v="Cinema"/>
  </r>
  <r>
    <s v="TXN100537"/>
    <x v="461"/>
    <x v="67"/>
    <x v="3"/>
    <x v="6"/>
    <x v="1"/>
    <n v="686.44"/>
    <s v="Main Bank"/>
    <s v="Direct Debit"/>
    <s v="Freelance Client"/>
  </r>
  <r>
    <s v="TXN102121"/>
    <x v="462"/>
    <x v="41"/>
    <x v="3"/>
    <x v="10"/>
    <x v="1"/>
    <n v="2597.77"/>
    <s v="Revolut"/>
    <s v="Direct Debit"/>
    <s v="Employer Bonus"/>
  </r>
  <r>
    <s v="TXN103236"/>
    <x v="462"/>
    <x v="34"/>
    <x v="0"/>
    <x v="5"/>
    <x v="0"/>
    <n v="159.41"/>
    <s v="Revolut"/>
    <s v="Debit Card"/>
    <s v="Local Restaurant"/>
  </r>
  <r>
    <s v="TXN100263"/>
    <x v="462"/>
    <x v="81"/>
    <x v="0"/>
    <x v="5"/>
    <x v="0"/>
    <n v="35.54"/>
    <s v="Main Bank"/>
    <s v="Bank Transfer"/>
    <s v="REWE"/>
  </r>
  <r>
    <s v="TXN101886"/>
    <x v="462"/>
    <x v="33"/>
    <x v="2"/>
    <x v="16"/>
    <x v="0"/>
    <n v="127.98"/>
    <s v="Revolut"/>
    <s v="Bank Transfer"/>
    <s v="Amazon"/>
  </r>
  <r>
    <s v="TXN101777"/>
    <x v="462"/>
    <x v="3"/>
    <x v="1"/>
    <x v="2"/>
    <x v="0"/>
    <n v="20.37"/>
    <s v="Main Bank"/>
    <s v="Credit Card"/>
    <s v="Spotify"/>
  </r>
  <r>
    <s v="TXN100251"/>
    <x v="462"/>
    <x v="26"/>
    <x v="0"/>
    <x v="1"/>
    <x v="0"/>
    <n v="54.64"/>
    <s v="Main Bank"/>
    <s v="Bank Transfer"/>
    <s v="Local Restaurant"/>
  </r>
  <r>
    <s v="TXN103052"/>
    <x v="463"/>
    <x v="24"/>
    <x v="2"/>
    <x v="16"/>
    <x v="0"/>
    <n v="105.11"/>
    <s v="Main Bank"/>
    <s v="Debit Card"/>
    <s v="MediaMarkt"/>
  </r>
  <r>
    <s v="TXN101444"/>
    <x v="463"/>
    <x v="57"/>
    <x v="2"/>
    <x v="3"/>
    <x v="0"/>
    <n v="97.86"/>
    <s v="Main Bank"/>
    <s v="Debit Card"/>
    <s v="IKEA"/>
  </r>
  <r>
    <s v="TXN102509"/>
    <x v="463"/>
    <x v="16"/>
    <x v="3"/>
    <x v="10"/>
    <x v="1"/>
    <n v="2953.51"/>
    <s v="Savings"/>
    <s v="Debit Card"/>
    <s v="Employer"/>
  </r>
  <r>
    <s v="TXN102831"/>
    <x v="463"/>
    <x v="66"/>
    <x v="2"/>
    <x v="3"/>
    <x v="0"/>
    <n v="77.02"/>
    <s v="Main Bank"/>
    <s v="Bank Transfer"/>
    <s v="MediaMarkt"/>
  </r>
  <r>
    <s v="TXN102434"/>
    <x v="463"/>
    <x v="26"/>
    <x v="0"/>
    <x v="1"/>
    <x v="0"/>
    <n v="48.69"/>
    <s v="Main Bank"/>
    <s v="Direct Debit"/>
    <s v="Local Restaurant"/>
  </r>
  <r>
    <s v="TXN101167"/>
    <x v="463"/>
    <x v="16"/>
    <x v="3"/>
    <x v="10"/>
    <x v="1"/>
    <n v="2492.7600000000002"/>
    <s v="Main Bank"/>
    <s v="Credit Card"/>
    <s v="Employer"/>
  </r>
  <r>
    <s v="TXN100052"/>
    <x v="463"/>
    <x v="86"/>
    <x v="5"/>
    <x v="9"/>
    <x v="0"/>
    <n v="824.59"/>
    <s v="Revolut"/>
    <s v="Direct Debit"/>
    <s v="Booking.com"/>
  </r>
  <r>
    <s v="TXN102755"/>
    <x v="464"/>
    <x v="41"/>
    <x v="3"/>
    <x v="10"/>
    <x v="1"/>
    <n v="2631.29"/>
    <s v="Revolut"/>
    <s v="Bank Transfer"/>
    <s v="Employer Bonus"/>
  </r>
  <r>
    <s v="TXN101017"/>
    <x v="464"/>
    <x v="26"/>
    <x v="0"/>
    <x v="1"/>
    <x v="0"/>
    <n v="31.2"/>
    <s v="Main Bank"/>
    <s v="Bank Transfer"/>
    <s v="Local Restaurant"/>
  </r>
  <r>
    <s v="TXN101517"/>
    <x v="464"/>
    <x v="76"/>
    <x v="1"/>
    <x v="22"/>
    <x v="0"/>
    <n v="11.24"/>
    <s v="Revolut"/>
    <s v="Debit Card"/>
    <s v="Netflix"/>
  </r>
  <r>
    <s v="TXN101649"/>
    <x v="464"/>
    <x v="87"/>
    <x v="5"/>
    <x v="20"/>
    <x v="0"/>
    <n v="362.33"/>
    <s v="Main Bank"/>
    <s v="Bank Transfer"/>
    <s v="Booking.com"/>
  </r>
  <r>
    <s v="TXN100991"/>
    <x v="464"/>
    <x v="89"/>
    <x v="5"/>
    <x v="23"/>
    <x v="0"/>
    <n v="702.5"/>
    <s v="Revolut"/>
    <s v="Cash"/>
    <s v="Lufthansa"/>
  </r>
  <r>
    <s v="TXN102209"/>
    <x v="464"/>
    <x v="6"/>
    <x v="0"/>
    <x v="1"/>
    <x v="0"/>
    <n v="23.08"/>
    <s v="Revolut"/>
    <s v="Debit Card"/>
    <s v="McDonald's"/>
  </r>
  <r>
    <s v="TXN103002"/>
    <x v="464"/>
    <x v="83"/>
    <x v="5"/>
    <x v="9"/>
    <x v="0"/>
    <n v="569.24"/>
    <s v="Revolut"/>
    <s v="Debit Card"/>
    <s v="Travel Agency"/>
  </r>
  <r>
    <s v="TXN102341"/>
    <x v="465"/>
    <x v="58"/>
    <x v="7"/>
    <x v="21"/>
    <x v="0"/>
    <n v="51.25"/>
    <s v="Main Bank"/>
    <s v="Debit Card"/>
    <s v="Doctor"/>
  </r>
  <r>
    <s v="TXN103082"/>
    <x v="466"/>
    <x v="55"/>
    <x v="3"/>
    <x v="8"/>
    <x v="1"/>
    <n v="374.56"/>
    <s v="Main Bank"/>
    <s v="Credit Card"/>
    <s v="Employer Bonus"/>
  </r>
  <r>
    <s v="TXN100136"/>
    <x v="466"/>
    <x v="51"/>
    <x v="6"/>
    <x v="15"/>
    <x v="0"/>
    <n v="56.06"/>
    <s v="Main Bank"/>
    <s v="Direct Debit"/>
    <s v="DB"/>
  </r>
  <r>
    <s v="TXN103375"/>
    <x v="466"/>
    <x v="41"/>
    <x v="3"/>
    <x v="10"/>
    <x v="1"/>
    <n v="2158.8200000000002"/>
    <s v="Main Bank"/>
    <s v="Credit Card"/>
    <s v="Employer Bonus"/>
  </r>
  <r>
    <s v="TXN103051"/>
    <x v="467"/>
    <x v="81"/>
    <x v="0"/>
    <x v="5"/>
    <x v="0"/>
    <n v="48.37"/>
    <s v="Revolut"/>
    <s v="Bank Transfer"/>
    <s v="REWE"/>
  </r>
  <r>
    <s v="TXN103463"/>
    <x v="467"/>
    <x v="80"/>
    <x v="1"/>
    <x v="22"/>
    <x v="0"/>
    <n v="18.79"/>
    <s v="Main Bank"/>
    <s v="Credit Card"/>
    <s v="Cinema"/>
  </r>
  <r>
    <s v="TXN101266"/>
    <x v="467"/>
    <x v="71"/>
    <x v="4"/>
    <x v="17"/>
    <x v="0"/>
    <n v="571.29999999999995"/>
    <s v="Main Bank"/>
    <s v="Debit Card"/>
    <s v="Vodafone"/>
  </r>
  <r>
    <s v="TXN101934"/>
    <x v="467"/>
    <x v="65"/>
    <x v="1"/>
    <x v="2"/>
    <x v="0"/>
    <n v="22.99"/>
    <s v="Revolut"/>
    <s v="Direct Debit"/>
    <s v="Netflix"/>
  </r>
  <r>
    <s v="TXN102283"/>
    <x v="467"/>
    <x v="33"/>
    <x v="2"/>
    <x v="16"/>
    <x v="0"/>
    <n v="80.8"/>
    <s v="Main Bank"/>
    <s v="Debit Card"/>
    <s v="Amazon"/>
  </r>
  <r>
    <s v="TXN101788"/>
    <x v="467"/>
    <x v="60"/>
    <x v="1"/>
    <x v="22"/>
    <x v="0"/>
    <n v="27.26"/>
    <s v="Savings"/>
    <s v="Debit Card"/>
    <s v="Spotify"/>
  </r>
  <r>
    <s v="TXN103369"/>
    <x v="468"/>
    <x v="29"/>
    <x v="0"/>
    <x v="1"/>
    <x v="0"/>
    <n v="18.010000000000002"/>
    <s v="Main Bank"/>
    <s v="Bank Transfer"/>
    <s v="REWE"/>
  </r>
  <r>
    <s v="TXN100486"/>
    <x v="468"/>
    <x v="41"/>
    <x v="3"/>
    <x v="10"/>
    <x v="1"/>
    <n v="2377.25"/>
    <s v="Savings"/>
    <s v="Bank Transfer"/>
    <s v="Employer Bonus"/>
  </r>
  <r>
    <s v="TXN101503"/>
    <x v="468"/>
    <x v="38"/>
    <x v="4"/>
    <x v="7"/>
    <x v="0"/>
    <n v="950"/>
    <s v="Main Bank"/>
    <s v="Bank Transfer"/>
    <s v="Vodafone"/>
  </r>
  <r>
    <s v="TXN102933"/>
    <x v="468"/>
    <x v="50"/>
    <x v="4"/>
    <x v="17"/>
    <x v="0"/>
    <n v="159.33000000000001"/>
    <s v="Main Bank"/>
    <s v="Debit Card"/>
    <s v="Energy Provider"/>
  </r>
  <r>
    <s v="TXN103076"/>
    <x v="469"/>
    <x v="16"/>
    <x v="3"/>
    <x v="10"/>
    <x v="1"/>
    <n v="2811.95"/>
    <s v="Main Bank"/>
    <s v="Bank Transfer"/>
    <s v="Employer"/>
  </r>
  <r>
    <s v="TXN102914"/>
    <x v="469"/>
    <x v="11"/>
    <x v="3"/>
    <x v="8"/>
    <x v="1"/>
    <n v="366.64"/>
    <s v="Revolut"/>
    <s v="Direct Debit"/>
    <s v="Freelance Client"/>
  </r>
  <r>
    <s v="TXN102631"/>
    <x v="469"/>
    <x v="80"/>
    <x v="1"/>
    <x v="22"/>
    <x v="0"/>
    <n v="14.82"/>
    <s v="Main Bank"/>
    <s v="Debit Card"/>
    <s v="Cinema"/>
  </r>
  <r>
    <s v="TXN102253"/>
    <x v="469"/>
    <x v="18"/>
    <x v="1"/>
    <x v="13"/>
    <x v="0"/>
    <n v="21.95"/>
    <s v="Revolut"/>
    <s v="Bank Transfer"/>
    <s v="Netflix"/>
  </r>
  <r>
    <s v="TXN101914"/>
    <x v="469"/>
    <x v="40"/>
    <x v="6"/>
    <x v="12"/>
    <x v="0"/>
    <n v="63.6"/>
    <s v="Main Bank"/>
    <s v="Direct Debit"/>
    <s v="DB"/>
  </r>
  <r>
    <s v="TXN100558"/>
    <x v="469"/>
    <x v="71"/>
    <x v="4"/>
    <x v="17"/>
    <x v="0"/>
    <n v="179"/>
    <s v="Revolut"/>
    <s v="Bank Transfer"/>
    <s v="Vodafone"/>
  </r>
  <r>
    <s v="TXN101877"/>
    <x v="469"/>
    <x v="3"/>
    <x v="1"/>
    <x v="2"/>
    <x v="0"/>
    <n v="15.55"/>
    <s v="Main Bank"/>
    <s v="Bank Transfer"/>
    <s v="Spotify"/>
  </r>
  <r>
    <s v="TXN100291"/>
    <x v="470"/>
    <x v="38"/>
    <x v="4"/>
    <x v="7"/>
    <x v="0"/>
    <n v="678.32"/>
    <s v="Main Bank"/>
    <s v="Cash"/>
    <s v="Vodafone"/>
  </r>
  <r>
    <s v="TXN101194"/>
    <x v="470"/>
    <x v="61"/>
    <x v="1"/>
    <x v="2"/>
    <x v="0"/>
    <n v="17.010000000000002"/>
    <s v="Main Bank"/>
    <s v="Direct Debit"/>
    <s v="Steam"/>
  </r>
  <r>
    <s v="TXN103329"/>
    <x v="470"/>
    <x v="21"/>
    <x v="0"/>
    <x v="1"/>
    <x v="0"/>
    <n v="63.41"/>
    <s v="Main Bank"/>
    <s v="Debit Card"/>
    <s v="EDEKA"/>
  </r>
  <r>
    <s v="TXN100961"/>
    <x v="470"/>
    <x v="10"/>
    <x v="4"/>
    <x v="7"/>
    <x v="0"/>
    <n v="236.52"/>
    <s v="Main Bank"/>
    <s v="Debit Card"/>
    <s v="Landlord"/>
  </r>
  <r>
    <s v="TXN101331"/>
    <x v="471"/>
    <x v="68"/>
    <x v="2"/>
    <x v="4"/>
    <x v="0"/>
    <n v="42.78"/>
    <s v="Revolut"/>
    <s v="Bank Transfer"/>
    <s v="MediaMarkt"/>
  </r>
  <r>
    <s v="TXN102405"/>
    <x v="471"/>
    <x v="18"/>
    <x v="1"/>
    <x v="13"/>
    <x v="0"/>
    <n v="21.52"/>
    <s v="Main Bank"/>
    <s v="Bank Transfer"/>
    <s v="Netflix"/>
  </r>
  <r>
    <s v="TXN100305"/>
    <x v="471"/>
    <x v="19"/>
    <x v="7"/>
    <x v="14"/>
    <x v="0"/>
    <n v="44.86"/>
    <s v="Main Bank"/>
    <s v="Bank Transfer"/>
    <s v="Gym"/>
  </r>
  <r>
    <s v="TXN101817"/>
    <x v="471"/>
    <x v="81"/>
    <x v="0"/>
    <x v="5"/>
    <x v="0"/>
    <n v="82.87"/>
    <s v="Revolut"/>
    <s v="Debit Card"/>
    <s v="REWE"/>
  </r>
  <r>
    <s v="TXN101225"/>
    <x v="471"/>
    <x v="52"/>
    <x v="6"/>
    <x v="11"/>
    <x v="0"/>
    <n v="171.33"/>
    <s v="Revolut"/>
    <s v="Credit Card"/>
    <s v="Local Transit"/>
  </r>
  <r>
    <s v="TXN102812"/>
    <x v="472"/>
    <x v="77"/>
    <x v="1"/>
    <x v="22"/>
    <x v="0"/>
    <n v="15.32"/>
    <s v="Revolut"/>
    <s v="Debit Card"/>
    <s v="Steam"/>
  </r>
  <r>
    <s v="TXN103308"/>
    <x v="472"/>
    <x v="63"/>
    <x v="4"/>
    <x v="19"/>
    <x v="0"/>
    <n v="950"/>
    <s v="Main Bank"/>
    <s v="Bank Transfer"/>
    <s v="Vodafone"/>
  </r>
  <r>
    <s v="TXN100184"/>
    <x v="472"/>
    <x v="13"/>
    <x v="3"/>
    <x v="10"/>
    <x v="1"/>
    <n v="2534.61"/>
    <s v="Main Bank"/>
    <s v="Bank Transfer"/>
    <s v="Freelance Client"/>
  </r>
  <r>
    <s v="TXN102010"/>
    <x v="472"/>
    <x v="68"/>
    <x v="2"/>
    <x v="4"/>
    <x v="0"/>
    <n v="86.74"/>
    <s v="Main Bank"/>
    <s v="Bank Transfer"/>
    <s v="MediaMarkt"/>
  </r>
  <r>
    <s v="TXN100438"/>
    <x v="472"/>
    <x v="11"/>
    <x v="3"/>
    <x v="8"/>
    <x v="1"/>
    <n v="389.3"/>
    <s v="Revolut"/>
    <s v="Debit Card"/>
    <s v="Freelance Client"/>
  </r>
  <r>
    <s v="TXN100893"/>
    <x v="472"/>
    <x v="13"/>
    <x v="3"/>
    <x v="10"/>
    <x v="1"/>
    <n v="2983.81"/>
    <s v="Main Bank"/>
    <s v="Direct Debit"/>
    <s v="Freelance Client"/>
  </r>
  <r>
    <s v="TXN100283"/>
    <x v="473"/>
    <x v="17"/>
    <x v="6"/>
    <x v="12"/>
    <x v="0"/>
    <n v="62.1"/>
    <s v="Main Bank"/>
    <s v="Bank Transfer"/>
    <s v="Auto Service"/>
  </r>
  <r>
    <s v="TXN101917"/>
    <x v="473"/>
    <x v="55"/>
    <x v="3"/>
    <x v="8"/>
    <x v="1"/>
    <n v="336.4"/>
    <s v="Revolut"/>
    <s v="Credit Card"/>
    <s v="Employer Bonus"/>
  </r>
  <r>
    <s v="TXN102088"/>
    <x v="473"/>
    <x v="3"/>
    <x v="1"/>
    <x v="2"/>
    <x v="0"/>
    <n v="32.03"/>
    <s v="Savings"/>
    <s v="Debit Card"/>
    <s v="Spotify"/>
  </r>
  <r>
    <s v="TXN102729"/>
    <x v="473"/>
    <x v="26"/>
    <x v="0"/>
    <x v="1"/>
    <x v="0"/>
    <n v="62.08"/>
    <s v="Main Bank"/>
    <s v="Credit Card"/>
    <s v="Local Restaurant"/>
  </r>
  <r>
    <s v="TXN101930"/>
    <x v="473"/>
    <x v="63"/>
    <x v="4"/>
    <x v="19"/>
    <x v="0"/>
    <n v="226.88"/>
    <s v="Main Bank"/>
    <s v="Debit Card"/>
    <s v="Vodafone"/>
  </r>
  <r>
    <s v="TXN103288"/>
    <x v="473"/>
    <x v="11"/>
    <x v="3"/>
    <x v="8"/>
    <x v="1"/>
    <n v="334.54"/>
    <s v="Main Bank"/>
    <s v="Debit Card"/>
    <s v="Freelance Client"/>
  </r>
  <r>
    <s v="TXN101075"/>
    <x v="473"/>
    <x v="16"/>
    <x v="3"/>
    <x v="10"/>
    <x v="1"/>
    <n v="2384.36"/>
    <s v="Main Bank"/>
    <s v="Cash"/>
    <s v="Employer"/>
  </r>
  <r>
    <s v="TXN100693"/>
    <x v="473"/>
    <x v="33"/>
    <x v="2"/>
    <x v="16"/>
    <x v="0"/>
    <n v="142.4"/>
    <s v="Main Bank"/>
    <s v="Credit Card"/>
    <s v="Amazon"/>
  </r>
  <r>
    <s v="TXN102852"/>
    <x v="473"/>
    <x v="26"/>
    <x v="0"/>
    <x v="1"/>
    <x v="0"/>
    <n v="180"/>
    <s v="Main Bank"/>
    <s v="Debit Card"/>
    <s v="Local Restaurant"/>
  </r>
  <r>
    <s v="TXN100800"/>
    <x v="474"/>
    <x v="13"/>
    <x v="3"/>
    <x v="10"/>
    <x v="1"/>
    <n v="2912"/>
    <s v="Revolut"/>
    <s v="Debit Card"/>
    <s v="Freelance Client"/>
  </r>
  <r>
    <s v="TXN102261"/>
    <x v="474"/>
    <x v="27"/>
    <x v="5"/>
    <x v="9"/>
    <x v="0"/>
    <n v="303.60000000000002"/>
    <s v="Main Bank"/>
    <s v="Debit Card"/>
    <s v="Hotel"/>
  </r>
  <r>
    <s v="TXN101277"/>
    <x v="474"/>
    <x v="0"/>
    <x v="0"/>
    <x v="0"/>
    <x v="0"/>
    <n v="43.68"/>
    <s v="Main Bank"/>
    <s v="Credit Card"/>
    <s v="Lidl"/>
  </r>
  <r>
    <s v="TXN102320"/>
    <x v="474"/>
    <x v="73"/>
    <x v="6"/>
    <x v="12"/>
    <x v="0"/>
    <n v="29.49"/>
    <s v="Revolut"/>
    <s v="Direct Debit"/>
    <s v="Aral"/>
  </r>
  <r>
    <s v="TXN103164"/>
    <x v="474"/>
    <x v="20"/>
    <x v="2"/>
    <x v="3"/>
    <x v="0"/>
    <n v="193.51"/>
    <s v="Main Bank"/>
    <s v="Debit Card"/>
    <s v="Amazon"/>
  </r>
  <r>
    <s v="TXN103301"/>
    <x v="474"/>
    <x v="37"/>
    <x v="6"/>
    <x v="12"/>
    <x v="0"/>
    <n v="80.05"/>
    <s v="Savings"/>
    <s v="Bank Transfer"/>
    <s v="Shell"/>
  </r>
  <r>
    <s v="TXN102765"/>
    <x v="474"/>
    <x v="2"/>
    <x v="0"/>
    <x v="1"/>
    <x v="0"/>
    <n v="110.32"/>
    <s v="Revolut"/>
    <s v="Bank Transfer"/>
    <s v="Lidl"/>
  </r>
  <r>
    <s v="TXN101382"/>
    <x v="474"/>
    <x v="42"/>
    <x v="6"/>
    <x v="15"/>
    <x v="0"/>
    <n v="18.920000000000002"/>
    <s v="Revolut"/>
    <s v="Bank Transfer"/>
    <s v="Local Transit"/>
  </r>
  <r>
    <s v="TXN101360"/>
    <x v="475"/>
    <x v="61"/>
    <x v="1"/>
    <x v="2"/>
    <x v="0"/>
    <n v="47.99"/>
    <s v="Main Bank"/>
    <s v="Credit Card"/>
    <s v="Steam"/>
  </r>
  <r>
    <s v="TXN100407"/>
    <x v="475"/>
    <x v="37"/>
    <x v="6"/>
    <x v="12"/>
    <x v="0"/>
    <n v="206.68"/>
    <s v="Main Bank"/>
    <s v="Debit Card"/>
    <s v="Shell"/>
  </r>
  <r>
    <s v="TXN103420"/>
    <x v="475"/>
    <x v="75"/>
    <x v="4"/>
    <x v="7"/>
    <x v="0"/>
    <n v="209.73"/>
    <s v="Main Bank"/>
    <s v="Credit Card"/>
    <s v="Energy Provider"/>
  </r>
  <r>
    <s v="TXN102410"/>
    <x v="475"/>
    <x v="5"/>
    <x v="2"/>
    <x v="4"/>
    <x v="0"/>
    <n v="232.8"/>
    <s v="Main Bank"/>
    <s v="Debit Card"/>
    <s v="Amazon"/>
  </r>
  <r>
    <s v="TXN103415"/>
    <x v="476"/>
    <x v="27"/>
    <x v="5"/>
    <x v="9"/>
    <x v="0"/>
    <n v="255.38"/>
    <s v="Main Bank"/>
    <s v="Debit Card"/>
    <s v="Hotel"/>
  </r>
  <r>
    <s v="TXN101385"/>
    <x v="476"/>
    <x v="35"/>
    <x v="1"/>
    <x v="13"/>
    <x v="0"/>
    <n v="13.64"/>
    <s v="Main Bank"/>
    <s v="Credit Card"/>
    <s v="Steam"/>
  </r>
  <r>
    <s v="TXN102691"/>
    <x v="476"/>
    <x v="66"/>
    <x v="2"/>
    <x v="3"/>
    <x v="0"/>
    <n v="249.74"/>
    <s v="Revolut"/>
    <s v="Credit Card"/>
    <s v="MediaMarkt"/>
  </r>
  <r>
    <s v="TXN103034"/>
    <x v="476"/>
    <x v="47"/>
    <x v="4"/>
    <x v="19"/>
    <x v="0"/>
    <n v="141.53"/>
    <s v="Main Bank"/>
    <s v="Debit Card"/>
    <s v="Landlord"/>
  </r>
  <r>
    <s v="TXN101677"/>
    <x v="476"/>
    <x v="38"/>
    <x v="4"/>
    <x v="7"/>
    <x v="0"/>
    <n v="271.39999999999998"/>
    <s v="Main Bank"/>
    <s v="Debit Card"/>
    <s v="Vodafone"/>
  </r>
  <r>
    <s v="TXN102924"/>
    <x v="476"/>
    <x v="2"/>
    <x v="0"/>
    <x v="1"/>
    <x v="0"/>
    <n v="29.55"/>
    <s v="Main Bank"/>
    <s v="Direct Debit"/>
    <s v="Lidl"/>
  </r>
  <r>
    <s v="TXN101188"/>
    <x v="477"/>
    <x v="50"/>
    <x v="4"/>
    <x v="17"/>
    <x v="0"/>
    <n v="76.900000000000006"/>
    <s v="Main Bank"/>
    <s v="Direct Debit"/>
    <s v="Energy Provider"/>
  </r>
  <r>
    <s v="TXN101326"/>
    <x v="477"/>
    <x v="30"/>
    <x v="6"/>
    <x v="11"/>
    <x v="0"/>
    <n v="72.61"/>
    <s v="Revolut"/>
    <s v="Debit Card"/>
    <s v="DB"/>
  </r>
  <r>
    <s v="TXN102052"/>
    <x v="477"/>
    <x v="68"/>
    <x v="2"/>
    <x v="4"/>
    <x v="0"/>
    <n v="69.77"/>
    <s v="Main Bank"/>
    <s v="Credit Card"/>
    <s v="MediaMarkt"/>
  </r>
  <r>
    <s v="TXN101394"/>
    <x v="477"/>
    <x v="24"/>
    <x v="2"/>
    <x v="16"/>
    <x v="0"/>
    <n v="177.46"/>
    <s v="Main Bank"/>
    <s v="Debit Card"/>
    <s v="MediaMarkt"/>
  </r>
  <r>
    <s v="TXN103124"/>
    <x v="477"/>
    <x v="57"/>
    <x v="2"/>
    <x v="3"/>
    <x v="0"/>
    <n v="78.75"/>
    <s v="Revolut"/>
    <s v="Direct Debit"/>
    <s v="IKEA"/>
  </r>
  <r>
    <s v="TXN100662"/>
    <x v="477"/>
    <x v="55"/>
    <x v="3"/>
    <x v="8"/>
    <x v="1"/>
    <n v="390.05"/>
    <s v="Main Bank"/>
    <s v="Bank Transfer"/>
    <s v="Employer Bonus"/>
  </r>
  <r>
    <s v="TXN101286"/>
    <x v="477"/>
    <x v="4"/>
    <x v="2"/>
    <x v="3"/>
    <x v="0"/>
    <n v="135.21"/>
    <s v="Main Bank"/>
    <s v="Debit Card"/>
    <s v="Zalando"/>
  </r>
  <r>
    <s v="TXN102947"/>
    <x v="477"/>
    <x v="22"/>
    <x v="2"/>
    <x v="4"/>
    <x v="0"/>
    <n v="257.86"/>
    <s v="Main Bank"/>
    <s v="Credit Card"/>
    <s v="Zalando"/>
  </r>
  <r>
    <s v="TXN103245"/>
    <x v="478"/>
    <x v="64"/>
    <x v="7"/>
    <x v="21"/>
    <x v="0"/>
    <n v="52.59"/>
    <s v="Savings"/>
    <s v="Debit Card"/>
    <s v="Pharmacy"/>
  </r>
  <r>
    <s v="TXN101430"/>
    <x v="478"/>
    <x v="11"/>
    <x v="3"/>
    <x v="8"/>
    <x v="1"/>
    <n v="417.07"/>
    <s v="Main Bank"/>
    <s v="Bank Transfer"/>
    <s v="Freelance Client"/>
  </r>
  <r>
    <s v="TXN100667"/>
    <x v="478"/>
    <x v="54"/>
    <x v="0"/>
    <x v="5"/>
    <x v="0"/>
    <n v="67.28"/>
    <s v="Revolut"/>
    <s v="Credit Card"/>
    <s v="Lidl"/>
  </r>
  <r>
    <s v="TXN101201"/>
    <x v="478"/>
    <x v="39"/>
    <x v="7"/>
    <x v="14"/>
    <x v="0"/>
    <n v="40.93"/>
    <s v="Main Bank"/>
    <s v="Bank Transfer"/>
    <s v="Doctor"/>
  </r>
  <r>
    <s v="TXN101716"/>
    <x v="478"/>
    <x v="11"/>
    <x v="3"/>
    <x v="8"/>
    <x v="1"/>
    <n v="365.78"/>
    <s v="Main Bank"/>
    <s v="Debit Card"/>
    <s v="Freelance Client"/>
  </r>
  <r>
    <s v="TXN101868"/>
    <x v="478"/>
    <x v="29"/>
    <x v="0"/>
    <x v="1"/>
    <x v="0"/>
    <n v="60.98"/>
    <s v="Revolut"/>
    <s v="Bank Transfer"/>
    <s v="REWE"/>
  </r>
  <r>
    <s v="TXN100363"/>
    <x v="478"/>
    <x v="33"/>
    <x v="2"/>
    <x v="16"/>
    <x v="0"/>
    <n v="87.73"/>
    <s v="Revolut"/>
    <s v="Bank Transfer"/>
    <s v="Amazon"/>
  </r>
  <r>
    <s v="TXN103293"/>
    <x v="478"/>
    <x v="73"/>
    <x v="6"/>
    <x v="12"/>
    <x v="0"/>
    <n v="54.72"/>
    <s v="Revolut"/>
    <s v="Bank Transfer"/>
    <s v="Aral"/>
  </r>
  <r>
    <s v="TXN102313"/>
    <x v="479"/>
    <x v="33"/>
    <x v="2"/>
    <x v="16"/>
    <x v="0"/>
    <n v="143.82"/>
    <s v="Main Bank"/>
    <s v="Credit Card"/>
    <s v="Amazon"/>
  </r>
  <r>
    <s v="TXN102419"/>
    <x v="479"/>
    <x v="63"/>
    <x v="4"/>
    <x v="19"/>
    <x v="0"/>
    <n v="62.95"/>
    <s v="Savings"/>
    <s v="Direct Debit"/>
    <s v="Vodafone"/>
  </r>
  <r>
    <s v="TXN102247"/>
    <x v="479"/>
    <x v="38"/>
    <x v="4"/>
    <x v="7"/>
    <x v="0"/>
    <n v="204.16"/>
    <s v="Main Bank"/>
    <s v="Direct Debit"/>
    <s v="Vodafone"/>
  </r>
  <r>
    <s v="TXN102371"/>
    <x v="479"/>
    <x v="32"/>
    <x v="1"/>
    <x v="2"/>
    <x v="0"/>
    <n v="12.4"/>
    <s v="Revolut"/>
    <s v="Direct Debit"/>
    <s v="Cinema"/>
  </r>
  <r>
    <s v="TXN102364"/>
    <x v="480"/>
    <x v="68"/>
    <x v="2"/>
    <x v="4"/>
    <x v="0"/>
    <n v="86.11"/>
    <s v="Revolut"/>
    <s v="Debit Card"/>
    <s v="MediaMarkt"/>
  </r>
  <r>
    <s v="TXN102639"/>
    <x v="480"/>
    <x v="16"/>
    <x v="3"/>
    <x v="10"/>
    <x v="1"/>
    <n v="2497.0300000000002"/>
    <s v="Main Bank"/>
    <s v="Direct Debit"/>
    <s v="Employer"/>
  </r>
  <r>
    <s v="TXN100523"/>
    <x v="480"/>
    <x v="13"/>
    <x v="3"/>
    <x v="10"/>
    <x v="1"/>
    <n v="2045.84"/>
    <s v="Main Bank"/>
    <s v="Credit Card"/>
    <s v="Freelance Client"/>
  </r>
  <r>
    <s v="TXN102590"/>
    <x v="480"/>
    <x v="28"/>
    <x v="7"/>
    <x v="14"/>
    <x v="0"/>
    <n v="249.35"/>
    <s v="Revolut"/>
    <s v="Cash"/>
    <s v="Pharmacy"/>
  </r>
  <r>
    <s v="TXN103427"/>
    <x v="480"/>
    <x v="20"/>
    <x v="2"/>
    <x v="3"/>
    <x v="0"/>
    <n v="43.72"/>
    <s v="Main Bank"/>
    <s v="Credit Card"/>
    <s v="Amazon"/>
  </r>
  <r>
    <s v="TXN102915"/>
    <x v="480"/>
    <x v="54"/>
    <x v="0"/>
    <x v="5"/>
    <x v="0"/>
    <n v="85.2"/>
    <s v="Revolut"/>
    <s v="Debit Card"/>
    <s v="Lidl"/>
  </r>
  <r>
    <s v="TXN102084"/>
    <x v="480"/>
    <x v="41"/>
    <x v="3"/>
    <x v="10"/>
    <x v="1"/>
    <n v="2702.7"/>
    <s v="Revolut"/>
    <s v="Cash"/>
    <s v="Employer Bonus"/>
  </r>
  <r>
    <s v="TXN101609"/>
    <x v="481"/>
    <x v="21"/>
    <x v="0"/>
    <x v="1"/>
    <x v="0"/>
    <n v="41.45"/>
    <s v="Revolut"/>
    <s v="Bank Transfer"/>
    <s v="EDEKA"/>
  </r>
  <r>
    <s v="TXN100391"/>
    <x v="481"/>
    <x v="16"/>
    <x v="3"/>
    <x v="10"/>
    <x v="1"/>
    <n v="2739.08"/>
    <s v="Main Bank"/>
    <s v="Bank Transfer"/>
    <s v="Employer"/>
  </r>
  <r>
    <s v="TXN101853"/>
    <x v="482"/>
    <x v="67"/>
    <x v="3"/>
    <x v="6"/>
    <x v="1"/>
    <n v="708.12"/>
    <s v="Main Bank"/>
    <s v="Debit Card"/>
    <s v="Freelance Client"/>
  </r>
  <r>
    <s v="TXN100433"/>
    <x v="482"/>
    <x v="18"/>
    <x v="1"/>
    <x v="13"/>
    <x v="0"/>
    <n v="44.26"/>
    <s v="Revolut"/>
    <s v="Debit Card"/>
    <s v="Netflix"/>
  </r>
  <r>
    <s v="TXN103457"/>
    <x v="482"/>
    <x v="62"/>
    <x v="2"/>
    <x v="4"/>
    <x v="0"/>
    <n v="188.32"/>
    <s v="Revolut"/>
    <s v="Debit Card"/>
    <s v="IKEA"/>
  </r>
  <r>
    <s v="TXN100890"/>
    <x v="483"/>
    <x v="29"/>
    <x v="0"/>
    <x v="1"/>
    <x v="0"/>
    <n v="31.74"/>
    <s v="Main Bank"/>
    <s v="Cash"/>
    <s v="REWE"/>
  </r>
  <r>
    <s v="TXN102019"/>
    <x v="483"/>
    <x v="10"/>
    <x v="4"/>
    <x v="7"/>
    <x v="0"/>
    <n v="205.92"/>
    <s v="Revolut"/>
    <s v="Debit Card"/>
    <s v="Landlord"/>
  </r>
  <r>
    <s v="TXN102089"/>
    <x v="483"/>
    <x v="11"/>
    <x v="3"/>
    <x v="8"/>
    <x v="1"/>
    <n v="409.88"/>
    <s v="Revolut"/>
    <s v="Debit Card"/>
    <s v="Freelance Client"/>
  </r>
  <r>
    <s v="TXN100544"/>
    <x v="483"/>
    <x v="80"/>
    <x v="1"/>
    <x v="22"/>
    <x v="0"/>
    <n v="31.03"/>
    <s v="Main Bank"/>
    <s v="Debit Card"/>
    <s v="Cinema"/>
  </r>
  <r>
    <s v="TXN103057"/>
    <x v="483"/>
    <x v="60"/>
    <x v="1"/>
    <x v="22"/>
    <x v="0"/>
    <n v="57.73"/>
    <s v="Revolut"/>
    <s v="Credit Card"/>
    <s v="Spotify"/>
  </r>
  <r>
    <s v="TXN102306"/>
    <x v="483"/>
    <x v="42"/>
    <x v="6"/>
    <x v="15"/>
    <x v="0"/>
    <n v="57.01"/>
    <s v="Revolut"/>
    <s v="Debit Card"/>
    <s v="Local Transit"/>
  </r>
  <r>
    <s v="TXN100453"/>
    <x v="483"/>
    <x v="78"/>
    <x v="6"/>
    <x v="15"/>
    <x v="0"/>
    <n v="154.63999999999999"/>
    <s v="Revolut"/>
    <s v="Bank Transfer"/>
    <s v="Auto Service"/>
  </r>
  <r>
    <s v="TXN102328"/>
    <x v="484"/>
    <x v="50"/>
    <x v="4"/>
    <x v="17"/>
    <x v="0"/>
    <n v="104.69"/>
    <s v="Savings"/>
    <s v="Debit Card"/>
    <s v="Energy Provider"/>
  </r>
  <r>
    <s v="TXN100839"/>
    <x v="484"/>
    <x v="4"/>
    <x v="2"/>
    <x v="3"/>
    <x v="0"/>
    <n v="500"/>
    <s v="Revolut"/>
    <s v="Bank Transfer"/>
    <s v="Zalando"/>
  </r>
  <r>
    <s v="TXN101409"/>
    <x v="484"/>
    <x v="68"/>
    <x v="2"/>
    <x v="4"/>
    <x v="0"/>
    <n v="269.86"/>
    <s v="Savings"/>
    <s v="Direct Debit"/>
    <s v="MediaMarkt"/>
  </r>
  <r>
    <s v="TXN102342"/>
    <x v="484"/>
    <x v="71"/>
    <x v="4"/>
    <x v="17"/>
    <x v="0"/>
    <n v="290.22000000000003"/>
    <s v="Savings"/>
    <s v="Bank Transfer"/>
    <s v="Vodafone"/>
  </r>
  <r>
    <s v="TXN102399"/>
    <x v="484"/>
    <x v="61"/>
    <x v="1"/>
    <x v="2"/>
    <x v="0"/>
    <n v="11.01"/>
    <s v="Main Bank"/>
    <s v="Debit Card"/>
    <s v="Steam"/>
  </r>
  <r>
    <s v="TXN102472"/>
    <x v="484"/>
    <x v="67"/>
    <x v="3"/>
    <x v="6"/>
    <x v="1"/>
    <n v="744.49"/>
    <s v="Main Bank"/>
    <s v="Bank Transfer"/>
    <s v="Freelance Client"/>
  </r>
  <r>
    <s v="TXN102527"/>
    <x v="485"/>
    <x v="29"/>
    <x v="0"/>
    <x v="1"/>
    <x v="0"/>
    <n v="31.17"/>
    <s v="Savings"/>
    <s v="Debit Card"/>
    <s v="REWE"/>
  </r>
  <r>
    <s v="TXN103377"/>
    <x v="485"/>
    <x v="56"/>
    <x v="5"/>
    <x v="20"/>
    <x v="0"/>
    <n v="298.74"/>
    <s v="Main Bank"/>
    <s v="Bank Transfer"/>
    <s v="Lufthansa"/>
  </r>
  <r>
    <s v="TXN100050"/>
    <x v="486"/>
    <x v="21"/>
    <x v="0"/>
    <x v="1"/>
    <x v="0"/>
    <n v="20.95"/>
    <s v="Revolut"/>
    <s v="Debit Card"/>
    <s v="EDEKA"/>
  </r>
  <r>
    <s v="TXN102143"/>
    <x v="486"/>
    <x v="64"/>
    <x v="7"/>
    <x v="21"/>
    <x v="0"/>
    <n v="113.85"/>
    <s v="Revolut"/>
    <s v="Debit Card"/>
    <s v="Pharmacy"/>
  </r>
  <r>
    <s v="TXN102244"/>
    <x v="486"/>
    <x v="31"/>
    <x v="3"/>
    <x v="6"/>
    <x v="1"/>
    <n v="595.16"/>
    <s v="Savings"/>
    <s v="Direct Debit"/>
    <s v="Employer"/>
  </r>
  <r>
    <s v="TXN102995"/>
    <x v="486"/>
    <x v="81"/>
    <x v="0"/>
    <x v="5"/>
    <x v="0"/>
    <n v="10.76"/>
    <s v="Main Bank"/>
    <s v="Debit Card"/>
    <s v="REWE"/>
  </r>
  <r>
    <s v="TXN101037"/>
    <x v="486"/>
    <x v="37"/>
    <x v="6"/>
    <x v="12"/>
    <x v="0"/>
    <n v="55.84"/>
    <s v="Revolut"/>
    <s v="Debit Card"/>
    <s v="Shell"/>
  </r>
  <r>
    <s v="TXN102511"/>
    <x v="487"/>
    <x v="63"/>
    <x v="4"/>
    <x v="19"/>
    <x v="0"/>
    <n v="237.69"/>
    <s v="Revolut"/>
    <s v="Debit Card"/>
    <s v="Vodafone"/>
  </r>
  <r>
    <s v="TXN100118"/>
    <x v="487"/>
    <x v="48"/>
    <x v="0"/>
    <x v="5"/>
    <x v="0"/>
    <n v="49.29"/>
    <s v="Revolut"/>
    <s v="Debit Card"/>
    <s v="EDEKA"/>
  </r>
  <r>
    <s v="TXN102882"/>
    <x v="487"/>
    <x v="67"/>
    <x v="3"/>
    <x v="6"/>
    <x v="1"/>
    <n v="656.5"/>
    <s v="Main Bank"/>
    <s v="Bank Transfer"/>
    <s v="Freelance Client"/>
  </r>
  <r>
    <s v="TXN100035"/>
    <x v="487"/>
    <x v="31"/>
    <x v="3"/>
    <x v="6"/>
    <x v="1"/>
    <n v="807.31"/>
    <s v="Revolut"/>
    <s v="Debit Card"/>
    <s v="Employer"/>
  </r>
  <r>
    <s v="TXN100125"/>
    <x v="487"/>
    <x v="21"/>
    <x v="0"/>
    <x v="1"/>
    <x v="0"/>
    <n v="16.190000000000001"/>
    <s v="Main Bank"/>
    <s v="Bank Transfer"/>
    <s v="EDEKA"/>
  </r>
  <r>
    <s v="TXN101810"/>
    <x v="487"/>
    <x v="47"/>
    <x v="4"/>
    <x v="19"/>
    <x v="0"/>
    <n v="433.76"/>
    <s v="Main Bank"/>
    <s v="Debit Card"/>
    <s v="Landlord"/>
  </r>
  <r>
    <s v="TXN101300"/>
    <x v="488"/>
    <x v="39"/>
    <x v="7"/>
    <x v="14"/>
    <x v="0"/>
    <n v="66.900000000000006"/>
    <s v="Savings"/>
    <s v="Debit Card"/>
    <s v="Doctor"/>
  </r>
  <r>
    <s v="TXN102161"/>
    <x v="488"/>
    <x v="80"/>
    <x v="1"/>
    <x v="22"/>
    <x v="0"/>
    <n v="54.69"/>
    <s v="Revolut"/>
    <s v="Cash"/>
    <s v="Cinema"/>
  </r>
  <r>
    <s v="TXN102458"/>
    <x v="488"/>
    <x v="3"/>
    <x v="1"/>
    <x v="2"/>
    <x v="0"/>
    <n v="18.989999999999998"/>
    <s v="Revolut"/>
    <s v="Credit Card"/>
    <s v="Spotify"/>
  </r>
  <r>
    <s v="TXN101996"/>
    <x v="488"/>
    <x v="74"/>
    <x v="1"/>
    <x v="13"/>
    <x v="0"/>
    <n v="32.07"/>
    <s v="Revolut"/>
    <s v="Debit Card"/>
    <s v="Cinema"/>
  </r>
  <r>
    <s v="TXN101254"/>
    <x v="488"/>
    <x v="7"/>
    <x v="0"/>
    <x v="0"/>
    <x v="0"/>
    <n v="88.53"/>
    <s v="Main Bank"/>
    <s v="Credit Card"/>
    <s v="Local Restaurant"/>
  </r>
  <r>
    <s v="TXN100072"/>
    <x v="488"/>
    <x v="25"/>
    <x v="0"/>
    <x v="0"/>
    <x v="0"/>
    <n v="122.26"/>
    <s v="Revolut"/>
    <s v="Bank Transfer"/>
    <s v="McDonald's"/>
  </r>
  <r>
    <s v="TXN100968"/>
    <x v="488"/>
    <x v="29"/>
    <x v="0"/>
    <x v="1"/>
    <x v="0"/>
    <n v="52.75"/>
    <s v="Main Bank"/>
    <s v="Debit Card"/>
    <s v="REWE"/>
  </r>
  <r>
    <s v="TXN103101"/>
    <x v="489"/>
    <x v="50"/>
    <x v="4"/>
    <x v="17"/>
    <x v="0"/>
    <n v="329.73"/>
    <s v="Main Bank"/>
    <s v="Direct Debit"/>
    <s v="Energy Provider"/>
  </r>
  <r>
    <s v="TXN100146"/>
    <x v="489"/>
    <x v="43"/>
    <x v="4"/>
    <x v="17"/>
    <x v="0"/>
    <n v="213.41"/>
    <s v="Main Bank"/>
    <s v="Bank Transfer"/>
    <s v="Landlord"/>
  </r>
  <r>
    <s v="TXN103040"/>
    <x v="489"/>
    <x v="57"/>
    <x v="2"/>
    <x v="3"/>
    <x v="0"/>
    <n v="37.26"/>
    <s v="Revolut"/>
    <s v="Direct Debit"/>
    <s v="IKEA"/>
  </r>
  <r>
    <s v="TXN102221"/>
    <x v="489"/>
    <x v="84"/>
    <x v="7"/>
    <x v="21"/>
    <x v="0"/>
    <n v="137.63999999999999"/>
    <s v="Main Bank"/>
    <s v="Debit Card"/>
    <s v="Gym"/>
  </r>
  <r>
    <s v="TXN102077"/>
    <x v="490"/>
    <x v="34"/>
    <x v="0"/>
    <x v="5"/>
    <x v="0"/>
    <n v="7.47"/>
    <s v="Main Bank"/>
    <s v="Bank Transfer"/>
    <s v="Local Restaurant"/>
  </r>
  <r>
    <s v="TXN101848"/>
    <x v="490"/>
    <x v="25"/>
    <x v="0"/>
    <x v="0"/>
    <x v="0"/>
    <n v="13.57"/>
    <s v="Savings"/>
    <s v="Debit Card"/>
    <s v="McDonald's"/>
  </r>
  <r>
    <s v="TXN103406"/>
    <x v="490"/>
    <x v="13"/>
    <x v="3"/>
    <x v="10"/>
    <x v="1"/>
    <n v="2118.2800000000002"/>
    <s v="Main Bank"/>
    <s v="Direct Debit"/>
    <s v="Freelance Client"/>
  </r>
  <r>
    <s v="TXN101186"/>
    <x v="490"/>
    <x v="9"/>
    <x v="3"/>
    <x v="6"/>
    <x v="1"/>
    <n v="793.84"/>
    <s v="Revolut"/>
    <s v="Credit Card"/>
    <s v="Employer Bonus"/>
  </r>
  <r>
    <s v="TXN100722"/>
    <x v="490"/>
    <x v="34"/>
    <x v="0"/>
    <x v="5"/>
    <x v="0"/>
    <n v="76.92"/>
    <s v="Main Bank"/>
    <s v="Bank Transfer"/>
    <s v="Local Restaurant"/>
  </r>
  <r>
    <s v="TXN102688"/>
    <x v="491"/>
    <x v="73"/>
    <x v="6"/>
    <x v="12"/>
    <x v="0"/>
    <n v="59.53"/>
    <s v="Revolut"/>
    <s v="Bank Transfer"/>
    <s v="Aral"/>
  </r>
  <r>
    <s v="TXN100440"/>
    <x v="491"/>
    <x v="63"/>
    <x v="4"/>
    <x v="19"/>
    <x v="0"/>
    <n v="115.31"/>
    <s v="Revolut"/>
    <s v="Credit Card"/>
    <s v="Vodafone"/>
  </r>
  <r>
    <s v="TXN100959"/>
    <x v="491"/>
    <x v="48"/>
    <x v="0"/>
    <x v="5"/>
    <x v="0"/>
    <n v="175.23"/>
    <s v="Main Bank"/>
    <s v="Bank Transfer"/>
    <s v="EDEKA"/>
  </r>
  <r>
    <s v="TXN100359"/>
    <x v="491"/>
    <x v="55"/>
    <x v="3"/>
    <x v="8"/>
    <x v="1"/>
    <n v="358.2"/>
    <s v="Revolut"/>
    <s v="Bank Transfer"/>
    <s v="Employer Bonus"/>
  </r>
  <r>
    <s v="TXN102737"/>
    <x v="491"/>
    <x v="72"/>
    <x v="3"/>
    <x v="8"/>
    <x v="1"/>
    <n v="380.75"/>
    <s v="Revolut"/>
    <s v="Debit Card"/>
    <s v="Employer"/>
  </r>
  <r>
    <s v="TXN100518"/>
    <x v="492"/>
    <x v="55"/>
    <x v="3"/>
    <x v="8"/>
    <x v="1"/>
    <n v="282.77"/>
    <s v="Savings"/>
    <s v="Debit Card"/>
    <s v="Employer Bonus"/>
  </r>
  <r>
    <s v="TXN101439"/>
    <x v="492"/>
    <x v="25"/>
    <x v="0"/>
    <x v="0"/>
    <x v="0"/>
    <n v="45.59"/>
    <s v="Savings"/>
    <s v="Debit Card"/>
    <s v="McDonald's"/>
  </r>
  <r>
    <s v="TXN101976"/>
    <x v="492"/>
    <x v="55"/>
    <x v="3"/>
    <x v="8"/>
    <x v="1"/>
    <n v="378.41"/>
    <s v="Main Bank"/>
    <s v="Debit Card"/>
    <s v="Employer Bonus"/>
  </r>
  <r>
    <s v="TXN103475"/>
    <x v="492"/>
    <x v="55"/>
    <x v="3"/>
    <x v="8"/>
    <x v="1"/>
    <n v="322.64"/>
    <s v="Main Bank"/>
    <s v="Bank Transfer"/>
    <s v="Employer Bonus"/>
  </r>
  <r>
    <s v="TXN100774"/>
    <x v="492"/>
    <x v="42"/>
    <x v="6"/>
    <x v="15"/>
    <x v="0"/>
    <n v="31.53"/>
    <s v="Main Bank"/>
    <s v="Bank Transfer"/>
    <s v="Local Transit"/>
  </r>
  <r>
    <s v="TXN101294"/>
    <x v="493"/>
    <x v="65"/>
    <x v="1"/>
    <x v="2"/>
    <x v="0"/>
    <n v="42.5"/>
    <s v="Main Bank"/>
    <s v="Debit Card"/>
    <s v="Netflix"/>
  </r>
  <r>
    <s v="TXN103361"/>
    <x v="493"/>
    <x v="90"/>
    <x v="5"/>
    <x v="20"/>
    <x v="0"/>
    <n v="449.62"/>
    <s v="Main Bank"/>
    <s v="Debit Card"/>
    <s v="Hotel"/>
  </r>
  <r>
    <s v="TXN100672"/>
    <x v="493"/>
    <x v="13"/>
    <x v="3"/>
    <x v="10"/>
    <x v="1"/>
    <n v="2659.66"/>
    <s v="Revolut"/>
    <s v="Direct Debit"/>
    <s v="Freelance Client"/>
  </r>
  <r>
    <s v="TXN102105"/>
    <x v="493"/>
    <x v="83"/>
    <x v="5"/>
    <x v="9"/>
    <x v="0"/>
    <n v="438.22"/>
    <s v="Revolut"/>
    <s v="Debit Card"/>
    <s v="Travel Agency"/>
  </r>
  <r>
    <s v="TXN100185"/>
    <x v="493"/>
    <x v="29"/>
    <x v="0"/>
    <x v="1"/>
    <x v="0"/>
    <n v="53.88"/>
    <s v="Revolut"/>
    <s v="Cash"/>
    <s v="REWE"/>
  </r>
  <r>
    <s v="TXN103485"/>
    <x v="493"/>
    <x v="5"/>
    <x v="2"/>
    <x v="4"/>
    <x v="0"/>
    <n v="37.159999999999997"/>
    <s v="Main Bank"/>
    <s v="Bank Transfer"/>
    <s v="Amazon"/>
  </r>
  <r>
    <s v="TXN100338"/>
    <x v="493"/>
    <x v="39"/>
    <x v="7"/>
    <x v="14"/>
    <x v="0"/>
    <n v="172.02"/>
    <s v="Savings"/>
    <s v="Debit Card"/>
    <s v="Doctor"/>
  </r>
  <r>
    <s v="TXN102245"/>
    <x v="493"/>
    <x v="16"/>
    <x v="3"/>
    <x v="10"/>
    <x v="1"/>
    <n v="2450.65"/>
    <s v="Savings"/>
    <s v="Bank Transfer"/>
    <s v="Employer"/>
  </r>
  <r>
    <s v="TXN101781"/>
    <x v="493"/>
    <x v="43"/>
    <x v="4"/>
    <x v="17"/>
    <x v="0"/>
    <n v="190.52"/>
    <s v="Main Bank"/>
    <s v="Debit Card"/>
    <s v="Landlord"/>
  </r>
  <r>
    <s v="TXN100314"/>
    <x v="493"/>
    <x v="72"/>
    <x v="3"/>
    <x v="8"/>
    <x v="1"/>
    <n v="382.98"/>
    <s v="Main Bank"/>
    <s v="Credit Card"/>
    <s v="Employer"/>
  </r>
  <r>
    <s v="TXN101007"/>
    <x v="493"/>
    <x v="70"/>
    <x v="7"/>
    <x v="18"/>
    <x v="0"/>
    <n v="15.39"/>
    <s v="Main Bank"/>
    <s v="Debit Card"/>
    <s v="Pharmacy"/>
  </r>
  <r>
    <s v="TXN102866"/>
    <x v="494"/>
    <x v="66"/>
    <x v="2"/>
    <x v="3"/>
    <x v="0"/>
    <n v="149.13999999999999"/>
    <s v="Revolut"/>
    <s v="Cash"/>
    <s v="MediaMarkt"/>
  </r>
  <r>
    <s v="TXN103143"/>
    <x v="494"/>
    <x v="44"/>
    <x v="2"/>
    <x v="16"/>
    <x v="0"/>
    <n v="40.450000000000003"/>
    <s v="Main Bank"/>
    <s v="Debit Card"/>
    <s v="Zalando"/>
  </r>
  <r>
    <s v="TXN102369"/>
    <x v="494"/>
    <x v="88"/>
    <x v="6"/>
    <x v="11"/>
    <x v="0"/>
    <n v="240.28"/>
    <s v="Revolut"/>
    <s v="Debit Card"/>
    <s v="Shell"/>
  </r>
  <r>
    <s v="TXN102753"/>
    <x v="494"/>
    <x v="29"/>
    <x v="0"/>
    <x v="1"/>
    <x v="0"/>
    <n v="89.73"/>
    <s v="Savings"/>
    <s v="Credit Card"/>
    <s v="REWE"/>
  </r>
  <r>
    <s v="TXN101395"/>
    <x v="494"/>
    <x v="52"/>
    <x v="6"/>
    <x v="11"/>
    <x v="0"/>
    <n v="90.05"/>
    <s v="Main Bank"/>
    <s v="Debit Card"/>
    <s v="Local Transit"/>
  </r>
  <r>
    <s v="TXN103157"/>
    <x v="494"/>
    <x v="41"/>
    <x v="3"/>
    <x v="10"/>
    <x v="1"/>
    <n v="2794.18"/>
    <s v="Revolut"/>
    <s v="Cash"/>
    <s v="Employer Bonus"/>
  </r>
  <r>
    <s v="TXN102963"/>
    <x v="494"/>
    <x v="17"/>
    <x v="6"/>
    <x v="12"/>
    <x v="0"/>
    <n v="76.489999999999995"/>
    <s v="Revolut"/>
    <s v="Credit Card"/>
    <s v="Auto Service"/>
  </r>
  <r>
    <s v="TXN101888"/>
    <x v="494"/>
    <x v="7"/>
    <x v="0"/>
    <x v="0"/>
    <x v="0"/>
    <n v="121.79"/>
    <s v="Main Bank"/>
    <s v="Bank Transfer"/>
    <s v="Local Restaurant"/>
  </r>
  <r>
    <s v="TXN102047"/>
    <x v="495"/>
    <x v="47"/>
    <x v="4"/>
    <x v="19"/>
    <x v="0"/>
    <n v="252.52"/>
    <s v="Revolut"/>
    <s v="Bank Transfer"/>
    <s v="Landlord"/>
  </r>
  <r>
    <s v="TXN102207"/>
    <x v="495"/>
    <x v="1"/>
    <x v="0"/>
    <x v="0"/>
    <x v="0"/>
    <n v="99.57"/>
    <s v="Main Bank"/>
    <s v="Debit Card"/>
    <s v="EDEKA"/>
  </r>
  <r>
    <s v="TXN102014"/>
    <x v="495"/>
    <x v="7"/>
    <x v="0"/>
    <x v="0"/>
    <x v="0"/>
    <n v="54.81"/>
    <s v="Main Bank"/>
    <s v="Debit Card"/>
    <s v="Local Restaurant"/>
  </r>
  <r>
    <s v="TXN102823"/>
    <x v="495"/>
    <x v="61"/>
    <x v="1"/>
    <x v="2"/>
    <x v="0"/>
    <n v="48.58"/>
    <s v="Main Bank"/>
    <s v="Bank Transfer"/>
    <s v="Steam"/>
  </r>
  <r>
    <s v="TXN103258"/>
    <x v="495"/>
    <x v="14"/>
    <x v="0"/>
    <x v="0"/>
    <x v="0"/>
    <n v="16.16"/>
    <s v="Main Bank"/>
    <s v="Credit Card"/>
    <s v="REWE"/>
  </r>
  <r>
    <s v="TXN101790"/>
    <x v="495"/>
    <x v="44"/>
    <x v="2"/>
    <x v="16"/>
    <x v="0"/>
    <n v="276.13"/>
    <s v="Revolut"/>
    <s v="Credit Card"/>
    <s v="Zalando"/>
  </r>
  <r>
    <s v="TXN102456"/>
    <x v="495"/>
    <x v="29"/>
    <x v="0"/>
    <x v="1"/>
    <x v="0"/>
    <n v="43.91"/>
    <s v="Main Bank"/>
    <s v="Bank Transfer"/>
    <s v="REWE"/>
  </r>
  <r>
    <s v="TXN102199"/>
    <x v="496"/>
    <x v="5"/>
    <x v="2"/>
    <x v="4"/>
    <x v="0"/>
    <n v="137.13999999999999"/>
    <s v="Main Bank"/>
    <s v="Cash"/>
    <s v="Amazon"/>
  </r>
  <r>
    <s v="TXN101004"/>
    <x v="496"/>
    <x v="84"/>
    <x v="7"/>
    <x v="21"/>
    <x v="0"/>
    <n v="100.57"/>
    <s v="Main Bank"/>
    <s v="Debit Card"/>
    <s v="Gym"/>
  </r>
  <r>
    <s v="TXN102475"/>
    <x v="496"/>
    <x v="33"/>
    <x v="2"/>
    <x v="16"/>
    <x v="0"/>
    <n v="76.33"/>
    <s v="Revolut"/>
    <s v="Debit Card"/>
    <s v="Amazon"/>
  </r>
  <r>
    <s v="TXN101697"/>
    <x v="496"/>
    <x v="38"/>
    <x v="4"/>
    <x v="7"/>
    <x v="0"/>
    <n v="671.13"/>
    <s v="Main Bank"/>
    <s v="Credit Card"/>
    <s v="Vodafone"/>
  </r>
  <r>
    <s v="TXN103386"/>
    <x v="497"/>
    <x v="72"/>
    <x v="3"/>
    <x v="8"/>
    <x v="1"/>
    <n v="447.46"/>
    <s v="Main Bank"/>
    <s v="Debit Card"/>
    <s v="Employer"/>
  </r>
  <r>
    <s v="TXN100369"/>
    <x v="497"/>
    <x v="6"/>
    <x v="0"/>
    <x v="1"/>
    <x v="0"/>
    <n v="49.45"/>
    <s v="Main Bank"/>
    <s v="Debit Card"/>
    <s v="McDonald's"/>
  </r>
  <r>
    <s v="TXN100444"/>
    <x v="497"/>
    <x v="40"/>
    <x v="6"/>
    <x v="12"/>
    <x v="0"/>
    <n v="158.16999999999999"/>
    <s v="Main Bank"/>
    <s v="Debit Card"/>
    <s v="DB"/>
  </r>
  <r>
    <s v="TXN101838"/>
    <x v="497"/>
    <x v="73"/>
    <x v="6"/>
    <x v="12"/>
    <x v="0"/>
    <n v="80.319999999999993"/>
    <s v="Revolut"/>
    <s v="Credit Card"/>
    <s v="Aral"/>
  </r>
  <r>
    <s v="TXN102276"/>
    <x v="498"/>
    <x v="65"/>
    <x v="1"/>
    <x v="2"/>
    <x v="0"/>
    <n v="53.18"/>
    <s v="Revolut"/>
    <s v="Debit Card"/>
    <s v="Netflix"/>
  </r>
  <r>
    <s v="TXN101177"/>
    <x v="498"/>
    <x v="92"/>
    <x v="5"/>
    <x v="20"/>
    <x v="0"/>
    <n v="169.65"/>
    <s v="Revolut"/>
    <s v="Bank Transfer"/>
    <s v="Travel Agency"/>
  </r>
  <r>
    <s v="TXN102154"/>
    <x v="498"/>
    <x v="16"/>
    <x v="3"/>
    <x v="10"/>
    <x v="1"/>
    <n v="2164.1999999999998"/>
    <s v="Revolut"/>
    <s v="Bank Transfer"/>
    <s v="Employer"/>
  </r>
  <r>
    <s v="TXN102083"/>
    <x v="498"/>
    <x v="57"/>
    <x v="2"/>
    <x v="3"/>
    <x v="0"/>
    <n v="59.57"/>
    <s v="Revolut"/>
    <s v="Cash"/>
    <s v="IKEA"/>
  </r>
  <r>
    <s v="TXN100799"/>
    <x v="498"/>
    <x v="64"/>
    <x v="7"/>
    <x v="21"/>
    <x v="0"/>
    <n v="158.47999999999999"/>
    <s v="Savings"/>
    <s v="Debit Card"/>
    <s v="Pharmacy"/>
  </r>
  <r>
    <s v="TXN102676"/>
    <x v="498"/>
    <x v="81"/>
    <x v="0"/>
    <x v="5"/>
    <x v="0"/>
    <n v="36.700000000000003"/>
    <s v="Main Bank"/>
    <s v="Cash"/>
    <s v="REWE"/>
  </r>
  <r>
    <s v="TXN100284"/>
    <x v="498"/>
    <x v="50"/>
    <x v="4"/>
    <x v="17"/>
    <x v="0"/>
    <n v="107.35"/>
    <s v="Revolut"/>
    <s v="Debit Card"/>
    <s v="Energy Provider"/>
  </r>
  <r>
    <s v="TXN102793"/>
    <x v="499"/>
    <x v="44"/>
    <x v="2"/>
    <x v="16"/>
    <x v="0"/>
    <n v="310.20999999999998"/>
    <s v="Revolut"/>
    <s v="Debit Card"/>
    <s v="Zalando"/>
  </r>
  <r>
    <s v="TXN100141"/>
    <x v="499"/>
    <x v="9"/>
    <x v="3"/>
    <x v="6"/>
    <x v="1"/>
    <n v="784.62"/>
    <s v="Main Bank"/>
    <s v="Direct Debit"/>
    <s v="Employer Bonus"/>
  </r>
  <r>
    <s v="TXN100567"/>
    <x v="500"/>
    <x v="52"/>
    <x v="6"/>
    <x v="11"/>
    <x v="0"/>
    <n v="16.47"/>
    <s v="Revolut"/>
    <s v="Bank Transfer"/>
    <s v="Local Transit"/>
  </r>
  <r>
    <s v="TXN101762"/>
    <x v="500"/>
    <x v="72"/>
    <x v="3"/>
    <x v="8"/>
    <x v="1"/>
    <n v="407.57"/>
    <s v="Main Bank"/>
    <s v="Debit Card"/>
    <s v="Employer"/>
  </r>
  <r>
    <s v="TXN102149"/>
    <x v="500"/>
    <x v="33"/>
    <x v="2"/>
    <x v="16"/>
    <x v="0"/>
    <n v="117.66"/>
    <s v="Revolut"/>
    <s v="Debit Card"/>
    <s v="Amazon"/>
  </r>
  <r>
    <s v="TXN102650"/>
    <x v="500"/>
    <x v="85"/>
    <x v="2"/>
    <x v="16"/>
    <x v="0"/>
    <n v="188.23"/>
    <s v="Savings"/>
    <s v="Bank Transfer"/>
    <s v="IKEA"/>
  </r>
  <r>
    <s v="TXN101026"/>
    <x v="500"/>
    <x v="57"/>
    <x v="2"/>
    <x v="3"/>
    <x v="0"/>
    <n v="105.46"/>
    <s v="Main Bank"/>
    <s v="Debit Card"/>
    <s v="IKEA"/>
  </r>
  <r>
    <s v="TXN100983"/>
    <x v="500"/>
    <x v="75"/>
    <x v="4"/>
    <x v="7"/>
    <x v="0"/>
    <n v="201.5"/>
    <s v="Main Bank"/>
    <s v="Direct Debit"/>
    <s v="Energy Provider"/>
  </r>
  <r>
    <s v="TXN100621"/>
    <x v="501"/>
    <x v="54"/>
    <x v="0"/>
    <x v="5"/>
    <x v="0"/>
    <n v="30.63"/>
    <s v="Revolut"/>
    <s v="Cash"/>
    <s v="Lidl"/>
  </r>
  <r>
    <s v="TXN101539"/>
    <x v="501"/>
    <x v="29"/>
    <x v="0"/>
    <x v="1"/>
    <x v="0"/>
    <n v="52.75"/>
    <s v="Revolut"/>
    <s v="Debit Card"/>
    <s v="REWE"/>
  </r>
  <r>
    <s v="TXN103122"/>
    <x v="501"/>
    <x v="8"/>
    <x v="0"/>
    <x v="5"/>
    <x v="0"/>
    <n v="101.22"/>
    <s v="Revolut"/>
    <s v="Debit Card"/>
    <s v="McDonald's"/>
  </r>
  <r>
    <s v="TXN100932"/>
    <x v="501"/>
    <x v="31"/>
    <x v="3"/>
    <x v="6"/>
    <x v="1"/>
    <n v="626.66999999999996"/>
    <s v="Savings"/>
    <s v="Bank Transfer"/>
    <s v="Employer"/>
  </r>
  <r>
    <s v="TXN101405"/>
    <x v="501"/>
    <x v="80"/>
    <x v="1"/>
    <x v="22"/>
    <x v="0"/>
    <n v="7.72"/>
    <s v="Revolut"/>
    <s v="Credit Card"/>
    <s v="Cinema"/>
  </r>
  <r>
    <s v="TXN102733"/>
    <x v="501"/>
    <x v="38"/>
    <x v="4"/>
    <x v="7"/>
    <x v="0"/>
    <n v="212.47"/>
    <s v="Main Bank"/>
    <s v="Direct Debit"/>
    <s v="Vodafone"/>
  </r>
  <r>
    <s v="TXN101147"/>
    <x v="501"/>
    <x v="12"/>
    <x v="5"/>
    <x v="9"/>
    <x v="0"/>
    <n v="650.84"/>
    <s v="Revolut"/>
    <s v="Debit Card"/>
    <s v="Lufthansa"/>
  </r>
  <r>
    <s v="TXN101749"/>
    <x v="501"/>
    <x v="90"/>
    <x v="5"/>
    <x v="20"/>
    <x v="0"/>
    <n v="476.3"/>
    <s v="Main Bank"/>
    <s v="Debit Card"/>
    <s v="Hotel"/>
  </r>
  <r>
    <s v="TXN101527"/>
    <x v="502"/>
    <x v="8"/>
    <x v="0"/>
    <x v="5"/>
    <x v="0"/>
    <n v="65.459999999999994"/>
    <s v="Revolut"/>
    <s v="Bank Transfer"/>
    <s v="McDonald's"/>
  </r>
  <r>
    <s v="TXN101961"/>
    <x v="502"/>
    <x v="43"/>
    <x v="4"/>
    <x v="17"/>
    <x v="0"/>
    <n v="198.5"/>
    <s v="Main Bank"/>
    <s v="Debit Card"/>
    <s v="Landlord"/>
  </r>
  <r>
    <s v="TXN101059"/>
    <x v="503"/>
    <x v="24"/>
    <x v="2"/>
    <x v="16"/>
    <x v="0"/>
    <n v="135.6"/>
    <s v="Main Bank"/>
    <s v="Direct Debit"/>
    <s v="MediaMarkt"/>
  </r>
  <r>
    <s v="TXN102853"/>
    <x v="503"/>
    <x v="7"/>
    <x v="0"/>
    <x v="0"/>
    <x v="0"/>
    <n v="29.05"/>
    <s v="Main Bank"/>
    <s v="Credit Card"/>
    <s v="Local Restaurant"/>
  </r>
  <r>
    <s v="TXN101974"/>
    <x v="503"/>
    <x v="66"/>
    <x v="2"/>
    <x v="3"/>
    <x v="0"/>
    <n v="69.849999999999994"/>
    <s v="Main Bank"/>
    <s v="Bank Transfer"/>
    <s v="MediaMarkt"/>
  </r>
  <r>
    <s v="TXN100572"/>
    <x v="504"/>
    <x v="86"/>
    <x v="5"/>
    <x v="9"/>
    <x v="0"/>
    <n v="141.94999999999999"/>
    <s v="Main Bank"/>
    <s v="Debit Card"/>
    <s v="Booking.com"/>
  </r>
  <r>
    <s v="TXN101971"/>
    <x v="504"/>
    <x v="10"/>
    <x v="4"/>
    <x v="7"/>
    <x v="0"/>
    <n v="270.64"/>
    <s v="Main Bank"/>
    <s v="Credit Card"/>
    <s v="Landlord"/>
  </r>
  <r>
    <s v="TXN103215"/>
    <x v="504"/>
    <x v="0"/>
    <x v="0"/>
    <x v="0"/>
    <x v="0"/>
    <n v="67.94"/>
    <s v="Revolut"/>
    <s v="Debit Card"/>
    <s v="Lidl"/>
  </r>
  <r>
    <s v="TXN101288"/>
    <x v="504"/>
    <x v="59"/>
    <x v="6"/>
    <x v="11"/>
    <x v="0"/>
    <n v="59.59"/>
    <s v="Main Bank"/>
    <s v="Debit Card"/>
    <s v="Aral"/>
  </r>
  <r>
    <s v="TXN100259"/>
    <x v="504"/>
    <x v="20"/>
    <x v="2"/>
    <x v="3"/>
    <x v="0"/>
    <n v="122.08"/>
    <s v="Main Bank"/>
    <s v="Credit Card"/>
    <s v="Amazon"/>
  </r>
  <r>
    <s v="TXN100696"/>
    <x v="504"/>
    <x v="60"/>
    <x v="1"/>
    <x v="22"/>
    <x v="0"/>
    <n v="42.22"/>
    <s v="Main Bank"/>
    <s v="Debit Card"/>
    <s v="Spotify"/>
  </r>
  <r>
    <s v="TXN101608"/>
    <x v="504"/>
    <x v="72"/>
    <x v="3"/>
    <x v="8"/>
    <x v="1"/>
    <n v="396.7"/>
    <s v="Main Bank"/>
    <s v="Bank Transfer"/>
    <s v="Employer"/>
  </r>
  <r>
    <s v="TXN101247"/>
    <x v="504"/>
    <x v="26"/>
    <x v="0"/>
    <x v="1"/>
    <x v="0"/>
    <n v="63.15"/>
    <s v="Revolut"/>
    <s v="Debit Card"/>
    <s v="Local Restaurant"/>
  </r>
  <r>
    <s v="TXN102250"/>
    <x v="505"/>
    <x v="38"/>
    <x v="4"/>
    <x v="7"/>
    <x v="0"/>
    <n v="226.41"/>
    <s v="Main Bank"/>
    <s v="Debit Card"/>
    <s v="Vodafone"/>
  </r>
  <r>
    <s v="TXN102386"/>
    <x v="505"/>
    <x v="22"/>
    <x v="2"/>
    <x v="4"/>
    <x v="0"/>
    <n v="177.86"/>
    <s v="Savings"/>
    <s v="Debit Card"/>
    <s v="Zalando"/>
  </r>
  <r>
    <s v="TXN102055"/>
    <x v="505"/>
    <x v="55"/>
    <x v="3"/>
    <x v="8"/>
    <x v="1"/>
    <n v="328.49"/>
    <s v="Revolut"/>
    <s v="Debit Card"/>
    <s v="Employer Bonus"/>
  </r>
  <r>
    <s v="TXN103102"/>
    <x v="505"/>
    <x v="64"/>
    <x v="7"/>
    <x v="21"/>
    <x v="0"/>
    <n v="62.39"/>
    <s v="Main Bank"/>
    <s v="Direct Debit"/>
    <s v="Pharmacy"/>
  </r>
  <r>
    <s v="TXN100660"/>
    <x v="505"/>
    <x v="66"/>
    <x v="2"/>
    <x v="3"/>
    <x v="0"/>
    <n v="62.84"/>
    <s v="Main Bank"/>
    <s v="Bank Transfer"/>
    <s v="MediaMarkt"/>
  </r>
  <r>
    <s v="TXN101874"/>
    <x v="505"/>
    <x v="72"/>
    <x v="3"/>
    <x v="8"/>
    <x v="1"/>
    <n v="349.03"/>
    <s v="Main Bank"/>
    <s v="Cash"/>
    <s v="Employer"/>
  </r>
  <r>
    <s v="TXN103053"/>
    <x v="505"/>
    <x v="14"/>
    <x v="0"/>
    <x v="0"/>
    <x v="0"/>
    <n v="22.58"/>
    <s v="Main Bank"/>
    <s v="Debit Card"/>
    <s v="REWE"/>
  </r>
  <r>
    <s v="TXN101681"/>
    <x v="506"/>
    <x v="30"/>
    <x v="6"/>
    <x v="11"/>
    <x v="0"/>
    <n v="128.31"/>
    <s v="Main Bank"/>
    <s v="Debit Card"/>
    <s v="DB"/>
  </r>
  <r>
    <s v="TXN101956"/>
    <x v="506"/>
    <x v="16"/>
    <x v="3"/>
    <x v="10"/>
    <x v="1"/>
    <n v="2200.19"/>
    <s v="Main Bank"/>
    <s v="Bank Transfer"/>
    <s v="Employer"/>
  </r>
  <r>
    <s v="TXN101138"/>
    <x v="506"/>
    <x v="20"/>
    <x v="2"/>
    <x v="3"/>
    <x v="0"/>
    <n v="267.24"/>
    <s v="Main Bank"/>
    <s v="Bank Transfer"/>
    <s v="Amazon"/>
  </r>
  <r>
    <s v="TXN102782"/>
    <x v="506"/>
    <x v="55"/>
    <x v="3"/>
    <x v="8"/>
    <x v="1"/>
    <n v="318.20999999999998"/>
    <s v="Main Bank"/>
    <s v="Bank Transfer"/>
    <s v="Employer Bonus"/>
  </r>
  <r>
    <s v="TXN100543"/>
    <x v="506"/>
    <x v="1"/>
    <x v="0"/>
    <x v="0"/>
    <x v="0"/>
    <n v="21.67"/>
    <s v="Revolut"/>
    <s v="Debit Card"/>
    <s v="EDEKA"/>
  </r>
  <r>
    <s v="TXN103362"/>
    <x v="506"/>
    <x v="29"/>
    <x v="0"/>
    <x v="1"/>
    <x v="0"/>
    <n v="98.32"/>
    <s v="Main Bank"/>
    <s v="Debit Card"/>
    <s v="REWE"/>
  </r>
  <r>
    <s v="TXN102948"/>
    <x v="506"/>
    <x v="66"/>
    <x v="2"/>
    <x v="3"/>
    <x v="0"/>
    <n v="107.74"/>
    <s v="Main Bank"/>
    <s v="Debit Card"/>
    <s v="MediaMarkt"/>
  </r>
  <r>
    <s v="TXN102558"/>
    <x v="506"/>
    <x v="34"/>
    <x v="0"/>
    <x v="5"/>
    <x v="0"/>
    <n v="38.81"/>
    <s v="Revolut"/>
    <s v="Credit Card"/>
    <s v="Local Restaurant"/>
  </r>
  <r>
    <s v="TXN102888"/>
    <x v="507"/>
    <x v="37"/>
    <x v="6"/>
    <x v="12"/>
    <x v="0"/>
    <n v="100"/>
    <s v="Main Bank"/>
    <s v="Credit Card"/>
    <s v="Shell"/>
  </r>
  <r>
    <s v="TXN102335"/>
    <x v="507"/>
    <x v="47"/>
    <x v="4"/>
    <x v="19"/>
    <x v="0"/>
    <n v="218.89"/>
    <s v="Revolut"/>
    <s v="Credit Card"/>
    <s v="Landlord"/>
  </r>
  <r>
    <s v="TXN101804"/>
    <x v="507"/>
    <x v="7"/>
    <x v="0"/>
    <x v="0"/>
    <x v="0"/>
    <n v="9.94"/>
    <s v="Revolut"/>
    <s v="Direct Debit"/>
    <s v="Local Restaurant"/>
  </r>
  <r>
    <s v="TXN100663"/>
    <x v="507"/>
    <x v="74"/>
    <x v="1"/>
    <x v="13"/>
    <x v="0"/>
    <n v="6.61"/>
    <s v="Main Bank"/>
    <s v="Credit Card"/>
    <s v="Cinema"/>
  </r>
  <r>
    <s v="TXN101992"/>
    <x v="507"/>
    <x v="21"/>
    <x v="0"/>
    <x v="1"/>
    <x v="0"/>
    <n v="32.590000000000003"/>
    <s v="Revolut"/>
    <s v="Credit Card"/>
    <s v="EDEKA"/>
  </r>
  <r>
    <s v="TXN101632"/>
    <x v="508"/>
    <x v="42"/>
    <x v="6"/>
    <x v="15"/>
    <x v="0"/>
    <n v="127.49"/>
    <s v="Revolut"/>
    <s v="Credit Card"/>
    <s v="Local Transit"/>
  </r>
  <r>
    <s v="TXN100008"/>
    <x v="508"/>
    <x v="55"/>
    <x v="3"/>
    <x v="8"/>
    <x v="1"/>
    <n v="296.17"/>
    <s v="Main Bank"/>
    <s v="Debit Card"/>
    <s v="Employer Bonus"/>
  </r>
  <r>
    <s v="TXN102664"/>
    <x v="509"/>
    <x v="49"/>
    <x v="1"/>
    <x v="13"/>
    <x v="0"/>
    <n v="32.94"/>
    <s v="Revolut"/>
    <s v="Credit Card"/>
    <s v="Spotify"/>
  </r>
  <r>
    <s v="TXN102725"/>
    <x v="509"/>
    <x v="51"/>
    <x v="6"/>
    <x v="15"/>
    <x v="0"/>
    <n v="91.94"/>
    <s v="Savings"/>
    <s v="Direct Debit"/>
    <s v="DB"/>
  </r>
  <r>
    <s v="TXN103019"/>
    <x v="509"/>
    <x v="53"/>
    <x v="4"/>
    <x v="19"/>
    <x v="0"/>
    <n v="185.3"/>
    <s v="Revolut"/>
    <s v="Credit Card"/>
    <s v="Energy Provider"/>
  </r>
  <r>
    <s v="TXN100937"/>
    <x v="509"/>
    <x v="50"/>
    <x v="4"/>
    <x v="17"/>
    <x v="0"/>
    <n v="447.34"/>
    <s v="Savings"/>
    <s v="Credit Card"/>
    <s v="Energy Provider"/>
  </r>
  <r>
    <s v="TXN102652"/>
    <x v="509"/>
    <x v="51"/>
    <x v="6"/>
    <x v="15"/>
    <x v="0"/>
    <n v="50.06"/>
    <s v="Revolut"/>
    <s v="Cash"/>
    <s v="DB"/>
  </r>
  <r>
    <s v="TXN101190"/>
    <x v="509"/>
    <x v="84"/>
    <x v="7"/>
    <x v="21"/>
    <x v="0"/>
    <n v="30.82"/>
    <s v="Main Bank"/>
    <s v="Bank Transfer"/>
    <s v="Gym"/>
  </r>
  <r>
    <s v="TXN100103"/>
    <x v="510"/>
    <x v="6"/>
    <x v="0"/>
    <x v="1"/>
    <x v="0"/>
    <n v="22.4"/>
    <s v="Revolut"/>
    <s v="Bank Transfer"/>
    <s v="McDonald's"/>
  </r>
  <r>
    <s v="TXN101575"/>
    <x v="510"/>
    <x v="14"/>
    <x v="0"/>
    <x v="0"/>
    <x v="0"/>
    <n v="91.43"/>
    <s v="Revolut"/>
    <s v="Cash"/>
    <s v="REWE"/>
  </r>
  <r>
    <s v="TXN100342"/>
    <x v="510"/>
    <x v="66"/>
    <x v="2"/>
    <x v="3"/>
    <x v="0"/>
    <n v="119.18"/>
    <s v="Revolut"/>
    <s v="Debit Card"/>
    <s v="MediaMarkt"/>
  </r>
  <r>
    <s v="TXN102738"/>
    <x v="510"/>
    <x v="5"/>
    <x v="2"/>
    <x v="4"/>
    <x v="0"/>
    <n v="88.08"/>
    <s v="Main Bank"/>
    <s v="Credit Card"/>
    <s v="Amazon"/>
  </r>
  <r>
    <s v="TXN100124"/>
    <x v="511"/>
    <x v="71"/>
    <x v="4"/>
    <x v="17"/>
    <x v="0"/>
    <n v="186.73"/>
    <s v="Main Bank"/>
    <s v="Direct Debit"/>
    <s v="Vodafone"/>
  </r>
  <r>
    <s v="TXN101478"/>
    <x v="511"/>
    <x v="86"/>
    <x v="5"/>
    <x v="9"/>
    <x v="0"/>
    <n v="314.3"/>
    <s v="Main Bank"/>
    <s v="Credit Card"/>
    <s v="Booking.com"/>
  </r>
  <r>
    <s v="TXN102790"/>
    <x v="511"/>
    <x v="72"/>
    <x v="3"/>
    <x v="8"/>
    <x v="1"/>
    <n v="360.92"/>
    <s v="Revolut"/>
    <s v="Bank Transfer"/>
    <s v="Employer"/>
  </r>
  <r>
    <s v="TXN103322"/>
    <x v="511"/>
    <x v="71"/>
    <x v="4"/>
    <x v="17"/>
    <x v="0"/>
    <n v="190.49"/>
    <s v="Main Bank"/>
    <s v="Debit Card"/>
    <s v="Vodafone"/>
  </r>
  <r>
    <s v="TXN101923"/>
    <x v="511"/>
    <x v="49"/>
    <x v="1"/>
    <x v="13"/>
    <x v="0"/>
    <n v="44.6"/>
    <s v="Main Bank"/>
    <s v="Bank Transfer"/>
    <s v="Spotify"/>
  </r>
  <r>
    <s v="TXN100492"/>
    <x v="511"/>
    <x v="80"/>
    <x v="1"/>
    <x v="22"/>
    <x v="0"/>
    <n v="29.52"/>
    <s v="Main Bank"/>
    <s v="Credit Card"/>
    <s v="Cinema"/>
  </r>
  <r>
    <s v="TXN101754"/>
    <x v="511"/>
    <x v="25"/>
    <x v="0"/>
    <x v="0"/>
    <x v="0"/>
    <n v="112.91"/>
    <s v="Main Bank"/>
    <s v="Cash"/>
    <s v="McDonald's"/>
  </r>
  <r>
    <s v="TXN100866"/>
    <x v="511"/>
    <x v="20"/>
    <x v="2"/>
    <x v="3"/>
    <x v="0"/>
    <n v="291.45"/>
    <s v="Main Bank"/>
    <s v="Bank Transfer"/>
    <s v="Amazon"/>
  </r>
  <r>
    <s v="TXN102865"/>
    <x v="511"/>
    <x v="45"/>
    <x v="6"/>
    <x v="12"/>
    <x v="0"/>
    <n v="148.94"/>
    <s v="Main Bank"/>
    <s v="Bank Transfer"/>
    <s v="Local Transit"/>
  </r>
  <r>
    <s v="TXN100856"/>
    <x v="511"/>
    <x v="6"/>
    <x v="0"/>
    <x v="1"/>
    <x v="0"/>
    <n v="39.99"/>
    <s v="Main Bank"/>
    <s v="Debit Card"/>
    <s v="McDonald's"/>
  </r>
  <r>
    <s v="TXN100315"/>
    <x v="511"/>
    <x v="67"/>
    <x v="3"/>
    <x v="6"/>
    <x v="1"/>
    <n v="698.32"/>
    <s v="Savings"/>
    <s v="Cash"/>
    <s v="Freelance Client"/>
  </r>
  <r>
    <s v="TXN102761"/>
    <x v="512"/>
    <x v="34"/>
    <x v="0"/>
    <x v="5"/>
    <x v="0"/>
    <n v="70.17"/>
    <s v="Main Bank"/>
    <s v="Debit Card"/>
    <s v="Local Restaurant"/>
  </r>
  <r>
    <s v="TXN100712"/>
    <x v="512"/>
    <x v="18"/>
    <x v="1"/>
    <x v="13"/>
    <x v="0"/>
    <n v="48.11"/>
    <s v="Savings"/>
    <s v="Direct Debit"/>
    <s v="Netflix"/>
  </r>
  <r>
    <s v="TXN100204"/>
    <x v="513"/>
    <x v="16"/>
    <x v="3"/>
    <x v="10"/>
    <x v="1"/>
    <n v="2579.36"/>
    <s v="Main Bank"/>
    <s v="Direct Debit"/>
    <s v="Employer"/>
  </r>
  <r>
    <s v="TXN100751"/>
    <x v="513"/>
    <x v="71"/>
    <x v="4"/>
    <x v="17"/>
    <x v="0"/>
    <n v="164.57"/>
    <s v="Main Bank"/>
    <s v="Debit Card"/>
    <s v="Vodafone"/>
  </r>
  <r>
    <s v="TXN100898"/>
    <x v="513"/>
    <x v="31"/>
    <x v="3"/>
    <x v="6"/>
    <x v="1"/>
    <n v="706.07"/>
    <s v="Main Bank"/>
    <s v="Bank Transfer"/>
    <s v="Employer"/>
  </r>
  <r>
    <s v="TXN101066"/>
    <x v="513"/>
    <x v="28"/>
    <x v="7"/>
    <x v="14"/>
    <x v="0"/>
    <n v="28.36"/>
    <s v="Savings"/>
    <s v="Bank Transfer"/>
    <s v="Pharmacy"/>
  </r>
  <r>
    <s v="TXN101556"/>
    <x v="513"/>
    <x v="54"/>
    <x v="0"/>
    <x v="5"/>
    <x v="0"/>
    <n v="50.83"/>
    <s v="Savings"/>
    <s v="Bank Transfer"/>
    <s v="Lidl"/>
  </r>
  <r>
    <s v="TXN101412"/>
    <x v="513"/>
    <x v="50"/>
    <x v="4"/>
    <x v="17"/>
    <x v="0"/>
    <n v="358.61"/>
    <s v="Revolut"/>
    <s v="Credit Card"/>
    <s v="Energy Provider"/>
  </r>
  <r>
    <s v="TXN102111"/>
    <x v="513"/>
    <x v="29"/>
    <x v="0"/>
    <x v="1"/>
    <x v="0"/>
    <n v="48.8"/>
    <s v="Main Bank"/>
    <s v="Debit Card"/>
    <s v="REWE"/>
  </r>
  <r>
    <s v="TXN103351"/>
    <x v="514"/>
    <x v="29"/>
    <x v="0"/>
    <x v="1"/>
    <x v="0"/>
    <n v="118.39"/>
    <s v="Main Bank"/>
    <s v="Debit Card"/>
    <s v="REWE"/>
  </r>
  <r>
    <s v="TXN102449"/>
    <x v="514"/>
    <x v="75"/>
    <x v="4"/>
    <x v="7"/>
    <x v="0"/>
    <n v="685.57"/>
    <s v="Main Bank"/>
    <s v="Debit Card"/>
    <s v="Energy Provider"/>
  </r>
  <r>
    <s v="TXN100273"/>
    <x v="514"/>
    <x v="31"/>
    <x v="3"/>
    <x v="6"/>
    <x v="1"/>
    <n v="676.84"/>
    <s v="Main Bank"/>
    <s v="Bank Transfer"/>
    <s v="Employer"/>
  </r>
  <r>
    <s v="TXN102324"/>
    <x v="514"/>
    <x v="54"/>
    <x v="0"/>
    <x v="5"/>
    <x v="0"/>
    <n v="38.39"/>
    <s v="Revolut"/>
    <s v="Credit Card"/>
    <s v="Lidl"/>
  </r>
  <r>
    <s v="TXN101085"/>
    <x v="514"/>
    <x v="55"/>
    <x v="3"/>
    <x v="8"/>
    <x v="1"/>
    <n v="300.39999999999998"/>
    <s v="Main Bank"/>
    <s v="Credit Card"/>
    <s v="Employer Bonus"/>
  </r>
  <r>
    <s v="TXN101278"/>
    <x v="514"/>
    <x v="72"/>
    <x v="3"/>
    <x v="8"/>
    <x v="1"/>
    <n v="334.02"/>
    <s v="Revolut"/>
    <s v="Bank Transfer"/>
    <s v="Employer"/>
  </r>
  <r>
    <s v="TXN102728"/>
    <x v="514"/>
    <x v="2"/>
    <x v="0"/>
    <x v="1"/>
    <x v="0"/>
    <n v="52.25"/>
    <s v="Main Bank"/>
    <s v="Bank Transfer"/>
    <s v="Lidl"/>
  </r>
  <r>
    <s v="TXN102433"/>
    <x v="515"/>
    <x v="31"/>
    <x v="3"/>
    <x v="6"/>
    <x v="1"/>
    <n v="727.3"/>
    <s v="Main Bank"/>
    <s v="Debit Card"/>
    <s v="Employer"/>
  </r>
  <r>
    <s v="TXN102846"/>
    <x v="515"/>
    <x v="78"/>
    <x v="6"/>
    <x v="15"/>
    <x v="0"/>
    <n v="99.77"/>
    <s v="Revolut"/>
    <s v="Credit Card"/>
    <s v="Auto Service"/>
  </r>
  <r>
    <s v="TXN101815"/>
    <x v="515"/>
    <x v="63"/>
    <x v="4"/>
    <x v="19"/>
    <x v="0"/>
    <n v="355.44"/>
    <s v="Main Bank"/>
    <s v="Debit Card"/>
    <s v="Vodafone"/>
  </r>
  <r>
    <s v="TXN101289"/>
    <x v="515"/>
    <x v="71"/>
    <x v="4"/>
    <x v="17"/>
    <x v="0"/>
    <n v="140.52000000000001"/>
    <s v="Main Bank"/>
    <s v="Debit Card"/>
    <s v="Vodafone"/>
  </r>
  <r>
    <s v="TXN101301"/>
    <x v="516"/>
    <x v="38"/>
    <x v="4"/>
    <x v="7"/>
    <x v="0"/>
    <n v="414.22"/>
    <s v="Main Bank"/>
    <s v="Debit Card"/>
    <s v="Vodafone"/>
  </r>
  <r>
    <s v="TXN103225"/>
    <x v="516"/>
    <x v="21"/>
    <x v="0"/>
    <x v="1"/>
    <x v="0"/>
    <n v="79.89"/>
    <s v="Main Bank"/>
    <s v="Debit Card"/>
    <s v="EDEKA"/>
  </r>
  <r>
    <s v="TXN101346"/>
    <x v="516"/>
    <x v="78"/>
    <x v="6"/>
    <x v="15"/>
    <x v="0"/>
    <n v="111.64"/>
    <s v="Main Bank"/>
    <s v="Debit Card"/>
    <s v="Auto Service"/>
  </r>
  <r>
    <s v="TXN100085"/>
    <x v="516"/>
    <x v="29"/>
    <x v="0"/>
    <x v="1"/>
    <x v="0"/>
    <n v="43.04"/>
    <s v="Main Bank"/>
    <s v="Debit Card"/>
    <s v="REWE"/>
  </r>
  <r>
    <s v="TXN102600"/>
    <x v="516"/>
    <x v="81"/>
    <x v="0"/>
    <x v="5"/>
    <x v="0"/>
    <n v="25.84"/>
    <s v="Revolut"/>
    <s v="Debit Card"/>
    <s v="REWE"/>
  </r>
  <r>
    <s v="TXN100325"/>
    <x v="516"/>
    <x v="13"/>
    <x v="3"/>
    <x v="10"/>
    <x v="1"/>
    <n v="2180.58"/>
    <s v="Main Bank"/>
    <s v="Debit Card"/>
    <s v="Freelance Client"/>
  </r>
  <r>
    <s v="TXN100360"/>
    <x v="517"/>
    <x v="66"/>
    <x v="2"/>
    <x v="3"/>
    <x v="0"/>
    <n v="130.83000000000001"/>
    <s v="Revolut"/>
    <s v="Debit Card"/>
    <s v="MediaMarkt"/>
  </r>
  <r>
    <s v="TXN103304"/>
    <x v="517"/>
    <x v="23"/>
    <x v="6"/>
    <x v="15"/>
    <x v="0"/>
    <n v="34.380000000000003"/>
    <s v="Main Bank"/>
    <s v="Direct Debit"/>
    <s v="Shell"/>
  </r>
  <r>
    <s v="TXN100847"/>
    <x v="517"/>
    <x v="63"/>
    <x v="4"/>
    <x v="19"/>
    <x v="0"/>
    <n v="141.07"/>
    <s v="Revolut"/>
    <s v="Cash"/>
    <s v="Vodafone"/>
  </r>
  <r>
    <s v="TXN101204"/>
    <x v="517"/>
    <x v="30"/>
    <x v="6"/>
    <x v="11"/>
    <x v="0"/>
    <n v="117.33"/>
    <s v="Main Bank"/>
    <s v="Debit Card"/>
    <s v="DB"/>
  </r>
  <r>
    <s v="TXN101125"/>
    <x v="517"/>
    <x v="61"/>
    <x v="1"/>
    <x v="2"/>
    <x v="0"/>
    <n v="50.52"/>
    <s v="Revolut"/>
    <s v="Debit Card"/>
    <s v="Steam"/>
  </r>
  <r>
    <s v="TXN101722"/>
    <x v="518"/>
    <x v="81"/>
    <x v="0"/>
    <x v="5"/>
    <x v="0"/>
    <n v="27.89"/>
    <s v="Savings"/>
    <s v="Debit Card"/>
    <s v="REWE"/>
  </r>
  <r>
    <s v="TXN100061"/>
    <x v="519"/>
    <x v="37"/>
    <x v="6"/>
    <x v="12"/>
    <x v="0"/>
    <n v="38.18"/>
    <s v="Main Bank"/>
    <s v="Bank Transfer"/>
    <s v="Shell"/>
  </r>
  <r>
    <s v="TXN101661"/>
    <x v="519"/>
    <x v="35"/>
    <x v="1"/>
    <x v="13"/>
    <x v="0"/>
    <n v="41.3"/>
    <s v="Main Bank"/>
    <s v="Bank Transfer"/>
    <s v="Steam"/>
  </r>
  <r>
    <s v="TXN100171"/>
    <x v="519"/>
    <x v="77"/>
    <x v="1"/>
    <x v="22"/>
    <x v="0"/>
    <n v="30.45"/>
    <s v="Revolut"/>
    <s v="Credit Card"/>
    <s v="Steam"/>
  </r>
  <r>
    <s v="TXN102231"/>
    <x v="519"/>
    <x v="84"/>
    <x v="7"/>
    <x v="21"/>
    <x v="0"/>
    <n v="35.67"/>
    <s v="Revolut"/>
    <s v="Debit Card"/>
    <s v="Gym"/>
  </r>
  <r>
    <s v="TXN101417"/>
    <x v="520"/>
    <x v="38"/>
    <x v="4"/>
    <x v="7"/>
    <x v="0"/>
    <n v="169.46"/>
    <s v="Revolut"/>
    <s v="Bank Transfer"/>
    <s v="Vodafone"/>
  </r>
  <r>
    <s v="TXN102800"/>
    <x v="520"/>
    <x v="8"/>
    <x v="0"/>
    <x v="5"/>
    <x v="0"/>
    <n v="28.81"/>
    <s v="Main Bank"/>
    <s v="Debit Card"/>
    <s v="McDonald's"/>
  </r>
  <r>
    <s v="TXN102498"/>
    <x v="520"/>
    <x v="55"/>
    <x v="3"/>
    <x v="8"/>
    <x v="1"/>
    <n v="363.39"/>
    <s v="Revolut"/>
    <s v="Direct Debit"/>
    <s v="Employer Bonus"/>
  </r>
  <r>
    <s v="TXN102348"/>
    <x v="520"/>
    <x v="23"/>
    <x v="6"/>
    <x v="15"/>
    <x v="0"/>
    <n v="55.77"/>
    <s v="Main Bank"/>
    <s v="Debit Card"/>
    <s v="Shell"/>
  </r>
  <r>
    <s v="TXN102951"/>
    <x v="520"/>
    <x v="16"/>
    <x v="3"/>
    <x v="10"/>
    <x v="1"/>
    <n v="2258.9499999999998"/>
    <s v="Main Bank"/>
    <s v="Credit Card"/>
    <s v="Employer"/>
  </r>
  <r>
    <s v="TXN100619"/>
    <x v="521"/>
    <x v="11"/>
    <x v="3"/>
    <x v="8"/>
    <x v="1"/>
    <n v="351.95"/>
    <s v="Revolut"/>
    <s v="Debit Card"/>
    <s v="Freelance Client"/>
  </r>
  <r>
    <s v="TXN100027"/>
    <x v="521"/>
    <x v="54"/>
    <x v="0"/>
    <x v="5"/>
    <x v="0"/>
    <n v="94.41"/>
    <s v="Revolut"/>
    <s v="Direct Debit"/>
    <s v="Lidl"/>
  </r>
  <r>
    <s v="TXN101449"/>
    <x v="522"/>
    <x v="31"/>
    <x v="3"/>
    <x v="6"/>
    <x v="1"/>
    <n v="663.83"/>
    <s v="Main Bank"/>
    <s v="Credit Card"/>
    <s v="Employer"/>
  </r>
  <r>
    <s v="TXN100943"/>
    <x v="522"/>
    <x v="18"/>
    <x v="1"/>
    <x v="13"/>
    <x v="0"/>
    <n v="47.14"/>
    <s v="Main Bank"/>
    <s v="Direct Debit"/>
    <s v="Netflix"/>
  </r>
  <r>
    <s v="TXN101768"/>
    <x v="522"/>
    <x v="68"/>
    <x v="2"/>
    <x v="4"/>
    <x v="0"/>
    <n v="85.56"/>
    <s v="Main Bank"/>
    <s v="Debit Card"/>
    <s v="MediaMarkt"/>
  </r>
  <r>
    <s v="TXN102222"/>
    <x v="522"/>
    <x v="20"/>
    <x v="2"/>
    <x v="3"/>
    <x v="0"/>
    <n v="65.099999999999994"/>
    <s v="Revolut"/>
    <s v="Debit Card"/>
    <s v="Amazon"/>
  </r>
  <r>
    <s v="TXN103255"/>
    <x v="522"/>
    <x v="15"/>
    <x v="6"/>
    <x v="11"/>
    <x v="0"/>
    <n v="43.5"/>
    <s v="Main Bank"/>
    <s v="Debit Card"/>
    <s v="Auto Service"/>
  </r>
  <r>
    <s v="TXN101012"/>
    <x v="522"/>
    <x v="55"/>
    <x v="3"/>
    <x v="8"/>
    <x v="1"/>
    <n v="421.31"/>
    <s v="Main Bank"/>
    <s v="Debit Card"/>
    <s v="Employer Bonus"/>
  </r>
  <r>
    <s v="TXN100726"/>
    <x v="522"/>
    <x v="16"/>
    <x v="3"/>
    <x v="10"/>
    <x v="1"/>
    <n v="2589.12"/>
    <s v="Main Bank"/>
    <s v="Debit Card"/>
    <s v="Employer"/>
  </r>
  <r>
    <s v="TXN100346"/>
    <x v="522"/>
    <x v="65"/>
    <x v="1"/>
    <x v="2"/>
    <x v="0"/>
    <n v="61.81"/>
    <s v="Revolut"/>
    <s v="Bank Transfer"/>
    <s v="Netflix"/>
  </r>
  <r>
    <s v="TXN100140"/>
    <x v="522"/>
    <x v="72"/>
    <x v="3"/>
    <x v="8"/>
    <x v="1"/>
    <n v="373.87"/>
    <s v="Savings"/>
    <s v="Debit Card"/>
    <s v="Employer"/>
  </r>
  <r>
    <s v="TXN102512"/>
    <x v="522"/>
    <x v="31"/>
    <x v="3"/>
    <x v="6"/>
    <x v="1"/>
    <n v="799.76"/>
    <s v="Revolut"/>
    <s v="Debit Card"/>
    <s v="Employer"/>
  </r>
  <r>
    <s v="TXN100798"/>
    <x v="522"/>
    <x v="57"/>
    <x v="2"/>
    <x v="3"/>
    <x v="0"/>
    <n v="43.7"/>
    <s v="Revolut"/>
    <s v="Debit Card"/>
    <s v="IKEA"/>
  </r>
  <r>
    <s v="TXN101915"/>
    <x v="522"/>
    <x v="66"/>
    <x v="2"/>
    <x v="3"/>
    <x v="0"/>
    <n v="65.28"/>
    <s v="Revolut"/>
    <s v="Credit Card"/>
    <s v="MediaMarkt"/>
  </r>
  <r>
    <s v="TXN101249"/>
    <x v="523"/>
    <x v="16"/>
    <x v="3"/>
    <x v="10"/>
    <x v="1"/>
    <n v="2832.15"/>
    <s v="Revolut"/>
    <s v="Bank Transfer"/>
    <s v="Employer"/>
  </r>
  <r>
    <s v="TXN100423"/>
    <x v="523"/>
    <x v="43"/>
    <x v="4"/>
    <x v="17"/>
    <x v="0"/>
    <n v="119.91"/>
    <s v="Main Bank"/>
    <s v="Debit Card"/>
    <s v="Landlord"/>
  </r>
  <r>
    <s v="TXN102712"/>
    <x v="523"/>
    <x v="62"/>
    <x v="2"/>
    <x v="4"/>
    <x v="0"/>
    <n v="130.38"/>
    <s v="Main Bank"/>
    <s v="Credit Card"/>
    <s v="IKEA"/>
  </r>
  <r>
    <s v="TXN103233"/>
    <x v="523"/>
    <x v="34"/>
    <x v="0"/>
    <x v="5"/>
    <x v="0"/>
    <n v="80.63"/>
    <s v="Main Bank"/>
    <s v="Credit Card"/>
    <s v="Local Restaurant"/>
  </r>
  <r>
    <s v="TXN100094"/>
    <x v="523"/>
    <x v="66"/>
    <x v="2"/>
    <x v="3"/>
    <x v="0"/>
    <n v="48.82"/>
    <s v="Main Bank"/>
    <s v="Credit Card"/>
    <s v="MediaMarkt"/>
  </r>
  <r>
    <s v="TXN100212"/>
    <x v="524"/>
    <x v="84"/>
    <x v="7"/>
    <x v="21"/>
    <x v="0"/>
    <n v="75.959999999999994"/>
    <s v="Revolut"/>
    <s v="Credit Card"/>
    <s v="Gym"/>
  </r>
  <r>
    <s v="TXN100195"/>
    <x v="524"/>
    <x v="78"/>
    <x v="6"/>
    <x v="15"/>
    <x v="0"/>
    <n v="24.99"/>
    <s v="Main Bank"/>
    <s v="Credit Card"/>
    <s v="Auto Service"/>
  </r>
  <r>
    <s v="TXN102420"/>
    <x v="524"/>
    <x v="37"/>
    <x v="6"/>
    <x v="12"/>
    <x v="0"/>
    <n v="15.75"/>
    <s v="Revolut"/>
    <s v="Debit Card"/>
    <s v="Shell"/>
  </r>
  <r>
    <s v="TXN101953"/>
    <x v="524"/>
    <x v="49"/>
    <x v="1"/>
    <x v="13"/>
    <x v="0"/>
    <n v="57.99"/>
    <s v="Main Bank"/>
    <s v="Debit Card"/>
    <s v="Spotify"/>
  </r>
  <r>
    <s v="TXN102076"/>
    <x v="525"/>
    <x v="31"/>
    <x v="3"/>
    <x v="6"/>
    <x v="1"/>
    <n v="744.59"/>
    <s v="Main Bank"/>
    <s v="Debit Card"/>
    <s v="Employer"/>
  </r>
  <r>
    <s v="TXN102807"/>
    <x v="525"/>
    <x v="58"/>
    <x v="7"/>
    <x v="21"/>
    <x v="0"/>
    <n v="89.72"/>
    <s v="Main Bank"/>
    <s v="Bank Transfer"/>
    <s v="Doctor"/>
  </r>
  <r>
    <s v="TXN103356"/>
    <x v="525"/>
    <x v="75"/>
    <x v="4"/>
    <x v="7"/>
    <x v="0"/>
    <n v="607.45000000000005"/>
    <s v="Main Bank"/>
    <s v="Bank Transfer"/>
    <s v="Energy Provider"/>
  </r>
  <r>
    <s v="TXN102092"/>
    <x v="526"/>
    <x v="72"/>
    <x v="3"/>
    <x v="8"/>
    <x v="1"/>
    <n v="284.79000000000002"/>
    <s v="Revolut"/>
    <s v="Bank Transfer"/>
    <s v="Employer"/>
  </r>
  <r>
    <s v="TXN101114"/>
    <x v="526"/>
    <x v="66"/>
    <x v="2"/>
    <x v="3"/>
    <x v="0"/>
    <n v="93.5"/>
    <s v="Revolut"/>
    <s v="Bank Transfer"/>
    <s v="MediaMarkt"/>
  </r>
  <r>
    <s v="TXN101132"/>
    <x v="526"/>
    <x v="44"/>
    <x v="2"/>
    <x v="16"/>
    <x v="0"/>
    <n v="201.11"/>
    <s v="Main Bank"/>
    <s v="Debit Card"/>
    <s v="Zalando"/>
  </r>
  <r>
    <s v="TXN101108"/>
    <x v="526"/>
    <x v="70"/>
    <x v="7"/>
    <x v="18"/>
    <x v="0"/>
    <n v="47.53"/>
    <s v="Main Bank"/>
    <s v="Debit Card"/>
    <s v="Pharmacy"/>
  </r>
  <r>
    <s v="TXN102004"/>
    <x v="526"/>
    <x v="1"/>
    <x v="0"/>
    <x v="0"/>
    <x v="0"/>
    <n v="34.56"/>
    <s v="Main Bank"/>
    <s v="Debit Card"/>
    <s v="EDEKA"/>
  </r>
  <r>
    <s v="TXN100970"/>
    <x v="526"/>
    <x v="85"/>
    <x v="2"/>
    <x v="16"/>
    <x v="0"/>
    <n v="289.22000000000003"/>
    <s v="Main Bank"/>
    <s v="Direct Debit"/>
    <s v="IKEA"/>
  </r>
  <r>
    <s v="TXN102326"/>
    <x v="526"/>
    <x v="31"/>
    <x v="3"/>
    <x v="6"/>
    <x v="1"/>
    <n v="786.22"/>
    <s v="Savings"/>
    <s v="Bank Transfer"/>
    <s v="Employer"/>
  </r>
  <r>
    <s v="TXN102781"/>
    <x v="527"/>
    <x v="43"/>
    <x v="4"/>
    <x v="17"/>
    <x v="0"/>
    <n v="224.31"/>
    <s v="Main Bank"/>
    <s v="Credit Card"/>
    <s v="Landlord"/>
  </r>
  <r>
    <s v="TXN102780"/>
    <x v="527"/>
    <x v="8"/>
    <x v="0"/>
    <x v="5"/>
    <x v="0"/>
    <n v="33.799999999999997"/>
    <s v="Main Bank"/>
    <s v="Bank Transfer"/>
    <s v="McDonald's"/>
  </r>
  <r>
    <s v="TXN102567"/>
    <x v="527"/>
    <x v="2"/>
    <x v="0"/>
    <x v="1"/>
    <x v="0"/>
    <n v="16.260000000000002"/>
    <s v="Main Bank"/>
    <s v="Bank Transfer"/>
    <s v="Lidl"/>
  </r>
  <r>
    <s v="TXN103292"/>
    <x v="527"/>
    <x v="72"/>
    <x v="3"/>
    <x v="8"/>
    <x v="1"/>
    <n v="401.79"/>
    <s v="Main Bank"/>
    <s v="Bank Transfer"/>
    <s v="Employer"/>
  </r>
  <r>
    <s v="TXN102516"/>
    <x v="527"/>
    <x v="9"/>
    <x v="3"/>
    <x v="6"/>
    <x v="1"/>
    <n v="778.58"/>
    <s v="Savings"/>
    <s v="Debit Card"/>
    <s v="Employer Bonus"/>
  </r>
  <r>
    <s v="TXN102677"/>
    <x v="528"/>
    <x v="15"/>
    <x v="6"/>
    <x v="11"/>
    <x v="0"/>
    <n v="46.75"/>
    <s v="Revolut"/>
    <s v="Direct Debit"/>
    <s v="Auto Service"/>
  </r>
  <r>
    <s v="TXN101244"/>
    <x v="528"/>
    <x v="55"/>
    <x v="3"/>
    <x v="8"/>
    <x v="1"/>
    <n v="401.59"/>
    <s v="Main Bank"/>
    <s v="Cash"/>
    <s v="Employer Bonus"/>
  </r>
  <r>
    <s v="TXN100846"/>
    <x v="528"/>
    <x v="88"/>
    <x v="6"/>
    <x v="11"/>
    <x v="0"/>
    <n v="32.39"/>
    <s v="Savings"/>
    <s v="Bank Transfer"/>
    <s v="Shell"/>
  </r>
  <r>
    <s v="TXN100297"/>
    <x v="528"/>
    <x v="92"/>
    <x v="5"/>
    <x v="20"/>
    <x v="0"/>
    <n v="217.62"/>
    <s v="Revolut"/>
    <s v="Bank Transfer"/>
    <s v="Travel Agency"/>
  </r>
  <r>
    <s v="TXN103009"/>
    <x v="528"/>
    <x v="77"/>
    <x v="1"/>
    <x v="22"/>
    <x v="0"/>
    <n v="17.13"/>
    <s v="Main Bank"/>
    <s v="Debit Card"/>
    <s v="Steam"/>
  </r>
  <r>
    <s v="TXN100408"/>
    <x v="528"/>
    <x v="71"/>
    <x v="4"/>
    <x v="17"/>
    <x v="0"/>
    <n v="125.27"/>
    <s v="Main Bank"/>
    <s v="Debit Card"/>
    <s v="Vodafone"/>
  </r>
  <r>
    <s v="TXN101091"/>
    <x v="528"/>
    <x v="72"/>
    <x v="3"/>
    <x v="8"/>
    <x v="1"/>
    <n v="305.62"/>
    <s v="Revolut"/>
    <s v="Debit Card"/>
    <s v="Employer"/>
  </r>
  <r>
    <s v="TXN102758"/>
    <x v="529"/>
    <x v="11"/>
    <x v="3"/>
    <x v="8"/>
    <x v="1"/>
    <n v="384.31"/>
    <s v="Savings"/>
    <s v="Debit Card"/>
    <s v="Freelance Client"/>
  </r>
  <r>
    <s v="TXN100708"/>
    <x v="529"/>
    <x v="9"/>
    <x v="3"/>
    <x v="6"/>
    <x v="1"/>
    <n v="756.14"/>
    <s v="Main Bank"/>
    <s v="Credit Card"/>
    <s v="Employer Bonus"/>
  </r>
  <r>
    <s v="TXN100437"/>
    <x v="529"/>
    <x v="71"/>
    <x v="4"/>
    <x v="17"/>
    <x v="0"/>
    <n v="646.29"/>
    <s v="Main Bank"/>
    <s v="Bank Transfer"/>
    <s v="Vodafone"/>
  </r>
  <r>
    <s v="TXN100078"/>
    <x v="529"/>
    <x v="38"/>
    <x v="4"/>
    <x v="7"/>
    <x v="0"/>
    <n v="210.22"/>
    <s v="Main Bank"/>
    <s v="Debit Card"/>
    <s v="Vodafone"/>
  </r>
  <r>
    <s v="TXN102682"/>
    <x v="530"/>
    <x v="16"/>
    <x v="3"/>
    <x v="10"/>
    <x v="1"/>
    <n v="2804.21"/>
    <s v="Main Bank"/>
    <s v="Bank Transfer"/>
    <s v="Employer"/>
  </r>
  <r>
    <s v="TXN103075"/>
    <x v="530"/>
    <x v="3"/>
    <x v="1"/>
    <x v="2"/>
    <x v="0"/>
    <n v="56.17"/>
    <s v="Savings"/>
    <s v="Debit Card"/>
    <s v="Spotify"/>
  </r>
  <r>
    <s v="TXN101309"/>
    <x v="530"/>
    <x v="42"/>
    <x v="6"/>
    <x v="15"/>
    <x v="0"/>
    <n v="60.67"/>
    <s v="Revolut"/>
    <s v="Direct Debit"/>
    <s v="Local Transit"/>
  </r>
  <r>
    <s v="TXN102970"/>
    <x v="530"/>
    <x v="57"/>
    <x v="2"/>
    <x v="3"/>
    <x v="0"/>
    <n v="65.73"/>
    <s v="Main Bank"/>
    <s v="Credit Card"/>
    <s v="IKEA"/>
  </r>
  <r>
    <s v="TXN102295"/>
    <x v="530"/>
    <x v="47"/>
    <x v="4"/>
    <x v="19"/>
    <x v="0"/>
    <n v="603.33000000000004"/>
    <s v="Main Bank"/>
    <s v="Credit Card"/>
    <s v="Landlord"/>
  </r>
  <r>
    <s v="TXN102483"/>
    <x v="530"/>
    <x v="41"/>
    <x v="3"/>
    <x v="10"/>
    <x v="1"/>
    <n v="2495.83"/>
    <s v="Main Bank"/>
    <s v="Debit Card"/>
    <s v="Employer Bonus"/>
  </r>
  <r>
    <s v="TXN101758"/>
    <x v="530"/>
    <x v="20"/>
    <x v="2"/>
    <x v="3"/>
    <x v="0"/>
    <n v="60.49"/>
    <s v="Revolut"/>
    <s v="Debit Card"/>
    <s v="Amazon"/>
  </r>
  <r>
    <s v="TXN103228"/>
    <x v="531"/>
    <x v="45"/>
    <x v="6"/>
    <x v="12"/>
    <x v="0"/>
    <n v="86.89"/>
    <s v="Revolut"/>
    <s v="Credit Card"/>
    <s v="Local Transit"/>
  </r>
  <r>
    <s v="TXN102891"/>
    <x v="531"/>
    <x v="40"/>
    <x v="6"/>
    <x v="12"/>
    <x v="0"/>
    <n v="18.46"/>
    <s v="Main Bank"/>
    <s v="Debit Card"/>
    <s v="DB"/>
  </r>
  <r>
    <s v="TXN100604"/>
    <x v="531"/>
    <x v="50"/>
    <x v="4"/>
    <x v="17"/>
    <x v="0"/>
    <n v="616.46"/>
    <s v="Main Bank"/>
    <s v="Debit Card"/>
    <s v="Energy Provider"/>
  </r>
  <r>
    <s v="TXN100134"/>
    <x v="531"/>
    <x v="88"/>
    <x v="6"/>
    <x v="11"/>
    <x v="0"/>
    <n v="80.95"/>
    <s v="Savings"/>
    <s v="Credit Card"/>
    <s v="Shell"/>
  </r>
  <r>
    <s v="TXN103176"/>
    <x v="532"/>
    <x v="7"/>
    <x v="0"/>
    <x v="0"/>
    <x v="0"/>
    <n v="180"/>
    <s v="Main Bank"/>
    <s v="Credit Card"/>
    <s v="Local Restaurant"/>
  </r>
  <r>
    <s v="TXN102787"/>
    <x v="532"/>
    <x v="31"/>
    <x v="3"/>
    <x v="6"/>
    <x v="1"/>
    <n v="593.21"/>
    <s v="Main Bank"/>
    <s v="Debit Card"/>
    <s v="Employer"/>
  </r>
  <r>
    <s v="TXN101135"/>
    <x v="532"/>
    <x v="32"/>
    <x v="1"/>
    <x v="2"/>
    <x v="0"/>
    <n v="20.92"/>
    <s v="Main Bank"/>
    <s v="Debit Card"/>
    <s v="Cinema"/>
  </r>
  <r>
    <s v="TXN103363"/>
    <x v="532"/>
    <x v="70"/>
    <x v="7"/>
    <x v="18"/>
    <x v="0"/>
    <n v="51.88"/>
    <s v="Main Bank"/>
    <s v="Debit Card"/>
    <s v="Pharmacy"/>
  </r>
  <r>
    <s v="TXN101457"/>
    <x v="532"/>
    <x v="77"/>
    <x v="1"/>
    <x v="22"/>
    <x v="0"/>
    <n v="81.55"/>
    <s v="Revolut"/>
    <s v="Debit Card"/>
    <s v="Steam"/>
  </r>
  <r>
    <s v="TXN100351"/>
    <x v="532"/>
    <x v="62"/>
    <x v="2"/>
    <x v="4"/>
    <x v="0"/>
    <n v="49.32"/>
    <s v="Main Bank"/>
    <s v="Debit Card"/>
    <s v="IKEA"/>
  </r>
  <r>
    <s v="TXN101115"/>
    <x v="533"/>
    <x v="65"/>
    <x v="1"/>
    <x v="2"/>
    <x v="0"/>
    <n v="29.02"/>
    <s v="Main Bank"/>
    <s v="Cash"/>
    <s v="Netflix"/>
  </r>
  <r>
    <s v="TXN100289"/>
    <x v="533"/>
    <x v="54"/>
    <x v="0"/>
    <x v="5"/>
    <x v="0"/>
    <n v="55.71"/>
    <s v="Main Bank"/>
    <s v="Bank Transfer"/>
    <s v="Lidl"/>
  </r>
  <r>
    <s v="TXN101724"/>
    <x v="533"/>
    <x v="71"/>
    <x v="4"/>
    <x v="17"/>
    <x v="0"/>
    <n v="197.02"/>
    <s v="Main Bank"/>
    <s v="Credit Card"/>
    <s v="Vodafone"/>
  </r>
  <r>
    <s v="TXN100742"/>
    <x v="534"/>
    <x v="29"/>
    <x v="0"/>
    <x v="1"/>
    <x v="0"/>
    <n v="23.54"/>
    <s v="Revolut"/>
    <s v="Bank Transfer"/>
    <s v="REWE"/>
  </r>
  <r>
    <s v="TXN102968"/>
    <x v="534"/>
    <x v="85"/>
    <x v="2"/>
    <x v="16"/>
    <x v="0"/>
    <n v="238.08"/>
    <s v="Main Bank"/>
    <s v="Credit Card"/>
    <s v="IKEA"/>
  </r>
  <r>
    <s v="TXN102523"/>
    <x v="535"/>
    <x v="25"/>
    <x v="0"/>
    <x v="0"/>
    <x v="0"/>
    <n v="43.17"/>
    <s v="Main Bank"/>
    <s v="Cash"/>
    <s v="McDonald's"/>
  </r>
  <r>
    <s v="TXN102651"/>
    <x v="535"/>
    <x v="34"/>
    <x v="0"/>
    <x v="5"/>
    <x v="0"/>
    <n v="21.53"/>
    <s v="Main Bank"/>
    <s v="Debit Card"/>
    <s v="Local Restaurant"/>
  </r>
  <r>
    <s v="TXN102777"/>
    <x v="535"/>
    <x v="43"/>
    <x v="4"/>
    <x v="17"/>
    <x v="0"/>
    <n v="422.71"/>
    <s v="Main Bank"/>
    <s v="Bank Transfer"/>
    <s v="Landlord"/>
  </r>
  <r>
    <s v="TXN102935"/>
    <x v="535"/>
    <x v="64"/>
    <x v="7"/>
    <x v="21"/>
    <x v="0"/>
    <n v="26.61"/>
    <s v="Savings"/>
    <s v="Bank Transfer"/>
    <s v="Pharmacy"/>
  </r>
  <r>
    <s v="TXN100925"/>
    <x v="535"/>
    <x v="37"/>
    <x v="6"/>
    <x v="12"/>
    <x v="0"/>
    <n v="50.87"/>
    <s v="Main Bank"/>
    <s v="Bank Transfer"/>
    <s v="Shell"/>
  </r>
  <r>
    <s v="TXN102585"/>
    <x v="536"/>
    <x v="33"/>
    <x v="2"/>
    <x v="16"/>
    <x v="0"/>
    <n v="113.2"/>
    <s v="Savings"/>
    <s v="Credit Card"/>
    <s v="Amazon"/>
  </r>
  <r>
    <s v="TXN103410"/>
    <x v="536"/>
    <x v="43"/>
    <x v="4"/>
    <x v="17"/>
    <x v="0"/>
    <n v="103.82"/>
    <s v="Revolut"/>
    <s v="Cash"/>
    <s v="Landlord"/>
  </r>
  <r>
    <s v="TXN103234"/>
    <x v="536"/>
    <x v="47"/>
    <x v="4"/>
    <x v="19"/>
    <x v="0"/>
    <n v="289.77"/>
    <s v="Revolut"/>
    <s v="Bank Transfer"/>
    <s v="Landlord"/>
  </r>
  <r>
    <s v="TXN102208"/>
    <x v="536"/>
    <x v="9"/>
    <x v="3"/>
    <x v="6"/>
    <x v="1"/>
    <n v="676.98"/>
    <s v="Main Bank"/>
    <s v="Credit Card"/>
    <s v="Employer Bonus"/>
  </r>
  <r>
    <s v="TXN102674"/>
    <x v="537"/>
    <x v="26"/>
    <x v="0"/>
    <x v="1"/>
    <x v="0"/>
    <n v="12.59"/>
    <s v="Main Bank"/>
    <s v="Debit Card"/>
    <s v="Local Restaurant"/>
  </r>
  <r>
    <s v="TXN100768"/>
    <x v="537"/>
    <x v="55"/>
    <x v="3"/>
    <x v="8"/>
    <x v="1"/>
    <n v="391.45"/>
    <s v="Main Bank"/>
    <s v="Bank Transfer"/>
    <s v="Employer Bonus"/>
  </r>
  <r>
    <s v="TXN102272"/>
    <x v="537"/>
    <x v="23"/>
    <x v="6"/>
    <x v="15"/>
    <x v="0"/>
    <n v="17.72"/>
    <s v="Revolut"/>
    <s v="Debit Card"/>
    <s v="Shell"/>
  </r>
  <r>
    <s v="TXN103477"/>
    <x v="537"/>
    <x v="55"/>
    <x v="3"/>
    <x v="8"/>
    <x v="1"/>
    <n v="346.87"/>
    <s v="Main Bank"/>
    <s v="Debit Card"/>
    <s v="Employer Bonus"/>
  </r>
  <r>
    <s v="TXN100529"/>
    <x v="537"/>
    <x v="43"/>
    <x v="4"/>
    <x v="17"/>
    <x v="0"/>
    <n v="374.71"/>
    <s v="Main Bank"/>
    <s v="Bank Transfer"/>
    <s v="Landlord"/>
  </r>
  <r>
    <s v="TXN101735"/>
    <x v="537"/>
    <x v="48"/>
    <x v="0"/>
    <x v="5"/>
    <x v="0"/>
    <n v="92.5"/>
    <s v="Revolut"/>
    <s v="Debit Card"/>
    <s v="EDEKA"/>
  </r>
  <r>
    <s v="TXN102520"/>
    <x v="538"/>
    <x v="19"/>
    <x v="7"/>
    <x v="14"/>
    <x v="0"/>
    <n v="87.16"/>
    <s v="Main Bank"/>
    <s v="Debit Card"/>
    <s v="Gym"/>
  </r>
  <r>
    <s v="TXN101684"/>
    <x v="538"/>
    <x v="67"/>
    <x v="3"/>
    <x v="6"/>
    <x v="1"/>
    <n v="803.4"/>
    <s v="Revolut"/>
    <s v="Direct Debit"/>
    <s v="Freelance Client"/>
  </r>
  <r>
    <s v="TXN100228"/>
    <x v="538"/>
    <x v="42"/>
    <x v="6"/>
    <x v="15"/>
    <x v="0"/>
    <n v="23.44"/>
    <s v="Main Bank"/>
    <s v="Direct Debit"/>
    <s v="Local Transit"/>
  </r>
  <r>
    <s v="TXN101495"/>
    <x v="538"/>
    <x v="32"/>
    <x v="1"/>
    <x v="2"/>
    <x v="0"/>
    <n v="23.71"/>
    <s v="Main Bank"/>
    <s v="Credit Card"/>
    <s v="Cinema"/>
  </r>
  <r>
    <s v="TXN101611"/>
    <x v="538"/>
    <x v="55"/>
    <x v="3"/>
    <x v="8"/>
    <x v="1"/>
    <n v="391.59"/>
    <s v="Savings"/>
    <s v="Bank Transfer"/>
    <s v="Employer Bonus"/>
  </r>
  <r>
    <s v="TXN102242"/>
    <x v="538"/>
    <x v="10"/>
    <x v="4"/>
    <x v="7"/>
    <x v="0"/>
    <n v="950"/>
    <s v="Main Bank"/>
    <s v="Bank Transfer"/>
    <s v="Landlord"/>
  </r>
  <r>
    <s v="TXN102178"/>
    <x v="539"/>
    <x v="65"/>
    <x v="1"/>
    <x v="2"/>
    <x v="0"/>
    <n v="56.55"/>
    <s v="Revolut"/>
    <s v="Debit Card"/>
    <s v="Netflix"/>
  </r>
  <r>
    <s v="TXN101425"/>
    <x v="539"/>
    <x v="67"/>
    <x v="3"/>
    <x v="6"/>
    <x v="1"/>
    <n v="810.32"/>
    <s v="Main Bank"/>
    <s v="Direct Debit"/>
    <s v="Freelance Client"/>
  </r>
  <r>
    <s v="TXN101512"/>
    <x v="539"/>
    <x v="82"/>
    <x v="7"/>
    <x v="18"/>
    <x v="0"/>
    <n v="59.24"/>
    <s v="Revolut"/>
    <s v="Debit Card"/>
    <s v="Doctor"/>
  </r>
  <r>
    <s v="TXN100815"/>
    <x v="539"/>
    <x v="16"/>
    <x v="3"/>
    <x v="10"/>
    <x v="1"/>
    <n v="2504.86"/>
    <s v="Main Bank"/>
    <s v="Credit Card"/>
    <s v="Employer"/>
  </r>
  <r>
    <s v="TXN100611"/>
    <x v="539"/>
    <x v="53"/>
    <x v="4"/>
    <x v="19"/>
    <x v="0"/>
    <n v="247.65"/>
    <s v="Main Bank"/>
    <s v="Bank Transfer"/>
    <s v="Energy Provider"/>
  </r>
  <r>
    <s v="TXN103030"/>
    <x v="540"/>
    <x v="61"/>
    <x v="1"/>
    <x v="2"/>
    <x v="0"/>
    <n v="46.8"/>
    <s v="Savings"/>
    <s v="Bank Transfer"/>
    <s v="Steam"/>
  </r>
  <r>
    <s v="TXN102960"/>
    <x v="540"/>
    <x v="55"/>
    <x v="3"/>
    <x v="8"/>
    <x v="1"/>
    <n v="333.34"/>
    <s v="Revolut"/>
    <s v="Credit Card"/>
    <s v="Employer Bonus"/>
  </r>
  <r>
    <s v="TXN101438"/>
    <x v="540"/>
    <x v="70"/>
    <x v="7"/>
    <x v="18"/>
    <x v="0"/>
    <n v="39.4"/>
    <s v="Revolut"/>
    <s v="Credit Card"/>
    <s v="Pharmacy"/>
  </r>
  <r>
    <s v="TXN103364"/>
    <x v="540"/>
    <x v="54"/>
    <x v="0"/>
    <x v="5"/>
    <x v="0"/>
    <n v="117.7"/>
    <s v="Revolut"/>
    <s v="Bank Transfer"/>
    <s v="Lidl"/>
  </r>
  <r>
    <s v="TXN101643"/>
    <x v="540"/>
    <x v="57"/>
    <x v="2"/>
    <x v="3"/>
    <x v="0"/>
    <n v="134.13999999999999"/>
    <s v="Revolut"/>
    <s v="Credit Card"/>
    <s v="IKEA"/>
  </r>
  <r>
    <s v="TXN101981"/>
    <x v="541"/>
    <x v="7"/>
    <x v="0"/>
    <x v="0"/>
    <x v="0"/>
    <n v="20.25"/>
    <s v="Main Bank"/>
    <s v="Credit Card"/>
    <s v="Local Restaurant"/>
  </r>
  <r>
    <s v="TXN100044"/>
    <x v="541"/>
    <x v="55"/>
    <x v="3"/>
    <x v="8"/>
    <x v="1"/>
    <n v="354.03"/>
    <s v="Main Bank"/>
    <s v="Credit Card"/>
    <s v="Employer Bonus"/>
  </r>
  <r>
    <s v="TXN101530"/>
    <x v="541"/>
    <x v="44"/>
    <x v="2"/>
    <x v="16"/>
    <x v="0"/>
    <n v="325.42"/>
    <s v="Main Bank"/>
    <s v="Bank Transfer"/>
    <s v="Zalando"/>
  </r>
  <r>
    <s v="TXN101046"/>
    <x v="542"/>
    <x v="76"/>
    <x v="1"/>
    <x v="22"/>
    <x v="0"/>
    <n v="57.66"/>
    <s v="Main Bank"/>
    <s v="Direct Debit"/>
    <s v="Netflix"/>
  </r>
  <r>
    <s v="TXN101023"/>
    <x v="542"/>
    <x v="16"/>
    <x v="3"/>
    <x v="10"/>
    <x v="1"/>
    <n v="2004.47"/>
    <s v="Main Bank"/>
    <s v="Debit Card"/>
    <s v="Employer"/>
  </r>
  <r>
    <s v="TXN103073"/>
    <x v="542"/>
    <x v="26"/>
    <x v="0"/>
    <x v="1"/>
    <x v="0"/>
    <n v="79.19"/>
    <s v="Revolut"/>
    <s v="Bank Transfer"/>
    <s v="Local Restaurant"/>
  </r>
  <r>
    <s v="TXN100062"/>
    <x v="542"/>
    <x v="0"/>
    <x v="0"/>
    <x v="0"/>
    <x v="0"/>
    <n v="112.93"/>
    <s v="Main Bank"/>
    <s v="Debit Card"/>
    <s v="Lidl"/>
  </r>
  <r>
    <s v="TXN103106"/>
    <x v="542"/>
    <x v="15"/>
    <x v="6"/>
    <x v="11"/>
    <x v="0"/>
    <n v="81.319999999999993"/>
    <s v="Revolut"/>
    <s v="Debit Card"/>
    <s v="Auto Service"/>
  </r>
  <r>
    <s v="TXN102147"/>
    <x v="543"/>
    <x v="66"/>
    <x v="2"/>
    <x v="3"/>
    <x v="0"/>
    <n v="173.44"/>
    <s v="Savings"/>
    <s v="Direct Debit"/>
    <s v="MediaMarkt"/>
  </r>
  <r>
    <s v="TXN100004"/>
    <x v="543"/>
    <x v="76"/>
    <x v="1"/>
    <x v="22"/>
    <x v="0"/>
    <n v="120"/>
    <s v="Main Bank"/>
    <s v="Direct Debit"/>
    <s v="Netflix"/>
  </r>
  <r>
    <s v="TXN101942"/>
    <x v="543"/>
    <x v="36"/>
    <x v="6"/>
    <x v="15"/>
    <x v="0"/>
    <n v="33.39"/>
    <s v="Main Bank"/>
    <s v="Cash"/>
    <s v="Aral"/>
  </r>
  <r>
    <s v="TXN103199"/>
    <x v="543"/>
    <x v="47"/>
    <x v="4"/>
    <x v="19"/>
    <x v="0"/>
    <n v="290.99"/>
    <s v="Main Bank"/>
    <s v="Bank Transfer"/>
    <s v="Landlord"/>
  </r>
  <r>
    <s v="TXN100936"/>
    <x v="543"/>
    <x v="54"/>
    <x v="0"/>
    <x v="5"/>
    <x v="0"/>
    <n v="30.15"/>
    <s v="Revolut"/>
    <s v="Bank Transfer"/>
    <s v="Lidl"/>
  </r>
  <r>
    <s v="TXN103467"/>
    <x v="543"/>
    <x v="24"/>
    <x v="2"/>
    <x v="16"/>
    <x v="0"/>
    <n v="256.25"/>
    <s v="Revolut"/>
    <s v="Bank Transfer"/>
    <s v="MediaMarkt"/>
  </r>
  <r>
    <s v="TXN102361"/>
    <x v="544"/>
    <x v="43"/>
    <x v="4"/>
    <x v="17"/>
    <x v="0"/>
    <n v="95.45"/>
    <s v="Revolut"/>
    <s v="Debit Card"/>
    <s v="Landlord"/>
  </r>
  <r>
    <s v="TXN101846"/>
    <x v="544"/>
    <x v="2"/>
    <x v="0"/>
    <x v="1"/>
    <x v="0"/>
    <n v="95.26"/>
    <s v="Main Bank"/>
    <s v="Credit Card"/>
    <s v="Lidl"/>
  </r>
  <r>
    <s v="TXN103138"/>
    <x v="544"/>
    <x v="28"/>
    <x v="7"/>
    <x v="14"/>
    <x v="0"/>
    <n v="97.59"/>
    <s v="Revolut"/>
    <s v="Bank Transfer"/>
    <s v="Pharmacy"/>
  </r>
  <r>
    <s v="TXN102165"/>
    <x v="544"/>
    <x v="66"/>
    <x v="2"/>
    <x v="3"/>
    <x v="0"/>
    <n v="123.21"/>
    <s v="Revolut"/>
    <s v="Credit Card"/>
    <s v="MediaMarkt"/>
  </r>
  <r>
    <s v="TXN102302"/>
    <x v="544"/>
    <x v="44"/>
    <x v="2"/>
    <x v="16"/>
    <x v="0"/>
    <n v="19.21"/>
    <s v="Main Bank"/>
    <s v="Credit Card"/>
    <s v="Zalando"/>
  </r>
  <r>
    <s v="TXN102112"/>
    <x v="545"/>
    <x v="21"/>
    <x v="0"/>
    <x v="1"/>
    <x v="0"/>
    <n v="32.08"/>
    <s v="Main Bank"/>
    <s v="Bank Transfer"/>
    <s v="EDEKA"/>
  </r>
  <r>
    <s v="TXN100367"/>
    <x v="545"/>
    <x v="11"/>
    <x v="3"/>
    <x v="8"/>
    <x v="1"/>
    <n v="294.16000000000003"/>
    <s v="Main Bank"/>
    <s v="Direct Debit"/>
    <s v="Freelance Client"/>
  </r>
  <r>
    <s v="TXN101755"/>
    <x v="545"/>
    <x v="55"/>
    <x v="3"/>
    <x v="8"/>
    <x v="1"/>
    <n v="315.05"/>
    <s v="Main Bank"/>
    <s v="Debit Card"/>
    <s v="Employer Bonus"/>
  </r>
  <r>
    <s v="TXN101911"/>
    <x v="545"/>
    <x v="26"/>
    <x v="0"/>
    <x v="1"/>
    <x v="0"/>
    <n v="142.72999999999999"/>
    <s v="Main Bank"/>
    <s v="Credit Card"/>
    <s v="Local Restaurant"/>
  </r>
  <r>
    <s v="TXN100706"/>
    <x v="545"/>
    <x v="11"/>
    <x v="3"/>
    <x v="8"/>
    <x v="1"/>
    <n v="369.62"/>
    <s v="Savings"/>
    <s v="Credit Card"/>
    <s v="Freelance Client"/>
  </r>
  <r>
    <s v="TXN102482"/>
    <x v="546"/>
    <x v="9"/>
    <x v="3"/>
    <x v="6"/>
    <x v="1"/>
    <n v="691.57"/>
    <s v="Revolut"/>
    <s v="Debit Card"/>
    <s v="Employer Bonus"/>
  </r>
  <r>
    <s v="TXN103168"/>
    <x v="546"/>
    <x v="75"/>
    <x v="4"/>
    <x v="7"/>
    <x v="0"/>
    <n v="336.05"/>
    <s v="Main Bank"/>
    <s v="Credit Card"/>
    <s v="Energy Provider"/>
  </r>
  <r>
    <s v="TXN100552"/>
    <x v="546"/>
    <x v="67"/>
    <x v="3"/>
    <x v="6"/>
    <x v="1"/>
    <n v="738.36"/>
    <s v="Revolut"/>
    <s v="Direct Debit"/>
    <s v="Freelance Client"/>
  </r>
  <r>
    <s v="TXN102978"/>
    <x v="547"/>
    <x v="47"/>
    <x v="4"/>
    <x v="19"/>
    <x v="0"/>
    <n v="146.07"/>
    <s v="Main Bank"/>
    <s v="Credit Card"/>
    <s v="Landlord"/>
  </r>
  <r>
    <s v="TXN102303"/>
    <x v="547"/>
    <x v="24"/>
    <x v="2"/>
    <x v="16"/>
    <x v="0"/>
    <n v="65.08"/>
    <s v="Main Bank"/>
    <s v="Cash"/>
    <s v="MediaMarkt"/>
  </r>
  <r>
    <s v="TXN100292"/>
    <x v="547"/>
    <x v="43"/>
    <x v="4"/>
    <x v="17"/>
    <x v="0"/>
    <n v="97.23"/>
    <s v="Main Bank"/>
    <s v="Direct Debit"/>
    <s v="Landlord"/>
  </r>
  <r>
    <s v="TXN101925"/>
    <x v="547"/>
    <x v="89"/>
    <x v="5"/>
    <x v="23"/>
    <x v="0"/>
    <n v="429.2"/>
    <s v="Main Bank"/>
    <s v="Credit Card"/>
    <s v="Lufthansa"/>
  </r>
  <r>
    <s v="TXN102187"/>
    <x v="547"/>
    <x v="11"/>
    <x v="3"/>
    <x v="8"/>
    <x v="1"/>
    <n v="259.82"/>
    <s v="Revolut"/>
    <s v="Debit Card"/>
    <s v="Freelance Client"/>
  </r>
  <r>
    <s v="TXN100496"/>
    <x v="548"/>
    <x v="59"/>
    <x v="6"/>
    <x v="11"/>
    <x v="0"/>
    <n v="30.78"/>
    <s v="Main Bank"/>
    <s v="Cash"/>
    <s v="Aral"/>
  </r>
  <r>
    <s v="TXN101528"/>
    <x v="548"/>
    <x v="26"/>
    <x v="0"/>
    <x v="1"/>
    <x v="0"/>
    <n v="12.27"/>
    <s v="Main Bank"/>
    <s v="Bank Transfer"/>
    <s v="Local Restaurant"/>
  </r>
  <r>
    <s v="TXN102050"/>
    <x v="548"/>
    <x v="50"/>
    <x v="4"/>
    <x v="17"/>
    <x v="0"/>
    <n v="130.34"/>
    <s v="Main Bank"/>
    <s v="Bank Transfer"/>
    <s v="Energy Provider"/>
  </r>
  <r>
    <s v="TXN103048"/>
    <x v="548"/>
    <x v="23"/>
    <x v="6"/>
    <x v="15"/>
    <x v="0"/>
    <n v="30.29"/>
    <s v="Main Bank"/>
    <s v="Credit Card"/>
    <s v="Shell"/>
  </r>
  <r>
    <s v="TXN100122"/>
    <x v="548"/>
    <x v="16"/>
    <x v="3"/>
    <x v="10"/>
    <x v="1"/>
    <n v="2665.54"/>
    <s v="Main Bank"/>
    <s v="Credit Card"/>
    <s v="Employer"/>
  </r>
  <r>
    <s v="TXN102206"/>
    <x v="548"/>
    <x v="31"/>
    <x v="3"/>
    <x v="6"/>
    <x v="1"/>
    <n v="714.05"/>
    <s v="Revolut"/>
    <s v="Bank Transfer"/>
    <s v="Employer"/>
  </r>
  <r>
    <s v="TXN102330"/>
    <x v="548"/>
    <x v="50"/>
    <x v="4"/>
    <x v="17"/>
    <x v="0"/>
    <n v="578.80999999999995"/>
    <s v="Main Bank"/>
    <s v="Bank Transfer"/>
    <s v="Energy Provider"/>
  </r>
  <r>
    <s v="TXN100242"/>
    <x v="548"/>
    <x v="13"/>
    <x v="3"/>
    <x v="10"/>
    <x v="1"/>
    <n v="2900.03"/>
    <s v="Main Bank"/>
    <s v="Credit Card"/>
    <s v="Freelance Client"/>
  </r>
  <r>
    <s v="TXN100763"/>
    <x v="549"/>
    <x v="34"/>
    <x v="0"/>
    <x v="5"/>
    <x v="0"/>
    <n v="65.3"/>
    <s v="Main Bank"/>
    <s v="Credit Card"/>
    <s v="Local Restaurant"/>
  </r>
  <r>
    <s v="TXN100149"/>
    <x v="549"/>
    <x v="53"/>
    <x v="4"/>
    <x v="19"/>
    <x v="0"/>
    <n v="142.58000000000001"/>
    <s v="Revolut"/>
    <s v="Debit Card"/>
    <s v="Energy Provider"/>
  </r>
  <r>
    <s v="TXN101400"/>
    <x v="549"/>
    <x v="64"/>
    <x v="7"/>
    <x v="21"/>
    <x v="0"/>
    <n v="56.64"/>
    <s v="Main Bank"/>
    <s v="Direct Debit"/>
    <s v="Pharmacy"/>
  </r>
  <r>
    <s v="TXN103470"/>
    <x v="549"/>
    <x v="1"/>
    <x v="0"/>
    <x v="0"/>
    <x v="0"/>
    <n v="91.16"/>
    <s v="Revolut"/>
    <s v="Bank Transfer"/>
    <s v="EDEKA"/>
  </r>
  <r>
    <s v="TXN100024"/>
    <x v="549"/>
    <x v="78"/>
    <x v="6"/>
    <x v="15"/>
    <x v="0"/>
    <n v="61.04"/>
    <s v="Revolut"/>
    <s v="Debit Card"/>
    <s v="Auto Service"/>
  </r>
  <r>
    <s v="TXN101468"/>
    <x v="549"/>
    <x v="37"/>
    <x v="6"/>
    <x v="12"/>
    <x v="0"/>
    <n v="80.48"/>
    <s v="Revolut"/>
    <s v="Bank Transfer"/>
    <s v="Shell"/>
  </r>
  <r>
    <s v="TXN100876"/>
    <x v="549"/>
    <x v="14"/>
    <x v="0"/>
    <x v="0"/>
    <x v="0"/>
    <n v="53.85"/>
    <s v="Main Bank"/>
    <s v="Cash"/>
    <s v="REWE"/>
  </r>
  <r>
    <s v="TXN101333"/>
    <x v="550"/>
    <x v="25"/>
    <x v="0"/>
    <x v="0"/>
    <x v="0"/>
    <n v="161.46"/>
    <s v="Savings"/>
    <s v="Credit Card"/>
    <s v="McDonald's"/>
  </r>
  <r>
    <s v="TXN101467"/>
    <x v="550"/>
    <x v="31"/>
    <x v="3"/>
    <x v="6"/>
    <x v="1"/>
    <n v="605.88"/>
    <s v="Main Bank"/>
    <s v="Debit Card"/>
    <s v="Employer"/>
  </r>
  <r>
    <s v="TXN102815"/>
    <x v="550"/>
    <x v="5"/>
    <x v="2"/>
    <x v="4"/>
    <x v="0"/>
    <n v="189.43"/>
    <s v="Revolut"/>
    <s v="Debit Card"/>
    <s v="Amazon"/>
  </r>
  <r>
    <s v="TXN100396"/>
    <x v="551"/>
    <x v="67"/>
    <x v="3"/>
    <x v="6"/>
    <x v="1"/>
    <n v="698.99"/>
    <s v="Main Bank"/>
    <s v="Debit Card"/>
    <s v="Freelance Client"/>
  </r>
  <r>
    <s v="TXN103223"/>
    <x v="551"/>
    <x v="50"/>
    <x v="4"/>
    <x v="17"/>
    <x v="0"/>
    <n v="111.93"/>
    <s v="Main Bank"/>
    <s v="Debit Card"/>
    <s v="Energy Provider"/>
  </r>
  <r>
    <s v="TXN100510"/>
    <x v="551"/>
    <x v="70"/>
    <x v="7"/>
    <x v="18"/>
    <x v="0"/>
    <n v="68.349999999999994"/>
    <s v="Main Bank"/>
    <s v="Bank Transfer"/>
    <s v="Pharmacy"/>
  </r>
  <r>
    <s v="TXN100254"/>
    <x v="551"/>
    <x v="0"/>
    <x v="0"/>
    <x v="0"/>
    <x v="0"/>
    <n v="61.26"/>
    <s v="Main Bank"/>
    <s v="Credit Card"/>
    <s v="Lidl"/>
  </r>
  <r>
    <s v="TXN101106"/>
    <x v="551"/>
    <x v="34"/>
    <x v="0"/>
    <x v="5"/>
    <x v="0"/>
    <n v="35.99"/>
    <s v="Revolut"/>
    <s v="Debit Card"/>
    <s v="Local Restaurant"/>
  </r>
  <r>
    <s v="TXN101555"/>
    <x v="551"/>
    <x v="54"/>
    <x v="0"/>
    <x v="5"/>
    <x v="0"/>
    <n v="50.7"/>
    <s v="Revolut"/>
    <s v="Debit Card"/>
    <s v="Lidl"/>
  </r>
  <r>
    <s v="TXN103039"/>
    <x v="551"/>
    <x v="47"/>
    <x v="4"/>
    <x v="19"/>
    <x v="0"/>
    <n v="257.83"/>
    <s v="Main Bank"/>
    <s v="Bank Transfer"/>
    <s v="Landlord"/>
  </r>
  <r>
    <s v="TXN103153"/>
    <x v="552"/>
    <x v="19"/>
    <x v="7"/>
    <x v="14"/>
    <x v="0"/>
    <n v="18.97"/>
    <s v="Main Bank"/>
    <s v="Debit Card"/>
    <s v="Gym"/>
  </r>
  <r>
    <s v="TXN100226"/>
    <x v="552"/>
    <x v="6"/>
    <x v="0"/>
    <x v="1"/>
    <x v="0"/>
    <n v="30.25"/>
    <s v="Main Bank"/>
    <s v="Bank Transfer"/>
    <s v="McDonald's"/>
  </r>
  <r>
    <s v="TXN102553"/>
    <x v="553"/>
    <x v="41"/>
    <x v="3"/>
    <x v="10"/>
    <x v="1"/>
    <n v="2594.63"/>
    <s v="Revolut"/>
    <s v="Bank Transfer"/>
    <s v="Employer Bonus"/>
  </r>
  <r>
    <s v="TXN101811"/>
    <x v="553"/>
    <x v="35"/>
    <x v="1"/>
    <x v="13"/>
    <x v="0"/>
    <n v="27.63"/>
    <s v="Main Bank"/>
    <s v="Credit Card"/>
    <s v="Steam"/>
  </r>
  <r>
    <s v="TXN101297"/>
    <x v="553"/>
    <x v="34"/>
    <x v="0"/>
    <x v="5"/>
    <x v="0"/>
    <n v="23.05"/>
    <s v="Main Bank"/>
    <s v="Bank Transfer"/>
    <s v="Local Restaurant"/>
  </r>
  <r>
    <s v="TXN103313"/>
    <x v="553"/>
    <x v="64"/>
    <x v="7"/>
    <x v="21"/>
    <x v="0"/>
    <n v="79.760000000000005"/>
    <s v="Main Bank"/>
    <s v="Credit Card"/>
    <s v="Pharmacy"/>
  </r>
  <r>
    <s v="TXN100376"/>
    <x v="553"/>
    <x v="29"/>
    <x v="0"/>
    <x v="1"/>
    <x v="0"/>
    <n v="17.350000000000001"/>
    <s v="Main Bank"/>
    <s v="Bank Transfer"/>
    <s v="REWE"/>
  </r>
  <r>
    <s v="TXN101578"/>
    <x v="554"/>
    <x v="49"/>
    <x v="1"/>
    <x v="13"/>
    <x v="0"/>
    <n v="30.61"/>
    <s v="Revolut"/>
    <s v="Direct Debit"/>
    <s v="Spotify"/>
  </r>
  <r>
    <s v="TXN101322"/>
    <x v="554"/>
    <x v="29"/>
    <x v="0"/>
    <x v="1"/>
    <x v="0"/>
    <n v="37.020000000000003"/>
    <s v="Main Bank"/>
    <s v="Direct Debit"/>
    <s v="REWE"/>
  </r>
  <r>
    <s v="TXN100635"/>
    <x v="554"/>
    <x v="75"/>
    <x v="4"/>
    <x v="7"/>
    <x v="0"/>
    <n v="149.57"/>
    <s v="Main Bank"/>
    <s v="Debit Card"/>
    <s v="Energy Provider"/>
  </r>
  <r>
    <s v="TXN103278"/>
    <x v="554"/>
    <x v="57"/>
    <x v="2"/>
    <x v="3"/>
    <x v="0"/>
    <n v="330.74"/>
    <s v="Main Bank"/>
    <s v="Bank Transfer"/>
    <s v="IKEA"/>
  </r>
  <r>
    <s v="TXN100393"/>
    <x v="554"/>
    <x v="17"/>
    <x v="6"/>
    <x v="12"/>
    <x v="0"/>
    <n v="89.5"/>
    <s v="Revolut"/>
    <s v="Debit Card"/>
    <s v="Auto Service"/>
  </r>
  <r>
    <s v="TXN102278"/>
    <x v="554"/>
    <x v="22"/>
    <x v="2"/>
    <x v="4"/>
    <x v="0"/>
    <n v="137.69999999999999"/>
    <s v="Main Bank"/>
    <s v="Credit Card"/>
    <s v="Zalando"/>
  </r>
  <r>
    <s v="TXN102447"/>
    <x v="555"/>
    <x v="8"/>
    <x v="0"/>
    <x v="5"/>
    <x v="0"/>
    <n v="81.06"/>
    <s v="Revolut"/>
    <s v="Debit Card"/>
    <s v="McDonald's"/>
  </r>
  <r>
    <s v="TXN102086"/>
    <x v="555"/>
    <x v="22"/>
    <x v="2"/>
    <x v="4"/>
    <x v="0"/>
    <n v="402.45"/>
    <s v="Revolut"/>
    <s v="Debit Card"/>
    <s v="Zalando"/>
  </r>
  <r>
    <s v="TXN101268"/>
    <x v="555"/>
    <x v="33"/>
    <x v="2"/>
    <x v="16"/>
    <x v="0"/>
    <n v="228.53"/>
    <s v="Main Bank"/>
    <s v="Credit Card"/>
    <s v="Amazon"/>
  </r>
  <r>
    <s v="TXN101356"/>
    <x v="555"/>
    <x v="41"/>
    <x v="3"/>
    <x v="10"/>
    <x v="1"/>
    <n v="2174.89"/>
    <s v="Main Bank"/>
    <s v="Credit Card"/>
    <s v="Employer Bonus"/>
  </r>
  <r>
    <s v="TXN102367"/>
    <x v="555"/>
    <x v="29"/>
    <x v="0"/>
    <x v="1"/>
    <x v="0"/>
    <n v="30.82"/>
    <s v="Main Bank"/>
    <s v="Debit Card"/>
    <s v="REWE"/>
  </r>
  <r>
    <s v="TXN102179"/>
    <x v="555"/>
    <x v="28"/>
    <x v="7"/>
    <x v="14"/>
    <x v="0"/>
    <n v="101.14"/>
    <s v="Revolut"/>
    <s v="Debit Card"/>
    <s v="Pharmacy"/>
  </r>
  <r>
    <s v="TXN100068"/>
    <x v="555"/>
    <x v="31"/>
    <x v="3"/>
    <x v="6"/>
    <x v="1"/>
    <n v="666.57"/>
    <s v="Revolut"/>
    <s v="Debit Card"/>
    <s v="Employer"/>
  </r>
  <r>
    <s v="TXN102713"/>
    <x v="556"/>
    <x v="17"/>
    <x v="6"/>
    <x v="12"/>
    <x v="0"/>
    <n v="54.93"/>
    <s v="Main Bank"/>
    <s v="Debit Card"/>
    <s v="Auto Service"/>
  </r>
  <r>
    <s v="TXN101937"/>
    <x v="556"/>
    <x v="14"/>
    <x v="0"/>
    <x v="0"/>
    <x v="0"/>
    <n v="51.88"/>
    <s v="Main Bank"/>
    <s v="Debit Card"/>
    <s v="REWE"/>
  </r>
  <r>
    <s v="TXN102025"/>
    <x v="556"/>
    <x v="52"/>
    <x v="6"/>
    <x v="11"/>
    <x v="0"/>
    <n v="58.21"/>
    <s v="Main Bank"/>
    <s v="Direct Debit"/>
    <s v="Local Transit"/>
  </r>
  <r>
    <s v="TXN101595"/>
    <x v="556"/>
    <x v="19"/>
    <x v="7"/>
    <x v="14"/>
    <x v="0"/>
    <n v="239"/>
    <s v="Main Bank"/>
    <s v="Debit Card"/>
    <s v="Gym"/>
  </r>
  <r>
    <s v="TXN101264"/>
    <x v="556"/>
    <x v="66"/>
    <x v="2"/>
    <x v="3"/>
    <x v="0"/>
    <n v="290.95"/>
    <s v="Revolut"/>
    <s v="Credit Card"/>
    <s v="MediaMarkt"/>
  </r>
  <r>
    <s v="TXN103160"/>
    <x v="557"/>
    <x v="48"/>
    <x v="0"/>
    <x v="5"/>
    <x v="0"/>
    <n v="61.51"/>
    <s v="Main Bank"/>
    <s v="Credit Card"/>
    <s v="EDEKA"/>
  </r>
  <r>
    <s v="TXN101434"/>
    <x v="557"/>
    <x v="3"/>
    <x v="1"/>
    <x v="2"/>
    <x v="0"/>
    <n v="11.67"/>
    <s v="Savings"/>
    <s v="Credit Card"/>
    <s v="Spotify"/>
  </r>
  <r>
    <s v="TXN101772"/>
    <x v="557"/>
    <x v="92"/>
    <x v="5"/>
    <x v="20"/>
    <x v="0"/>
    <n v="162.36000000000001"/>
    <s v="Main Bank"/>
    <s v="Credit Card"/>
    <s v="Travel Agency"/>
  </r>
  <r>
    <s v="TXN102707"/>
    <x v="557"/>
    <x v="6"/>
    <x v="0"/>
    <x v="1"/>
    <x v="0"/>
    <n v="28.15"/>
    <s v="Main Bank"/>
    <s v="Bank Transfer"/>
    <s v="McDonald's"/>
  </r>
  <r>
    <s v="TXN100591"/>
    <x v="557"/>
    <x v="7"/>
    <x v="0"/>
    <x v="0"/>
    <x v="0"/>
    <n v="61.84"/>
    <s v="Main Bank"/>
    <s v="Debit Card"/>
    <s v="Local Restaurant"/>
  </r>
  <r>
    <s v="TXN101637"/>
    <x v="557"/>
    <x v="30"/>
    <x v="6"/>
    <x v="11"/>
    <x v="0"/>
    <n v="53.04"/>
    <s v="Main Bank"/>
    <s v="Credit Card"/>
    <s v="DB"/>
  </r>
  <r>
    <s v="TXN101709"/>
    <x v="557"/>
    <x v="76"/>
    <x v="1"/>
    <x v="22"/>
    <x v="0"/>
    <n v="19.62"/>
    <s v="Savings"/>
    <s v="Credit Card"/>
    <s v="Netflix"/>
  </r>
  <r>
    <s v="TXN101308"/>
    <x v="557"/>
    <x v="72"/>
    <x v="3"/>
    <x v="8"/>
    <x v="1"/>
    <n v="380.91"/>
    <s v="Revolut"/>
    <s v="Debit Card"/>
    <s v="Employer"/>
  </r>
  <r>
    <s v="TXN101580"/>
    <x v="557"/>
    <x v="22"/>
    <x v="2"/>
    <x v="4"/>
    <x v="0"/>
    <n v="46.65"/>
    <s v="Revolut"/>
    <s v="Debit Card"/>
    <s v="Zalando"/>
  </r>
  <r>
    <s v="TXN102754"/>
    <x v="557"/>
    <x v="36"/>
    <x v="6"/>
    <x v="15"/>
    <x v="0"/>
    <n v="64.260000000000005"/>
    <s v="Main Bank"/>
    <s v="Debit Card"/>
    <s v="Aral"/>
  </r>
  <r>
    <s v="TXN100115"/>
    <x v="558"/>
    <x v="77"/>
    <x v="1"/>
    <x v="22"/>
    <x v="0"/>
    <n v="8.1999999999999993"/>
    <s v="Main Bank"/>
    <s v="Credit Card"/>
    <s v="Steam"/>
  </r>
  <r>
    <s v="TXN101205"/>
    <x v="558"/>
    <x v="4"/>
    <x v="2"/>
    <x v="3"/>
    <x v="0"/>
    <n v="109.23"/>
    <s v="Revolut"/>
    <s v="Bank Transfer"/>
    <s v="Zalando"/>
  </r>
  <r>
    <s v="TXN101121"/>
    <x v="558"/>
    <x v="72"/>
    <x v="3"/>
    <x v="8"/>
    <x v="1"/>
    <n v="404.03"/>
    <s v="Main Bank"/>
    <s v="Debit Card"/>
    <s v="Employer"/>
  </r>
  <r>
    <s v="TXN101178"/>
    <x v="558"/>
    <x v="38"/>
    <x v="4"/>
    <x v="7"/>
    <x v="0"/>
    <n v="284.67"/>
    <s v="Revolut"/>
    <s v="Direct Debit"/>
    <s v="Vodafone"/>
  </r>
  <r>
    <s v="TXN100683"/>
    <x v="558"/>
    <x v="81"/>
    <x v="0"/>
    <x v="5"/>
    <x v="0"/>
    <n v="110.22"/>
    <s v="Main Bank"/>
    <s v="Credit Card"/>
    <s v="REWE"/>
  </r>
  <r>
    <s v="TXN100246"/>
    <x v="559"/>
    <x v="16"/>
    <x v="3"/>
    <x v="10"/>
    <x v="1"/>
    <n v="2342.17"/>
    <s v="Main Bank"/>
    <s v="Debit Card"/>
    <s v="Employer"/>
  </r>
  <r>
    <s v="TXN100234"/>
    <x v="559"/>
    <x v="62"/>
    <x v="2"/>
    <x v="4"/>
    <x v="0"/>
    <n v="214.92"/>
    <s v="Main Bank"/>
    <s v="Bank Transfer"/>
    <s v="IKEA"/>
  </r>
  <r>
    <s v="TXN101232"/>
    <x v="559"/>
    <x v="1"/>
    <x v="0"/>
    <x v="0"/>
    <x v="0"/>
    <n v="53.11"/>
    <s v="Revolut"/>
    <s v="Direct Debit"/>
    <s v="EDEKA"/>
  </r>
  <r>
    <s v="TXN103432"/>
    <x v="560"/>
    <x v="9"/>
    <x v="3"/>
    <x v="6"/>
    <x v="1"/>
    <n v="752.71"/>
    <s v="Revolut"/>
    <s v="Debit Card"/>
    <s v="Employer Bonus"/>
  </r>
  <r>
    <s v="TXN103216"/>
    <x v="560"/>
    <x v="50"/>
    <x v="4"/>
    <x v="17"/>
    <x v="0"/>
    <n v="516"/>
    <s v="Main Bank"/>
    <s v="Debit Card"/>
    <s v="Energy Provider"/>
  </r>
  <r>
    <s v="TXN101465"/>
    <x v="560"/>
    <x v="9"/>
    <x v="3"/>
    <x v="6"/>
    <x v="1"/>
    <n v="626.11"/>
    <s v="Main Bank"/>
    <s v="Credit Card"/>
    <s v="Employer Bonus"/>
  </r>
  <r>
    <s v="TXN102946"/>
    <x v="561"/>
    <x v="53"/>
    <x v="4"/>
    <x v="19"/>
    <x v="0"/>
    <n v="211.06"/>
    <s v="Revolut"/>
    <s v="Direct Debit"/>
    <s v="Energy Provider"/>
  </r>
  <r>
    <s v="TXN100738"/>
    <x v="562"/>
    <x v="16"/>
    <x v="3"/>
    <x v="10"/>
    <x v="1"/>
    <n v="2225.73"/>
    <s v="Main Bank"/>
    <s v="Debit Card"/>
    <s v="Employer"/>
  </r>
  <r>
    <s v="TXN101910"/>
    <x v="562"/>
    <x v="25"/>
    <x v="0"/>
    <x v="0"/>
    <x v="0"/>
    <n v="27.73"/>
    <s v="Main Bank"/>
    <s v="Bank Transfer"/>
    <s v="McDonald's"/>
  </r>
  <r>
    <s v="TXN100513"/>
    <x v="562"/>
    <x v="31"/>
    <x v="3"/>
    <x v="6"/>
    <x v="1"/>
    <n v="595.96"/>
    <s v="Main Bank"/>
    <s v="Debit Card"/>
    <s v="Employer"/>
  </r>
  <r>
    <s v="TXN103007"/>
    <x v="562"/>
    <x v="41"/>
    <x v="3"/>
    <x v="10"/>
    <x v="1"/>
    <n v="2737.54"/>
    <s v="Main Bank"/>
    <s v="Debit Card"/>
    <s v="Employer Bonus"/>
  </r>
  <r>
    <s v="TXN102119"/>
    <x v="562"/>
    <x v="63"/>
    <x v="4"/>
    <x v="19"/>
    <x v="0"/>
    <n v="134.56"/>
    <s v="Main Bank"/>
    <s v="Debit Card"/>
    <s v="Vodafone"/>
  </r>
  <r>
    <s v="TXN100921"/>
    <x v="563"/>
    <x v="13"/>
    <x v="3"/>
    <x v="10"/>
    <x v="1"/>
    <n v="2208.67"/>
    <s v="Main Bank"/>
    <s v="Credit Card"/>
    <s v="Freelance Client"/>
  </r>
  <r>
    <s v="TXN102972"/>
    <x v="563"/>
    <x v="6"/>
    <x v="0"/>
    <x v="1"/>
    <x v="0"/>
    <n v="127.16"/>
    <s v="Revolut"/>
    <s v="Credit Card"/>
    <s v="McDonald's"/>
  </r>
  <r>
    <s v="TXN100385"/>
    <x v="563"/>
    <x v="46"/>
    <x v="7"/>
    <x v="18"/>
    <x v="0"/>
    <n v="143.08000000000001"/>
    <s v="Revolut"/>
    <s v="Debit Card"/>
    <s v="Gym"/>
  </r>
  <r>
    <s v="TXN101878"/>
    <x v="563"/>
    <x v="57"/>
    <x v="2"/>
    <x v="3"/>
    <x v="0"/>
    <n v="120.08"/>
    <s v="Revolut"/>
    <s v="Bank Transfer"/>
    <s v="IKEA"/>
  </r>
  <r>
    <s v="TXN103167"/>
    <x v="563"/>
    <x v="11"/>
    <x v="3"/>
    <x v="8"/>
    <x v="1"/>
    <n v="350.1"/>
    <s v="Main Bank"/>
    <s v="Bank Transfer"/>
    <s v="Freelance Client"/>
  </r>
  <r>
    <s v="TXN101318"/>
    <x v="564"/>
    <x v="39"/>
    <x v="7"/>
    <x v="14"/>
    <x v="0"/>
    <n v="47.05"/>
    <s v="Revolut"/>
    <s v="Debit Card"/>
    <s v="Doctor"/>
  </r>
  <r>
    <s v="TXN102074"/>
    <x v="564"/>
    <x v="11"/>
    <x v="3"/>
    <x v="8"/>
    <x v="1"/>
    <n v="309.63"/>
    <s v="Revolut"/>
    <s v="Credit Card"/>
    <s v="Freelance Client"/>
  </r>
  <r>
    <s v="TXN101445"/>
    <x v="564"/>
    <x v="55"/>
    <x v="3"/>
    <x v="8"/>
    <x v="1"/>
    <n v="388.82"/>
    <s v="Main Bank"/>
    <s v="Debit Card"/>
    <s v="Employer Bonus"/>
  </r>
  <r>
    <s v="TXN102141"/>
    <x v="565"/>
    <x v="41"/>
    <x v="3"/>
    <x v="10"/>
    <x v="1"/>
    <n v="2938.99"/>
    <s v="Revolut"/>
    <s v="Direct Debit"/>
    <s v="Employer Bonus"/>
  </r>
  <r>
    <s v="TXN100148"/>
    <x v="565"/>
    <x v="85"/>
    <x v="2"/>
    <x v="16"/>
    <x v="0"/>
    <n v="296.94"/>
    <s v="Main Bank"/>
    <s v="Debit Card"/>
    <s v="IKEA"/>
  </r>
  <r>
    <s v="TXN100091"/>
    <x v="565"/>
    <x v="47"/>
    <x v="4"/>
    <x v="19"/>
    <x v="0"/>
    <n v="189.37"/>
    <s v="Revolut"/>
    <s v="Credit Card"/>
    <s v="Landlord"/>
  </r>
  <r>
    <s v="TXN101354"/>
    <x v="565"/>
    <x v="64"/>
    <x v="7"/>
    <x v="21"/>
    <x v="0"/>
    <n v="37.93"/>
    <s v="Main Bank"/>
    <s v="Bank Transfer"/>
    <s v="Pharmacy"/>
  </r>
  <r>
    <s v="TXN102287"/>
    <x v="565"/>
    <x v="9"/>
    <x v="3"/>
    <x v="6"/>
    <x v="1"/>
    <n v="765.65"/>
    <s v="Revolut"/>
    <s v="Debit Card"/>
    <s v="Employer Bonus"/>
  </r>
  <r>
    <s v="TXN101628"/>
    <x v="566"/>
    <x v="4"/>
    <x v="2"/>
    <x v="3"/>
    <x v="0"/>
    <n v="408.78"/>
    <s v="Main Bank"/>
    <s v="Debit Card"/>
    <s v="Zalando"/>
  </r>
  <r>
    <s v="TXN101939"/>
    <x v="566"/>
    <x v="24"/>
    <x v="2"/>
    <x v="16"/>
    <x v="0"/>
    <n v="121.99"/>
    <s v="Main Bank"/>
    <s v="Credit Card"/>
    <s v="MediaMarkt"/>
  </r>
  <r>
    <s v="TXN100104"/>
    <x v="566"/>
    <x v="24"/>
    <x v="2"/>
    <x v="16"/>
    <x v="0"/>
    <n v="126.18"/>
    <s v="Main Bank"/>
    <s v="Bank Transfer"/>
    <s v="MediaMarkt"/>
  </r>
  <r>
    <s v="TXN102445"/>
    <x v="566"/>
    <x v="24"/>
    <x v="2"/>
    <x v="16"/>
    <x v="0"/>
    <n v="84.15"/>
    <s v="Main Bank"/>
    <s v="Debit Card"/>
    <s v="MediaMarkt"/>
  </r>
  <r>
    <s v="TXN102668"/>
    <x v="566"/>
    <x v="61"/>
    <x v="1"/>
    <x v="2"/>
    <x v="0"/>
    <n v="20.45"/>
    <s v="Main Bank"/>
    <s v="Debit Card"/>
    <s v="Steam"/>
  </r>
  <r>
    <s v="TXN100916"/>
    <x v="566"/>
    <x v="37"/>
    <x v="6"/>
    <x v="12"/>
    <x v="0"/>
    <n v="25.68"/>
    <s v="Main Bank"/>
    <s v="Credit Card"/>
    <s v="Shell"/>
  </r>
  <r>
    <s v="TXN101707"/>
    <x v="566"/>
    <x v="65"/>
    <x v="1"/>
    <x v="2"/>
    <x v="0"/>
    <n v="12.95"/>
    <s v="Main Bank"/>
    <s v="Debit Card"/>
    <s v="Netflix"/>
  </r>
  <r>
    <s v="TXN100139"/>
    <x v="567"/>
    <x v="88"/>
    <x v="6"/>
    <x v="11"/>
    <x v="0"/>
    <n v="34.799999999999997"/>
    <s v="Main Bank"/>
    <s v="Bank Transfer"/>
    <s v="Shell"/>
  </r>
  <r>
    <s v="TXN100260"/>
    <x v="567"/>
    <x v="10"/>
    <x v="4"/>
    <x v="7"/>
    <x v="0"/>
    <n v="238.37"/>
    <s v="Revolut"/>
    <s v="Bank Transfer"/>
    <s v="Landlord"/>
  </r>
  <r>
    <s v="TXN101642"/>
    <x v="567"/>
    <x v="16"/>
    <x v="3"/>
    <x v="10"/>
    <x v="1"/>
    <n v="2519.48"/>
    <s v="Revolut"/>
    <s v="Credit Card"/>
    <s v="Employer"/>
  </r>
  <r>
    <s v="TXN103088"/>
    <x v="567"/>
    <x v="47"/>
    <x v="4"/>
    <x v="19"/>
    <x v="0"/>
    <n v="578.4"/>
    <s v="Main Bank"/>
    <s v="Debit Card"/>
    <s v="Landlord"/>
  </r>
  <r>
    <s v="TXN102285"/>
    <x v="567"/>
    <x v="25"/>
    <x v="0"/>
    <x v="0"/>
    <x v="0"/>
    <n v="38.229999999999997"/>
    <s v="Main Bank"/>
    <s v="Credit Card"/>
    <s v="McDonald's"/>
  </r>
  <r>
    <s v="TXN101678"/>
    <x v="568"/>
    <x v="51"/>
    <x v="6"/>
    <x v="15"/>
    <x v="0"/>
    <n v="46.53"/>
    <s v="Main Bank"/>
    <s v="Bank Transfer"/>
    <s v="DB"/>
  </r>
  <r>
    <s v="TXN100287"/>
    <x v="568"/>
    <x v="33"/>
    <x v="2"/>
    <x v="16"/>
    <x v="0"/>
    <n v="124.94"/>
    <s v="Main Bank"/>
    <s v="Direct Debit"/>
    <s v="Amazon"/>
  </r>
  <r>
    <s v="TXN100285"/>
    <x v="568"/>
    <x v="5"/>
    <x v="2"/>
    <x v="4"/>
    <x v="0"/>
    <n v="189.38"/>
    <s v="Main Bank"/>
    <s v="Credit Card"/>
    <s v="Amazon"/>
  </r>
  <r>
    <s v="TXN101731"/>
    <x v="568"/>
    <x v="8"/>
    <x v="0"/>
    <x v="5"/>
    <x v="0"/>
    <n v="16.88"/>
    <s v="Savings"/>
    <s v="Bank Transfer"/>
    <s v="McDonald's"/>
  </r>
  <r>
    <s v="TXN102746"/>
    <x v="568"/>
    <x v="89"/>
    <x v="5"/>
    <x v="23"/>
    <x v="0"/>
    <n v="468.83"/>
    <s v="Main Bank"/>
    <s v="Bank Transfer"/>
    <s v="Lufthansa"/>
  </r>
  <r>
    <s v="TXN100542"/>
    <x v="568"/>
    <x v="77"/>
    <x v="1"/>
    <x v="22"/>
    <x v="0"/>
    <n v="19.600000000000001"/>
    <s v="Savings"/>
    <s v="Direct Debit"/>
    <s v="Steam"/>
  </r>
  <r>
    <s v="TXN103062"/>
    <x v="568"/>
    <x v="50"/>
    <x v="4"/>
    <x v="17"/>
    <x v="0"/>
    <n v="84.54"/>
    <s v="Revolut"/>
    <s v="Bank Transfer"/>
    <s v="Energy Provider"/>
  </r>
  <r>
    <s v="TXN101368"/>
    <x v="568"/>
    <x v="16"/>
    <x v="3"/>
    <x v="10"/>
    <x v="1"/>
    <n v="2314.67"/>
    <s v="Main Bank"/>
    <s v="Direct Debit"/>
    <s v="Employer"/>
  </r>
  <r>
    <s v="TXN103280"/>
    <x v="569"/>
    <x v="90"/>
    <x v="5"/>
    <x v="20"/>
    <x v="0"/>
    <n v="790.94"/>
    <s v="Main Bank"/>
    <s v="Debit Card"/>
    <s v="Hotel"/>
  </r>
  <r>
    <s v="TXN102194"/>
    <x v="569"/>
    <x v="33"/>
    <x v="2"/>
    <x v="16"/>
    <x v="0"/>
    <n v="121.52"/>
    <s v="Main Bank"/>
    <s v="Credit Card"/>
    <s v="Amazon"/>
  </r>
  <r>
    <s v="TXN102573"/>
    <x v="569"/>
    <x v="78"/>
    <x v="6"/>
    <x v="15"/>
    <x v="0"/>
    <n v="46.03"/>
    <s v="Main Bank"/>
    <s v="Debit Card"/>
    <s v="Auto Service"/>
  </r>
  <r>
    <s v="TXN102667"/>
    <x v="569"/>
    <x v="14"/>
    <x v="0"/>
    <x v="0"/>
    <x v="0"/>
    <n v="21.21"/>
    <s v="Revolut"/>
    <s v="Debit Card"/>
    <s v="REWE"/>
  </r>
  <r>
    <s v="TXN101336"/>
    <x v="570"/>
    <x v="18"/>
    <x v="1"/>
    <x v="13"/>
    <x v="0"/>
    <n v="67.94"/>
    <s v="Main Bank"/>
    <s v="Debit Card"/>
    <s v="Netflix"/>
  </r>
  <r>
    <s v="TXN102380"/>
    <x v="570"/>
    <x v="69"/>
    <x v="5"/>
    <x v="23"/>
    <x v="0"/>
    <n v="158.84"/>
    <s v="Main Bank"/>
    <s v="Debit Card"/>
    <s v="Booking.com"/>
  </r>
  <r>
    <s v="TXN101894"/>
    <x v="570"/>
    <x v="25"/>
    <x v="0"/>
    <x v="0"/>
    <x v="0"/>
    <n v="41.19"/>
    <s v="Main Bank"/>
    <s v="Bank Transfer"/>
    <s v="McDonald's"/>
  </r>
  <r>
    <s v="TXN103325"/>
    <x v="570"/>
    <x v="86"/>
    <x v="5"/>
    <x v="9"/>
    <x v="0"/>
    <n v="1029"/>
    <s v="Main Bank"/>
    <s v="Debit Card"/>
    <s v="Booking.com"/>
  </r>
  <r>
    <s v="TXN100278"/>
    <x v="570"/>
    <x v="61"/>
    <x v="1"/>
    <x v="2"/>
    <x v="0"/>
    <n v="28.31"/>
    <s v="Savings"/>
    <s v="Credit Card"/>
    <s v="Steam"/>
  </r>
  <r>
    <s v="TXN101117"/>
    <x v="571"/>
    <x v="10"/>
    <x v="4"/>
    <x v="7"/>
    <x v="0"/>
    <n v="204.9"/>
    <s v="Main Bank"/>
    <s v="Direct Debit"/>
    <s v="Landlord"/>
  </r>
  <r>
    <s v="TXN100105"/>
    <x v="571"/>
    <x v="11"/>
    <x v="3"/>
    <x v="8"/>
    <x v="1"/>
    <n v="361"/>
    <s v="Savings"/>
    <s v="Direct Debit"/>
    <s v="Freelance Client"/>
  </r>
  <r>
    <s v="TXN102044"/>
    <x v="571"/>
    <x v="75"/>
    <x v="4"/>
    <x v="7"/>
    <x v="0"/>
    <n v="91.58"/>
    <s v="Savings"/>
    <s v="Debit Card"/>
    <s v="Energy Provider"/>
  </r>
  <r>
    <s v="TXN103067"/>
    <x v="571"/>
    <x v="43"/>
    <x v="4"/>
    <x v="17"/>
    <x v="0"/>
    <n v="131.41999999999999"/>
    <s v="Main Bank"/>
    <s v="Direct Debit"/>
    <s v="Landlord"/>
  </r>
  <r>
    <s v="TXN102876"/>
    <x v="571"/>
    <x v="33"/>
    <x v="2"/>
    <x v="16"/>
    <x v="0"/>
    <n v="90.62"/>
    <s v="Revolut"/>
    <s v="Bank Transfer"/>
    <s v="Amazon"/>
  </r>
  <r>
    <s v="TXN101130"/>
    <x v="571"/>
    <x v="14"/>
    <x v="0"/>
    <x v="0"/>
    <x v="0"/>
    <n v="82.49"/>
    <s v="Revolut"/>
    <s v="Bank Transfer"/>
    <s v="REWE"/>
  </r>
  <r>
    <s v="TXN102869"/>
    <x v="571"/>
    <x v="8"/>
    <x v="0"/>
    <x v="5"/>
    <x v="0"/>
    <n v="59.11"/>
    <s v="Main Bank"/>
    <s v="Debit Card"/>
    <s v="McDonald's"/>
  </r>
  <r>
    <s v="TXN101486"/>
    <x v="571"/>
    <x v="36"/>
    <x v="6"/>
    <x v="15"/>
    <x v="0"/>
    <n v="215.56"/>
    <s v="Savings"/>
    <s v="Bank Transfer"/>
    <s v="Aral"/>
  </r>
  <r>
    <s v="TXN102620"/>
    <x v="571"/>
    <x v="7"/>
    <x v="0"/>
    <x v="0"/>
    <x v="0"/>
    <n v="53.33"/>
    <s v="Main Bank"/>
    <s v="Debit Card"/>
    <s v="Local Restaurant"/>
  </r>
  <r>
    <s v="TXN100381"/>
    <x v="571"/>
    <x v="53"/>
    <x v="4"/>
    <x v="19"/>
    <x v="0"/>
    <n v="326.85000000000002"/>
    <s v="Revolut"/>
    <s v="Debit Card"/>
    <s v="Energy Provider"/>
  </r>
  <r>
    <s v="TXN101795"/>
    <x v="572"/>
    <x v="53"/>
    <x v="4"/>
    <x v="19"/>
    <x v="0"/>
    <n v="366.5"/>
    <s v="Main Bank"/>
    <s v="Debit Card"/>
    <s v="Energy Provider"/>
  </r>
  <r>
    <s v="TXN103323"/>
    <x v="572"/>
    <x v="91"/>
    <x v="5"/>
    <x v="23"/>
    <x v="0"/>
    <n v="593.74"/>
    <s v="Main Bank"/>
    <s v="Credit Card"/>
    <s v="Hotel"/>
  </r>
  <r>
    <s v="TXN100445"/>
    <x v="572"/>
    <x v="55"/>
    <x v="3"/>
    <x v="8"/>
    <x v="1"/>
    <n v="252.71"/>
    <s v="Main Bank"/>
    <s v="Direct Debit"/>
    <s v="Employer Bonus"/>
  </r>
  <r>
    <s v="TXN100657"/>
    <x v="572"/>
    <x v="48"/>
    <x v="0"/>
    <x v="5"/>
    <x v="0"/>
    <n v="88.82"/>
    <s v="Main Bank"/>
    <s v="Debit Card"/>
    <s v="EDEKA"/>
  </r>
  <r>
    <s v="TXN100624"/>
    <x v="572"/>
    <x v="24"/>
    <x v="2"/>
    <x v="16"/>
    <x v="0"/>
    <n v="184.54"/>
    <s v="Main Bank"/>
    <s v="Debit Card"/>
    <s v="MediaMarkt"/>
  </r>
  <r>
    <s v="TXN100340"/>
    <x v="572"/>
    <x v="47"/>
    <x v="4"/>
    <x v="19"/>
    <x v="0"/>
    <n v="80.28"/>
    <s v="Main Bank"/>
    <s v="Cash"/>
    <s v="Landlord"/>
  </r>
  <r>
    <s v="TXN103003"/>
    <x v="573"/>
    <x v="34"/>
    <x v="0"/>
    <x v="5"/>
    <x v="0"/>
    <n v="39.630000000000003"/>
    <s v="Savings"/>
    <s v="Bank Transfer"/>
    <s v="Local Restaurant"/>
  </r>
  <r>
    <s v="TXN102235"/>
    <x v="573"/>
    <x v="32"/>
    <x v="1"/>
    <x v="2"/>
    <x v="0"/>
    <n v="52.9"/>
    <s v="Main Bank"/>
    <s v="Debit Card"/>
    <s v="Cinema"/>
  </r>
  <r>
    <s v="TXN100633"/>
    <x v="573"/>
    <x v="4"/>
    <x v="2"/>
    <x v="3"/>
    <x v="0"/>
    <n v="47.02"/>
    <s v="Revolut"/>
    <s v="Bank Transfer"/>
    <s v="Zalando"/>
  </r>
  <r>
    <s v="TXN100782"/>
    <x v="573"/>
    <x v="44"/>
    <x v="2"/>
    <x v="16"/>
    <x v="0"/>
    <n v="249.5"/>
    <s v="Main Bank"/>
    <s v="Credit Card"/>
    <s v="Zalando"/>
  </r>
  <r>
    <s v="TXN102375"/>
    <x v="574"/>
    <x v="49"/>
    <x v="1"/>
    <x v="13"/>
    <x v="0"/>
    <n v="15.87"/>
    <s v="Main Bank"/>
    <s v="Bank Transfer"/>
    <s v="Spotify"/>
  </r>
  <r>
    <s v="TXN100545"/>
    <x v="574"/>
    <x v="65"/>
    <x v="1"/>
    <x v="2"/>
    <x v="0"/>
    <n v="29.04"/>
    <s v="Main Bank"/>
    <s v="Debit Card"/>
    <s v="Netflix"/>
  </r>
  <r>
    <s v="TXN103016"/>
    <x v="574"/>
    <x v="37"/>
    <x v="6"/>
    <x v="12"/>
    <x v="0"/>
    <n v="61.55"/>
    <s v="Revolut"/>
    <s v="Bank Transfer"/>
    <s v="Shell"/>
  </r>
  <r>
    <s v="TXN102903"/>
    <x v="574"/>
    <x v="38"/>
    <x v="4"/>
    <x v="7"/>
    <x v="0"/>
    <n v="599.24"/>
    <s v="Savings"/>
    <s v="Bank Transfer"/>
    <s v="Vodafone"/>
  </r>
  <r>
    <s v="TXN100477"/>
    <x v="574"/>
    <x v="71"/>
    <x v="4"/>
    <x v="17"/>
    <x v="0"/>
    <n v="805.5"/>
    <s v="Main Bank"/>
    <s v="Direct Debit"/>
    <s v="Vodafone"/>
  </r>
  <r>
    <s v="TXN100491"/>
    <x v="574"/>
    <x v="62"/>
    <x v="2"/>
    <x v="4"/>
    <x v="0"/>
    <n v="150.63"/>
    <s v="Main Bank"/>
    <s v="Direct Debit"/>
    <s v="IKEA"/>
  </r>
  <r>
    <s v="TXN101700"/>
    <x v="575"/>
    <x v="4"/>
    <x v="2"/>
    <x v="3"/>
    <x v="0"/>
    <n v="101.96"/>
    <s v="Savings"/>
    <s v="Debit Card"/>
    <s v="Zalando"/>
  </r>
  <r>
    <s v="TXN100605"/>
    <x v="575"/>
    <x v="54"/>
    <x v="0"/>
    <x v="5"/>
    <x v="0"/>
    <n v="37.020000000000003"/>
    <s v="Main Bank"/>
    <s v="Debit Card"/>
    <s v="Lidl"/>
  </r>
  <r>
    <s v="TXN100075"/>
    <x v="575"/>
    <x v="84"/>
    <x v="7"/>
    <x v="21"/>
    <x v="0"/>
    <n v="59.24"/>
    <s v="Main Bank"/>
    <s v="Debit Card"/>
    <s v="Gym"/>
  </r>
  <r>
    <s v="TXN102191"/>
    <x v="575"/>
    <x v="14"/>
    <x v="0"/>
    <x v="0"/>
    <x v="0"/>
    <n v="72.709999999999994"/>
    <s v="Revolut"/>
    <s v="Debit Card"/>
    <s v="REWE"/>
  </r>
  <r>
    <s v="TXN101801"/>
    <x v="575"/>
    <x v="55"/>
    <x v="3"/>
    <x v="8"/>
    <x v="1"/>
    <n v="308.05"/>
    <s v="Main Bank"/>
    <s v="Bank Transfer"/>
    <s v="Employer Bonus"/>
  </r>
  <r>
    <s v="TXN101960"/>
    <x v="575"/>
    <x v="89"/>
    <x v="5"/>
    <x v="23"/>
    <x v="0"/>
    <n v="367.88"/>
    <s v="Savings"/>
    <s v="Direct Debit"/>
    <s v="Lufthansa"/>
  </r>
  <r>
    <s v="TXN100650"/>
    <x v="575"/>
    <x v="44"/>
    <x v="2"/>
    <x v="16"/>
    <x v="0"/>
    <n v="458.84"/>
    <s v="Revolut"/>
    <s v="Debit Card"/>
    <s v="Zalando"/>
  </r>
  <r>
    <s v="TXN100928"/>
    <x v="575"/>
    <x v="44"/>
    <x v="2"/>
    <x v="16"/>
    <x v="0"/>
    <n v="182.17"/>
    <s v="Main Bank"/>
    <s v="Bank Transfer"/>
    <s v="Zalando"/>
  </r>
  <r>
    <s v="TXN100760"/>
    <x v="575"/>
    <x v="56"/>
    <x v="5"/>
    <x v="20"/>
    <x v="0"/>
    <n v="107.81"/>
    <s v="Revolut"/>
    <s v="Credit Card"/>
    <s v="Lufthansa"/>
  </r>
  <r>
    <s v="TXN102983"/>
    <x v="576"/>
    <x v="64"/>
    <x v="7"/>
    <x v="21"/>
    <x v="0"/>
    <n v="88.28"/>
    <s v="Main Bank"/>
    <s v="Direct Debit"/>
    <s v="Pharmacy"/>
  </r>
  <r>
    <s v="TXN102881"/>
    <x v="576"/>
    <x v="37"/>
    <x v="6"/>
    <x v="12"/>
    <x v="0"/>
    <n v="93.7"/>
    <s v="Main Bank"/>
    <s v="Bank Transfer"/>
    <s v="Shell"/>
  </r>
  <r>
    <s v="TXN102066"/>
    <x v="576"/>
    <x v="91"/>
    <x v="5"/>
    <x v="23"/>
    <x v="0"/>
    <n v="454.3"/>
    <s v="Main Bank"/>
    <s v="Debit Card"/>
    <s v="Hotel"/>
  </r>
  <r>
    <s v="TXN100648"/>
    <x v="576"/>
    <x v="74"/>
    <x v="1"/>
    <x v="13"/>
    <x v="0"/>
    <n v="43.51"/>
    <s v="Revolut"/>
    <s v="Debit Card"/>
    <s v="Cinema"/>
  </r>
  <r>
    <s v="TXN101666"/>
    <x v="576"/>
    <x v="72"/>
    <x v="3"/>
    <x v="8"/>
    <x v="1"/>
    <n v="349.86"/>
    <s v="Main Bank"/>
    <s v="Debit Card"/>
    <s v="Employer"/>
  </r>
  <r>
    <s v="TXN102603"/>
    <x v="576"/>
    <x v="58"/>
    <x v="7"/>
    <x v="21"/>
    <x v="0"/>
    <n v="250"/>
    <s v="Savings"/>
    <s v="Cash"/>
    <s v="Doctor"/>
  </r>
  <r>
    <s v="TXN100167"/>
    <x v="576"/>
    <x v="30"/>
    <x v="6"/>
    <x v="11"/>
    <x v="0"/>
    <n v="74.92"/>
    <s v="Revolut"/>
    <s v="Debit Card"/>
    <s v="DB"/>
  </r>
  <r>
    <s v="TXN102722"/>
    <x v="576"/>
    <x v="79"/>
    <x v="5"/>
    <x v="23"/>
    <x v="0"/>
    <n v="283.60000000000002"/>
    <s v="Main Bank"/>
    <s v="Credit Card"/>
    <s v="Travel Agency"/>
  </r>
  <r>
    <s v="TXN101597"/>
    <x v="576"/>
    <x v="54"/>
    <x v="0"/>
    <x v="5"/>
    <x v="0"/>
    <n v="43.89"/>
    <s v="Revolut"/>
    <s v="Bank Transfer"/>
    <s v="Lidl"/>
  </r>
  <r>
    <s v="TXN102563"/>
    <x v="576"/>
    <x v="47"/>
    <x v="4"/>
    <x v="19"/>
    <x v="0"/>
    <n v="163.1"/>
    <s v="Savings"/>
    <s v="Debit Card"/>
    <s v="Landlord"/>
  </r>
  <r>
    <s v="TXN100106"/>
    <x v="577"/>
    <x v="2"/>
    <x v="0"/>
    <x v="1"/>
    <x v="0"/>
    <n v="78.430000000000007"/>
    <s v="Revolut"/>
    <s v="Direct Debit"/>
    <s v="Lidl"/>
  </r>
  <r>
    <s v="TXN101042"/>
    <x v="577"/>
    <x v="91"/>
    <x v="5"/>
    <x v="23"/>
    <x v="0"/>
    <n v="374.51"/>
    <s v="Main Bank"/>
    <s v="Debit Card"/>
    <s v="Hotel"/>
  </r>
  <r>
    <s v="TXN102374"/>
    <x v="577"/>
    <x v="15"/>
    <x v="6"/>
    <x v="11"/>
    <x v="0"/>
    <n v="44.57"/>
    <s v="Main Bank"/>
    <s v="Bank Transfer"/>
    <s v="Auto Service"/>
  </r>
  <r>
    <s v="TXN103139"/>
    <x v="577"/>
    <x v="85"/>
    <x v="2"/>
    <x v="16"/>
    <x v="0"/>
    <n v="147.44999999999999"/>
    <s v="Revolut"/>
    <s v="Direct Debit"/>
    <s v="IKEA"/>
  </r>
  <r>
    <s v="TXN100247"/>
    <x v="577"/>
    <x v="17"/>
    <x v="6"/>
    <x v="12"/>
    <x v="0"/>
    <n v="83.75"/>
    <s v="Main Bank"/>
    <s v="Bank Transfer"/>
    <s v="Auto Service"/>
  </r>
  <r>
    <s v="TXN102398"/>
    <x v="578"/>
    <x v="10"/>
    <x v="4"/>
    <x v="7"/>
    <x v="0"/>
    <n v="376.72"/>
    <s v="Main Bank"/>
    <s v="Debit Card"/>
    <s v="Landlord"/>
  </r>
  <r>
    <s v="TXN101636"/>
    <x v="578"/>
    <x v="34"/>
    <x v="0"/>
    <x v="5"/>
    <x v="0"/>
    <n v="30.3"/>
    <s v="Revolut"/>
    <s v="Credit Card"/>
    <s v="Local Restaurant"/>
  </r>
  <r>
    <s v="TXN100070"/>
    <x v="578"/>
    <x v="31"/>
    <x v="3"/>
    <x v="6"/>
    <x v="1"/>
    <n v="704.48"/>
    <s v="Main Bank"/>
    <s v="Debit Card"/>
    <s v="Employer"/>
  </r>
  <r>
    <s v="TXN102059"/>
    <x v="578"/>
    <x v="65"/>
    <x v="1"/>
    <x v="2"/>
    <x v="0"/>
    <n v="18.149999999999999"/>
    <s v="Revolut"/>
    <s v="Debit Card"/>
    <s v="Netflix"/>
  </r>
  <r>
    <s v="TXN102827"/>
    <x v="578"/>
    <x v="28"/>
    <x v="7"/>
    <x v="14"/>
    <x v="0"/>
    <n v="38.64"/>
    <s v="Savings"/>
    <s v="Debit Card"/>
    <s v="Pharmacy"/>
  </r>
  <r>
    <s v="TXN101723"/>
    <x v="578"/>
    <x v="14"/>
    <x v="0"/>
    <x v="0"/>
    <x v="0"/>
    <n v="12.87"/>
    <s v="Revolut"/>
    <s v="Debit Card"/>
    <s v="REWE"/>
  </r>
  <r>
    <s v="TXN102100"/>
    <x v="578"/>
    <x v="42"/>
    <x v="6"/>
    <x v="15"/>
    <x v="0"/>
    <n v="119.34"/>
    <s v="Revolut"/>
    <s v="Cash"/>
    <s v="Local Transit"/>
  </r>
  <r>
    <s v="TXN103115"/>
    <x v="578"/>
    <x v="81"/>
    <x v="0"/>
    <x v="5"/>
    <x v="0"/>
    <n v="53.56"/>
    <s v="Main Bank"/>
    <s v="Credit Card"/>
    <s v="REWE"/>
  </r>
  <r>
    <s v="TXN102771"/>
    <x v="578"/>
    <x v="47"/>
    <x v="4"/>
    <x v="19"/>
    <x v="0"/>
    <n v="94.36"/>
    <s v="Revolut"/>
    <s v="Debit Card"/>
    <s v="Landlord"/>
  </r>
  <r>
    <s v="TXN101069"/>
    <x v="579"/>
    <x v="73"/>
    <x v="6"/>
    <x v="12"/>
    <x v="0"/>
    <n v="61.15"/>
    <s v="Main Bank"/>
    <s v="Debit Card"/>
    <s v="Aral"/>
  </r>
  <r>
    <s v="TXN100090"/>
    <x v="579"/>
    <x v="68"/>
    <x v="2"/>
    <x v="4"/>
    <x v="0"/>
    <n v="195.57"/>
    <s v="Savings"/>
    <s v="Direct Debit"/>
    <s v="MediaMarkt"/>
  </r>
  <r>
    <s v="TXN103492"/>
    <x v="579"/>
    <x v="49"/>
    <x v="1"/>
    <x v="13"/>
    <x v="0"/>
    <n v="25.4"/>
    <s v="Main Bank"/>
    <s v="Debit Card"/>
    <s v="Spotify"/>
  </r>
  <r>
    <s v="TXN102546"/>
    <x v="579"/>
    <x v="66"/>
    <x v="2"/>
    <x v="3"/>
    <x v="0"/>
    <n v="43.77"/>
    <s v="Main Bank"/>
    <s v="Debit Card"/>
    <s v="MediaMarkt"/>
  </r>
  <r>
    <s v="TXN101315"/>
    <x v="579"/>
    <x v="4"/>
    <x v="2"/>
    <x v="3"/>
    <x v="0"/>
    <n v="204.79"/>
    <s v="Main Bank"/>
    <s v="Debit Card"/>
    <s v="Zalando"/>
  </r>
  <r>
    <s v="TXN102443"/>
    <x v="580"/>
    <x v="90"/>
    <x v="5"/>
    <x v="20"/>
    <x v="0"/>
    <n v="449.59"/>
    <s v="Main Bank"/>
    <s v="Cash"/>
    <s v="Hotel"/>
  </r>
  <r>
    <s v="TXN100709"/>
    <x v="580"/>
    <x v="48"/>
    <x v="0"/>
    <x v="5"/>
    <x v="0"/>
    <n v="40.81"/>
    <s v="Savings"/>
    <s v="Bank Transfer"/>
    <s v="EDEKA"/>
  </r>
  <r>
    <s v="TXN100264"/>
    <x v="580"/>
    <x v="22"/>
    <x v="2"/>
    <x v="4"/>
    <x v="0"/>
    <n v="201.05"/>
    <s v="Savings"/>
    <s v="Bank Transfer"/>
    <s v="Zalando"/>
  </r>
  <r>
    <s v="TXN103209"/>
    <x v="580"/>
    <x v="37"/>
    <x v="6"/>
    <x v="12"/>
    <x v="0"/>
    <n v="62.15"/>
    <s v="Revolut"/>
    <s v="Bank Transfer"/>
    <s v="Shell"/>
  </r>
  <r>
    <s v="TXN100088"/>
    <x v="580"/>
    <x v="61"/>
    <x v="1"/>
    <x v="2"/>
    <x v="0"/>
    <n v="45.51"/>
    <s v="Savings"/>
    <s v="Debit Card"/>
    <s v="Steam"/>
  </r>
  <r>
    <s v="TXN102560"/>
    <x v="580"/>
    <x v="57"/>
    <x v="2"/>
    <x v="3"/>
    <x v="0"/>
    <n v="500"/>
    <s v="Main Bank"/>
    <s v="Debit Card"/>
    <s v="IKEA"/>
  </r>
  <r>
    <s v="TXN102721"/>
    <x v="580"/>
    <x v="31"/>
    <x v="3"/>
    <x v="6"/>
    <x v="1"/>
    <n v="674.39"/>
    <s v="Revolut"/>
    <s v="Debit Card"/>
    <s v="Employer"/>
  </r>
  <r>
    <s v="TXN103032"/>
    <x v="580"/>
    <x v="36"/>
    <x v="6"/>
    <x v="15"/>
    <x v="0"/>
    <n v="93.54"/>
    <s v="Revolut"/>
    <s v="Debit Card"/>
    <s v="Aral"/>
  </r>
  <r>
    <s v="TXN101339"/>
    <x v="580"/>
    <x v="63"/>
    <x v="4"/>
    <x v="19"/>
    <x v="0"/>
    <n v="364.28"/>
    <s v="Main Bank"/>
    <s v="Credit Card"/>
    <s v="Vodafone"/>
  </r>
  <r>
    <s v="TXN102085"/>
    <x v="580"/>
    <x v="4"/>
    <x v="2"/>
    <x v="3"/>
    <x v="0"/>
    <n v="62.81"/>
    <s v="Main Bank"/>
    <s v="Debit Card"/>
    <s v="Zalando"/>
  </r>
  <r>
    <s v="TXN102270"/>
    <x v="580"/>
    <x v="22"/>
    <x v="2"/>
    <x v="4"/>
    <x v="0"/>
    <n v="199.14"/>
    <s v="Savings"/>
    <s v="Credit Card"/>
    <s v="Zalando"/>
  </r>
  <r>
    <s v="TXN101273"/>
    <x v="580"/>
    <x v="12"/>
    <x v="5"/>
    <x v="9"/>
    <x v="0"/>
    <n v="395.37"/>
    <s v="Main Bank"/>
    <s v="Credit Card"/>
    <s v="Lufthansa"/>
  </r>
  <r>
    <s v="TXN100821"/>
    <x v="581"/>
    <x v="41"/>
    <x v="3"/>
    <x v="10"/>
    <x v="1"/>
    <n v="2625.19"/>
    <s v="Revolut"/>
    <s v="Bank Transfer"/>
    <s v="Employer Bonus"/>
  </r>
  <r>
    <s v="TXN100514"/>
    <x v="581"/>
    <x v="16"/>
    <x v="3"/>
    <x v="10"/>
    <x v="1"/>
    <n v="2717.28"/>
    <s v="Savings"/>
    <s v="Bank Transfer"/>
    <s v="Employer"/>
  </r>
  <r>
    <s v="TXN101873"/>
    <x v="582"/>
    <x v="22"/>
    <x v="2"/>
    <x v="4"/>
    <x v="0"/>
    <n v="48.67"/>
    <s v="Main Bank"/>
    <s v="Debit Card"/>
    <s v="Zalando"/>
  </r>
  <r>
    <s v="TXN103447"/>
    <x v="582"/>
    <x v="13"/>
    <x v="3"/>
    <x v="10"/>
    <x v="1"/>
    <n v="2326.3000000000002"/>
    <s v="Main Bank"/>
    <s v="Bank Transfer"/>
    <s v="Freelance Client"/>
  </r>
  <r>
    <s v="TXN103417"/>
    <x v="582"/>
    <x v="0"/>
    <x v="0"/>
    <x v="0"/>
    <x v="0"/>
    <n v="85.9"/>
    <s v="Main Bank"/>
    <s v="Credit Card"/>
    <s v="Lidl"/>
  </r>
  <r>
    <s v="TXN101179"/>
    <x v="582"/>
    <x v="83"/>
    <x v="5"/>
    <x v="9"/>
    <x v="0"/>
    <n v="288.47000000000003"/>
    <s v="Main Bank"/>
    <s v="Credit Card"/>
    <s v="Travel Agency"/>
  </r>
  <r>
    <s v="TXN102731"/>
    <x v="582"/>
    <x v="28"/>
    <x v="7"/>
    <x v="14"/>
    <x v="0"/>
    <n v="29.32"/>
    <s v="Main Bank"/>
    <s v="Debit Card"/>
    <s v="Pharmacy"/>
  </r>
  <r>
    <s v="TXN100969"/>
    <x v="583"/>
    <x v="20"/>
    <x v="2"/>
    <x v="3"/>
    <x v="0"/>
    <n v="57.32"/>
    <s v="Main Bank"/>
    <s v="Debit Card"/>
    <s v="Amazon"/>
  </r>
  <r>
    <s v="TXN100777"/>
    <x v="583"/>
    <x v="48"/>
    <x v="0"/>
    <x v="5"/>
    <x v="0"/>
    <n v="31.28"/>
    <s v="Main Bank"/>
    <s v="Credit Card"/>
    <s v="EDEKA"/>
  </r>
  <r>
    <s v="TXN100532"/>
    <x v="583"/>
    <x v="55"/>
    <x v="3"/>
    <x v="8"/>
    <x v="1"/>
    <n v="314.13"/>
    <s v="Main Bank"/>
    <s v="Debit Card"/>
    <s v="Employer Bonus"/>
  </r>
  <r>
    <s v="TXN102556"/>
    <x v="583"/>
    <x v="67"/>
    <x v="3"/>
    <x v="6"/>
    <x v="1"/>
    <n v="581.74"/>
    <s v="Main Bank"/>
    <s v="Cash"/>
    <s v="Freelance Client"/>
  </r>
  <r>
    <s v="TXN103213"/>
    <x v="583"/>
    <x v="7"/>
    <x v="0"/>
    <x v="0"/>
    <x v="0"/>
    <n v="36.47"/>
    <s v="Main Bank"/>
    <s v="Credit Card"/>
    <s v="Local Restaurant"/>
  </r>
  <r>
    <s v="TXN100402"/>
    <x v="584"/>
    <x v="67"/>
    <x v="3"/>
    <x v="6"/>
    <x v="1"/>
    <n v="699.43"/>
    <s v="Revolut"/>
    <s v="Bank Transfer"/>
    <s v="Freelance Client"/>
  </r>
  <r>
    <s v="TXN100473"/>
    <x v="584"/>
    <x v="50"/>
    <x v="4"/>
    <x v="17"/>
    <x v="0"/>
    <n v="288.64999999999998"/>
    <s v="Main Bank"/>
    <s v="Debit Card"/>
    <s v="Energy Provider"/>
  </r>
  <r>
    <s v="TXN103116"/>
    <x v="584"/>
    <x v="55"/>
    <x v="3"/>
    <x v="8"/>
    <x v="1"/>
    <n v="277.08"/>
    <s v="Main Bank"/>
    <s v="Credit Card"/>
    <s v="Employer Bonus"/>
  </r>
  <r>
    <s v="TXN101627"/>
    <x v="584"/>
    <x v="25"/>
    <x v="0"/>
    <x v="0"/>
    <x v="0"/>
    <n v="18.510000000000002"/>
    <s v="Main Bank"/>
    <s v="Credit Card"/>
    <s v="McDonald's"/>
  </r>
  <r>
    <s v="TXN103267"/>
    <x v="584"/>
    <x v="22"/>
    <x v="2"/>
    <x v="4"/>
    <x v="0"/>
    <n v="123.36"/>
    <s v="Revolut"/>
    <s v="Direct Debit"/>
    <s v="Zalando"/>
  </r>
  <r>
    <s v="TXN101016"/>
    <x v="584"/>
    <x v="11"/>
    <x v="3"/>
    <x v="8"/>
    <x v="1"/>
    <n v="289.97000000000003"/>
    <s v="Revolut"/>
    <s v="Credit Card"/>
    <s v="Freelance Client"/>
  </r>
  <r>
    <s v="TXN101800"/>
    <x v="584"/>
    <x v="47"/>
    <x v="4"/>
    <x v="19"/>
    <x v="0"/>
    <n v="181.7"/>
    <s v="Main Bank"/>
    <s v="Bank Transfer"/>
    <s v="Landlord"/>
  </r>
  <r>
    <s v="TXN102031"/>
    <x v="584"/>
    <x v="2"/>
    <x v="0"/>
    <x v="1"/>
    <x v="0"/>
    <n v="59.5"/>
    <s v="Main Bank"/>
    <s v="Debit Card"/>
    <s v="Lidl"/>
  </r>
  <r>
    <s v="TXN102003"/>
    <x v="584"/>
    <x v="31"/>
    <x v="3"/>
    <x v="6"/>
    <x v="1"/>
    <n v="676.77"/>
    <s v="Main Bank"/>
    <s v="Credit Card"/>
    <s v="Employer"/>
  </r>
  <r>
    <s v="TXN102233"/>
    <x v="584"/>
    <x v="67"/>
    <x v="3"/>
    <x v="6"/>
    <x v="1"/>
    <n v="780.6"/>
    <s v="Revolut"/>
    <s v="Credit Card"/>
    <s v="Freelance Client"/>
  </r>
  <r>
    <s v="TXN102547"/>
    <x v="585"/>
    <x v="63"/>
    <x v="4"/>
    <x v="19"/>
    <x v="0"/>
    <n v="303.54000000000002"/>
    <s v="Main Bank"/>
    <s v="Credit Card"/>
    <s v="Vodafone"/>
  </r>
  <r>
    <s v="TXN102117"/>
    <x v="585"/>
    <x v="5"/>
    <x v="2"/>
    <x v="4"/>
    <x v="0"/>
    <n v="136.79"/>
    <s v="Revolut"/>
    <s v="Direct Debit"/>
    <s v="Amazon"/>
  </r>
  <r>
    <s v="TXN101818"/>
    <x v="585"/>
    <x v="27"/>
    <x v="5"/>
    <x v="9"/>
    <x v="0"/>
    <n v="543.03"/>
    <s v="Main Bank"/>
    <s v="Debit Card"/>
    <s v="Hotel"/>
  </r>
  <r>
    <s v="TXN101860"/>
    <x v="585"/>
    <x v="39"/>
    <x v="7"/>
    <x v="14"/>
    <x v="0"/>
    <n v="45.5"/>
    <s v="Main Bank"/>
    <s v="Debit Card"/>
    <s v="Doctor"/>
  </r>
  <r>
    <s v="TXN101680"/>
    <x v="585"/>
    <x v="64"/>
    <x v="7"/>
    <x v="21"/>
    <x v="0"/>
    <n v="122.37"/>
    <s v="Revolut"/>
    <s v="Debit Card"/>
    <s v="Pharmacy"/>
  </r>
  <r>
    <s v="TXN103232"/>
    <x v="585"/>
    <x v="65"/>
    <x v="1"/>
    <x v="2"/>
    <x v="0"/>
    <n v="56.81"/>
    <s v="Revolut"/>
    <s v="Debit Card"/>
    <s v="Netflix"/>
  </r>
  <r>
    <s v="TXN102762"/>
    <x v="585"/>
    <x v="47"/>
    <x v="4"/>
    <x v="19"/>
    <x v="0"/>
    <n v="242.71"/>
    <s v="Revolut"/>
    <s v="Bank Transfer"/>
    <s v="Landlord"/>
  </r>
  <r>
    <s v="TXN101072"/>
    <x v="585"/>
    <x v="29"/>
    <x v="0"/>
    <x v="1"/>
    <x v="0"/>
    <n v="18.79"/>
    <s v="Main Bank"/>
    <s v="Debit Card"/>
    <s v="REWE"/>
  </r>
  <r>
    <s v="TXN101635"/>
    <x v="585"/>
    <x v="55"/>
    <x v="3"/>
    <x v="8"/>
    <x v="1"/>
    <n v="341.63"/>
    <s v="Main Bank"/>
    <s v="Debit Card"/>
    <s v="Employer Bonus"/>
  </r>
  <r>
    <s v="TXN102856"/>
    <x v="585"/>
    <x v="68"/>
    <x v="2"/>
    <x v="4"/>
    <x v="0"/>
    <n v="57.54"/>
    <s v="Revolut"/>
    <s v="Bank Transfer"/>
    <s v="MediaMarkt"/>
  </r>
  <r>
    <s v="TXN102847"/>
    <x v="585"/>
    <x v="56"/>
    <x v="5"/>
    <x v="20"/>
    <x v="0"/>
    <n v="657.28"/>
    <s v="Main Bank"/>
    <s v="Cash"/>
    <s v="Lufthansa"/>
  </r>
  <r>
    <s v="TXN100414"/>
    <x v="586"/>
    <x v="22"/>
    <x v="2"/>
    <x v="4"/>
    <x v="0"/>
    <n v="114.21"/>
    <s v="Main Bank"/>
    <s v="Debit Card"/>
    <s v="Zalando"/>
  </r>
  <r>
    <s v="TXN100887"/>
    <x v="586"/>
    <x v="18"/>
    <x v="1"/>
    <x v="13"/>
    <x v="0"/>
    <n v="69.16"/>
    <s v="Revolut"/>
    <s v="Debit Card"/>
    <s v="Netflix"/>
  </r>
  <r>
    <s v="TXN103460"/>
    <x v="586"/>
    <x v="3"/>
    <x v="1"/>
    <x v="2"/>
    <x v="0"/>
    <n v="30.13"/>
    <s v="Main Bank"/>
    <s v="Debit Card"/>
    <s v="Spotify"/>
  </r>
  <r>
    <s v="TXN100844"/>
    <x v="587"/>
    <x v="9"/>
    <x v="3"/>
    <x v="6"/>
    <x v="1"/>
    <n v="750.51"/>
    <s v="Revolut"/>
    <s v="Debit Card"/>
    <s v="Employer Bonus"/>
  </r>
  <r>
    <s v="TXN101865"/>
    <x v="587"/>
    <x v="31"/>
    <x v="3"/>
    <x v="6"/>
    <x v="1"/>
    <n v="706.99"/>
    <s v="Main Bank"/>
    <s v="Credit Card"/>
    <s v="Employer"/>
  </r>
  <r>
    <s v="TXN102499"/>
    <x v="587"/>
    <x v="31"/>
    <x v="3"/>
    <x v="6"/>
    <x v="1"/>
    <n v="661.91"/>
    <s v="Main Bank"/>
    <s v="Bank Transfer"/>
    <s v="Employer"/>
  </r>
  <r>
    <s v="TXN102210"/>
    <x v="587"/>
    <x v="67"/>
    <x v="3"/>
    <x v="6"/>
    <x v="1"/>
    <n v="814.55"/>
    <s v="Main Bank"/>
    <s v="Bank Transfer"/>
    <s v="Freelance Client"/>
  </r>
  <r>
    <s v="TXN103181"/>
    <x v="587"/>
    <x v="75"/>
    <x v="4"/>
    <x v="7"/>
    <x v="0"/>
    <n v="129.09"/>
    <s v="Main Bank"/>
    <s v="Credit Card"/>
    <s v="Energy Provider"/>
  </r>
  <r>
    <s v="TXN101371"/>
    <x v="588"/>
    <x v="67"/>
    <x v="3"/>
    <x v="6"/>
    <x v="1"/>
    <n v="779.49"/>
    <s v="Revolut"/>
    <s v="Credit Card"/>
    <s v="Freelance Client"/>
  </r>
  <r>
    <s v="TXN100789"/>
    <x v="588"/>
    <x v="57"/>
    <x v="2"/>
    <x v="3"/>
    <x v="0"/>
    <n v="112.28"/>
    <s v="Revolut"/>
    <s v="Bank Transfer"/>
    <s v="IKEA"/>
  </r>
  <r>
    <s v="TXN102625"/>
    <x v="588"/>
    <x v="88"/>
    <x v="6"/>
    <x v="11"/>
    <x v="0"/>
    <n v="55.82"/>
    <s v="Revolut"/>
    <s v="Debit Card"/>
    <s v="Shell"/>
  </r>
  <r>
    <s v="TXN102878"/>
    <x v="588"/>
    <x v="0"/>
    <x v="0"/>
    <x v="0"/>
    <x v="0"/>
    <n v="32.770000000000003"/>
    <s v="Main Bank"/>
    <s v="Debit Card"/>
    <s v="Lidl"/>
  </r>
  <r>
    <s v="TXN103486"/>
    <x v="588"/>
    <x v="77"/>
    <x v="1"/>
    <x v="22"/>
    <x v="0"/>
    <n v="70.400000000000006"/>
    <s v="Revolut"/>
    <s v="Bank Transfer"/>
    <s v="Steam"/>
  </r>
  <r>
    <s v="TXN100331"/>
    <x v="588"/>
    <x v="23"/>
    <x v="6"/>
    <x v="15"/>
    <x v="0"/>
    <n v="81.14"/>
    <s v="Main Bank"/>
    <s v="Debit Card"/>
    <s v="Shell"/>
  </r>
  <r>
    <s v="TXN101090"/>
    <x v="589"/>
    <x v="26"/>
    <x v="0"/>
    <x v="1"/>
    <x v="0"/>
    <n v="31.84"/>
    <s v="Main Bank"/>
    <s v="Credit Card"/>
    <s v="Local Restaurant"/>
  </r>
  <r>
    <s v="TXN102281"/>
    <x v="590"/>
    <x v="1"/>
    <x v="0"/>
    <x v="0"/>
    <x v="0"/>
    <n v="11.25"/>
    <s v="Revolut"/>
    <s v="Debit Card"/>
    <s v="EDEKA"/>
  </r>
  <r>
    <s v="TXN102640"/>
    <x v="590"/>
    <x v="84"/>
    <x v="7"/>
    <x v="21"/>
    <x v="0"/>
    <n v="92.13"/>
    <s v="Main Bank"/>
    <s v="Debit Card"/>
    <s v="Gym"/>
  </r>
  <r>
    <s v="TXN103159"/>
    <x v="590"/>
    <x v="55"/>
    <x v="3"/>
    <x v="8"/>
    <x v="1"/>
    <n v="435.96"/>
    <s v="Main Bank"/>
    <s v="Debit Card"/>
    <s v="Employer Bonus"/>
  </r>
  <r>
    <s v="TXN100199"/>
    <x v="590"/>
    <x v="9"/>
    <x v="3"/>
    <x v="6"/>
    <x v="1"/>
    <n v="772.98"/>
    <s v="Revolut"/>
    <s v="Credit Card"/>
    <s v="Employer Bonus"/>
  </r>
  <r>
    <s v="TXN101210"/>
    <x v="590"/>
    <x v="9"/>
    <x v="3"/>
    <x v="6"/>
    <x v="1"/>
    <n v="705.36"/>
    <s v="Savings"/>
    <s v="Debit Card"/>
    <s v="Employer Bonus"/>
  </r>
  <r>
    <s v="TXN101875"/>
    <x v="590"/>
    <x v="39"/>
    <x v="7"/>
    <x v="14"/>
    <x v="0"/>
    <n v="110.33"/>
    <s v="Main Bank"/>
    <s v="Bank Transfer"/>
    <s v="Doctor"/>
  </r>
  <r>
    <s v="TXN101472"/>
    <x v="590"/>
    <x v="70"/>
    <x v="7"/>
    <x v="18"/>
    <x v="0"/>
    <n v="78.08"/>
    <s v="Main Bank"/>
    <s v="Bank Transfer"/>
    <s v="Pharmacy"/>
  </r>
  <r>
    <s v="TXN102863"/>
    <x v="590"/>
    <x v="13"/>
    <x v="3"/>
    <x v="10"/>
    <x v="1"/>
    <n v="2400.73"/>
    <s v="Main Bank"/>
    <s v="Debit Card"/>
    <s v="Freelance Client"/>
  </r>
  <r>
    <s v="TXN102893"/>
    <x v="590"/>
    <x v="79"/>
    <x v="5"/>
    <x v="23"/>
    <x v="0"/>
    <n v="74.38"/>
    <s v="Main Bank"/>
    <s v="Credit Card"/>
    <s v="Travel Agency"/>
  </r>
  <r>
    <s v="TXN101793"/>
    <x v="591"/>
    <x v="85"/>
    <x v="2"/>
    <x v="16"/>
    <x v="0"/>
    <n v="196.02"/>
    <s v="Main Bank"/>
    <s v="Debit Card"/>
    <s v="IKEA"/>
  </r>
  <r>
    <s v="TXN100607"/>
    <x v="591"/>
    <x v="26"/>
    <x v="0"/>
    <x v="1"/>
    <x v="0"/>
    <n v="31.21"/>
    <s v="Main Bank"/>
    <s v="Debit Card"/>
    <s v="Local Restaurant"/>
  </r>
  <r>
    <s v="TXN100765"/>
    <x v="591"/>
    <x v="38"/>
    <x v="4"/>
    <x v="7"/>
    <x v="0"/>
    <n v="224.14"/>
    <s v="Revolut"/>
    <s v="Debit Card"/>
    <s v="Vodafone"/>
  </r>
  <r>
    <s v="TXN103281"/>
    <x v="591"/>
    <x v="5"/>
    <x v="2"/>
    <x v="4"/>
    <x v="0"/>
    <n v="75.19"/>
    <s v="Revolut"/>
    <s v="Debit Card"/>
    <s v="Amazon"/>
  </r>
  <r>
    <s v="TXN102889"/>
    <x v="592"/>
    <x v="55"/>
    <x v="3"/>
    <x v="8"/>
    <x v="1"/>
    <n v="358.17"/>
    <s v="Revolut"/>
    <s v="Bank Transfer"/>
    <s v="Employer Bonus"/>
  </r>
  <r>
    <s v="TXN101651"/>
    <x v="592"/>
    <x v="53"/>
    <x v="4"/>
    <x v="19"/>
    <x v="0"/>
    <n v="309.85000000000002"/>
    <s v="Main Bank"/>
    <s v="Bank Transfer"/>
    <s v="Energy Provider"/>
  </r>
  <r>
    <s v="TXN102263"/>
    <x v="592"/>
    <x v="16"/>
    <x v="3"/>
    <x v="10"/>
    <x v="1"/>
    <n v="2693.83"/>
    <s v="Savings"/>
    <s v="Credit Card"/>
    <s v="Employer"/>
  </r>
  <r>
    <s v="TXN102304"/>
    <x v="592"/>
    <x v="26"/>
    <x v="0"/>
    <x v="1"/>
    <x v="0"/>
    <n v="12.18"/>
    <s v="Savings"/>
    <s v="Direct Debit"/>
    <s v="Local Restaurant"/>
  </r>
  <r>
    <s v="TXN102478"/>
    <x v="592"/>
    <x v="79"/>
    <x v="5"/>
    <x v="23"/>
    <x v="0"/>
    <n v="253.28"/>
    <s v="Savings"/>
    <s v="Bank Transfer"/>
    <s v="Travel Agency"/>
  </r>
  <r>
    <s v="TXN100715"/>
    <x v="593"/>
    <x v="51"/>
    <x v="6"/>
    <x v="15"/>
    <x v="0"/>
    <n v="120.59"/>
    <s v="Main Bank"/>
    <s v="Debit Card"/>
    <s v="DB"/>
  </r>
  <r>
    <s v="TXN100851"/>
    <x v="593"/>
    <x v="50"/>
    <x v="4"/>
    <x v="17"/>
    <x v="0"/>
    <n v="250.33"/>
    <s v="Revolut"/>
    <s v="Debit Card"/>
    <s v="Energy Provider"/>
  </r>
  <r>
    <s v="TXN103086"/>
    <x v="593"/>
    <x v="61"/>
    <x v="1"/>
    <x v="2"/>
    <x v="0"/>
    <n v="24.35"/>
    <s v="Revolut"/>
    <s v="Credit Card"/>
    <s v="Steam"/>
  </r>
  <r>
    <s v="TXN100509"/>
    <x v="593"/>
    <x v="31"/>
    <x v="3"/>
    <x v="6"/>
    <x v="1"/>
    <n v="615.01"/>
    <s v="Main Bank"/>
    <s v="Debit Card"/>
    <s v="Employer"/>
  </r>
  <r>
    <s v="TXN100965"/>
    <x v="594"/>
    <x v="26"/>
    <x v="0"/>
    <x v="1"/>
    <x v="0"/>
    <n v="33.32"/>
    <s v="Main Bank"/>
    <s v="Debit Card"/>
    <s v="Local Restaurant"/>
  </r>
  <r>
    <s v="TXN102954"/>
    <x v="594"/>
    <x v="68"/>
    <x v="2"/>
    <x v="4"/>
    <x v="0"/>
    <n v="165.51"/>
    <s v="Main Bank"/>
    <s v="Bank Transfer"/>
    <s v="MediaMarkt"/>
  </r>
  <r>
    <s v="TXN103037"/>
    <x v="594"/>
    <x v="51"/>
    <x v="6"/>
    <x v="15"/>
    <x v="0"/>
    <n v="123.89"/>
    <s v="Revolut"/>
    <s v="Debit Card"/>
    <s v="DB"/>
  </r>
  <r>
    <s v="TXN103200"/>
    <x v="594"/>
    <x v="15"/>
    <x v="6"/>
    <x v="11"/>
    <x v="0"/>
    <n v="41.71"/>
    <s v="Main Bank"/>
    <s v="Bank Transfer"/>
    <s v="Auto Service"/>
  </r>
  <r>
    <s v="TXN101154"/>
    <x v="594"/>
    <x v="3"/>
    <x v="1"/>
    <x v="2"/>
    <x v="0"/>
    <n v="41.44"/>
    <s v="Revolut"/>
    <s v="Debit Card"/>
    <s v="Spotify"/>
  </r>
  <r>
    <s v="TXN100665"/>
    <x v="594"/>
    <x v="47"/>
    <x v="4"/>
    <x v="19"/>
    <x v="0"/>
    <n v="912.25"/>
    <s v="Main Bank"/>
    <s v="Bank Transfer"/>
    <s v="Landlord"/>
  </r>
  <r>
    <s v="TXN102051"/>
    <x v="595"/>
    <x v="62"/>
    <x v="2"/>
    <x v="4"/>
    <x v="0"/>
    <n v="272.10000000000002"/>
    <s v="Main Bank"/>
    <s v="Credit Card"/>
    <s v="IKEA"/>
  </r>
  <r>
    <s v="TXN102054"/>
    <x v="595"/>
    <x v="9"/>
    <x v="3"/>
    <x v="6"/>
    <x v="1"/>
    <n v="641.83000000000004"/>
    <s v="Main Bank"/>
    <s v="Debit Card"/>
    <s v="Employer Bonus"/>
  </r>
  <r>
    <s v="TXN101952"/>
    <x v="595"/>
    <x v="14"/>
    <x v="0"/>
    <x v="0"/>
    <x v="0"/>
    <n v="52.36"/>
    <s v="Main Bank"/>
    <s v="Debit Card"/>
    <s v="REWE"/>
  </r>
  <r>
    <s v="TXN103024"/>
    <x v="595"/>
    <x v="78"/>
    <x v="6"/>
    <x v="15"/>
    <x v="0"/>
    <n v="68.08"/>
    <s v="Main Bank"/>
    <s v="Debit Card"/>
    <s v="Auto Service"/>
  </r>
  <r>
    <s v="TXN103063"/>
    <x v="595"/>
    <x v="18"/>
    <x v="1"/>
    <x v="13"/>
    <x v="0"/>
    <n v="12.61"/>
    <s v="Revolut"/>
    <s v="Bank Transfer"/>
    <s v="Netflix"/>
  </r>
  <r>
    <s v="TXN101239"/>
    <x v="595"/>
    <x v="31"/>
    <x v="3"/>
    <x v="6"/>
    <x v="1"/>
    <n v="705.52"/>
    <s v="Revolut"/>
    <s v="Credit Card"/>
    <s v="Employer"/>
  </r>
  <r>
    <s v="TXN101505"/>
    <x v="595"/>
    <x v="40"/>
    <x v="6"/>
    <x v="12"/>
    <x v="0"/>
    <n v="22.99"/>
    <s v="Revolut"/>
    <s v="Debit Card"/>
    <s v="DB"/>
  </r>
  <r>
    <s v="TXN101782"/>
    <x v="595"/>
    <x v="11"/>
    <x v="3"/>
    <x v="8"/>
    <x v="1"/>
    <n v="386.46"/>
    <s v="Revolut"/>
    <s v="Bank Transfer"/>
    <s v="Freelance Client"/>
  </r>
  <r>
    <s v="TXN100666"/>
    <x v="595"/>
    <x v="21"/>
    <x v="0"/>
    <x v="1"/>
    <x v="0"/>
    <n v="32.700000000000003"/>
    <s v="Revolut"/>
    <s v="Direct Debit"/>
    <s v="EDEKA"/>
  </r>
  <r>
    <s v="TXN103347"/>
    <x v="596"/>
    <x v="21"/>
    <x v="0"/>
    <x v="1"/>
    <x v="0"/>
    <n v="102.97"/>
    <s v="Main Bank"/>
    <s v="Bank Transfer"/>
    <s v="EDEKA"/>
  </r>
  <r>
    <s v="TXN101015"/>
    <x v="596"/>
    <x v="46"/>
    <x v="7"/>
    <x v="18"/>
    <x v="0"/>
    <n v="47.26"/>
    <s v="Savings"/>
    <s v="Credit Card"/>
    <s v="Gym"/>
  </r>
  <r>
    <s v="TXN101087"/>
    <x v="596"/>
    <x v="61"/>
    <x v="1"/>
    <x v="2"/>
    <x v="0"/>
    <n v="71.45"/>
    <s v="Savings"/>
    <s v="Debit Card"/>
    <s v="Steam"/>
  </r>
  <r>
    <s v="TXN102182"/>
    <x v="596"/>
    <x v="21"/>
    <x v="0"/>
    <x v="1"/>
    <x v="0"/>
    <n v="48"/>
    <s v="Savings"/>
    <s v="Debit Card"/>
    <s v="EDEKA"/>
  </r>
  <r>
    <s v="TXN102400"/>
    <x v="596"/>
    <x v="74"/>
    <x v="1"/>
    <x v="13"/>
    <x v="0"/>
    <n v="23.92"/>
    <s v="Main Bank"/>
    <s v="Bank Transfer"/>
    <s v="Cinema"/>
  </r>
  <r>
    <s v="TXN101652"/>
    <x v="596"/>
    <x v="34"/>
    <x v="0"/>
    <x v="5"/>
    <x v="0"/>
    <n v="39.25"/>
    <s v="Main Bank"/>
    <s v="Debit Card"/>
    <s v="Local Restaurant"/>
  </r>
  <r>
    <s v="TXN103212"/>
    <x v="596"/>
    <x v="61"/>
    <x v="1"/>
    <x v="2"/>
    <x v="0"/>
    <n v="11.45"/>
    <s v="Revolut"/>
    <s v="Credit Card"/>
    <s v="Steam"/>
  </r>
  <r>
    <s v="TXN102220"/>
    <x v="596"/>
    <x v="50"/>
    <x v="4"/>
    <x v="17"/>
    <x v="0"/>
    <n v="199.97"/>
    <s v="Savings"/>
    <s v="Credit Card"/>
    <s v="Energy Provider"/>
  </r>
  <r>
    <s v="TXN103197"/>
    <x v="596"/>
    <x v="41"/>
    <x v="3"/>
    <x v="10"/>
    <x v="1"/>
    <n v="2897.12"/>
    <s v="Main Bank"/>
    <s v="Debit Card"/>
    <s v="Employer Bonus"/>
  </r>
  <r>
    <s v="TXN103227"/>
    <x v="597"/>
    <x v="2"/>
    <x v="0"/>
    <x v="1"/>
    <x v="0"/>
    <n v="112.22"/>
    <s v="Main Bank"/>
    <s v="Direct Debit"/>
    <s v="Lidl"/>
  </r>
  <r>
    <s v="TXN102226"/>
    <x v="597"/>
    <x v="24"/>
    <x v="2"/>
    <x v="16"/>
    <x v="0"/>
    <n v="181.89"/>
    <s v="Revolut"/>
    <s v="Credit Card"/>
    <s v="MediaMarkt"/>
  </r>
  <r>
    <s v="TXN100354"/>
    <x v="597"/>
    <x v="81"/>
    <x v="0"/>
    <x v="5"/>
    <x v="0"/>
    <n v="14.13"/>
    <s v="Main Bank"/>
    <s v="Bank Transfer"/>
    <s v="REWE"/>
  </r>
  <r>
    <s v="TXN101584"/>
    <x v="597"/>
    <x v="68"/>
    <x v="2"/>
    <x v="4"/>
    <x v="0"/>
    <n v="167.72"/>
    <s v="Main Bank"/>
    <s v="Debit Card"/>
    <s v="MediaMarkt"/>
  </r>
  <r>
    <s v="TXN100131"/>
    <x v="597"/>
    <x v="59"/>
    <x v="6"/>
    <x v="11"/>
    <x v="0"/>
    <n v="65.81"/>
    <s v="Revolut"/>
    <s v="Bank Transfer"/>
    <s v="Aral"/>
  </r>
  <r>
    <s v="TXN100741"/>
    <x v="597"/>
    <x v="62"/>
    <x v="2"/>
    <x v="4"/>
    <x v="0"/>
    <n v="229.72"/>
    <s v="Main Bank"/>
    <s v="Bank Transfer"/>
    <s v="IKEA"/>
  </r>
  <r>
    <s v="TXN101798"/>
    <x v="597"/>
    <x v="71"/>
    <x v="4"/>
    <x v="17"/>
    <x v="0"/>
    <n v="127.4"/>
    <s v="Main Bank"/>
    <s v="Debit Card"/>
    <s v="Vodafone"/>
  </r>
  <r>
    <s v="TXN101701"/>
    <x v="597"/>
    <x v="11"/>
    <x v="3"/>
    <x v="8"/>
    <x v="1"/>
    <n v="332.91"/>
    <s v="Main Bank"/>
    <s v="Cash"/>
    <s v="Freelance Client"/>
  </r>
  <r>
    <s v="TXN101630"/>
    <x v="598"/>
    <x v="4"/>
    <x v="2"/>
    <x v="3"/>
    <x v="0"/>
    <n v="48.2"/>
    <s v="Main Bank"/>
    <s v="Debit Card"/>
    <s v="Zalando"/>
  </r>
  <r>
    <s v="TXN101592"/>
    <x v="598"/>
    <x v="41"/>
    <x v="3"/>
    <x v="10"/>
    <x v="1"/>
    <n v="2685.13"/>
    <s v="Revolut"/>
    <s v="Bank Transfer"/>
    <s v="Employer Bonus"/>
  </r>
  <r>
    <s v="TXN103423"/>
    <x v="598"/>
    <x v="92"/>
    <x v="5"/>
    <x v="20"/>
    <x v="0"/>
    <n v="386.29"/>
    <s v="Revolut"/>
    <s v="Debit Card"/>
    <s v="Travel Agency"/>
  </r>
  <r>
    <s v="TXN102072"/>
    <x v="598"/>
    <x v="4"/>
    <x v="2"/>
    <x v="3"/>
    <x v="0"/>
    <n v="112.01"/>
    <s v="Main Bank"/>
    <s v="Bank Transfer"/>
    <s v="Zalando"/>
  </r>
  <r>
    <s v="TXN100597"/>
    <x v="598"/>
    <x v="65"/>
    <x v="1"/>
    <x v="2"/>
    <x v="0"/>
    <n v="27.67"/>
    <s v="Main Bank"/>
    <s v="Debit Card"/>
    <s v="Netflix"/>
  </r>
  <r>
    <s v="TXN101055"/>
    <x v="599"/>
    <x v="31"/>
    <x v="3"/>
    <x v="6"/>
    <x v="1"/>
    <n v="644.22"/>
    <s v="Revolut"/>
    <s v="Debit Card"/>
    <s v="Employer"/>
  </r>
  <r>
    <s v="TXN103026"/>
    <x v="599"/>
    <x v="51"/>
    <x v="6"/>
    <x v="15"/>
    <x v="0"/>
    <n v="118.35"/>
    <s v="Savings"/>
    <s v="Bank Transfer"/>
    <s v="DB"/>
  </r>
  <r>
    <s v="TXN101694"/>
    <x v="599"/>
    <x v="1"/>
    <x v="0"/>
    <x v="0"/>
    <x v="0"/>
    <n v="29.59"/>
    <s v="Savings"/>
    <s v="Debit Card"/>
    <s v="EDEKA"/>
  </r>
  <r>
    <s v="TXN101137"/>
    <x v="599"/>
    <x v="41"/>
    <x v="3"/>
    <x v="10"/>
    <x v="1"/>
    <n v="2474.2800000000002"/>
    <s v="Main Bank"/>
    <s v="Debit Card"/>
    <s v="Employer Bonus"/>
  </r>
  <r>
    <s v="TXN100689"/>
    <x v="599"/>
    <x v="89"/>
    <x v="5"/>
    <x v="23"/>
    <x v="0"/>
    <n v="997.69"/>
    <s v="Main Bank"/>
    <s v="Bank Transfer"/>
    <s v="Lufthansa"/>
  </r>
  <r>
    <s v="TXN102430"/>
    <x v="599"/>
    <x v="9"/>
    <x v="3"/>
    <x v="6"/>
    <x v="1"/>
    <n v="696.35"/>
    <s v="Main Bank"/>
    <s v="Debit Card"/>
    <s v="Employer Bonus"/>
  </r>
  <r>
    <s v="TXN101803"/>
    <x v="599"/>
    <x v="59"/>
    <x v="6"/>
    <x v="11"/>
    <x v="0"/>
    <n v="28.76"/>
    <s v="Main Bank"/>
    <s v="Cash"/>
    <s v="Aral"/>
  </r>
  <r>
    <s v="TXN103268"/>
    <x v="600"/>
    <x v="62"/>
    <x v="2"/>
    <x v="4"/>
    <x v="0"/>
    <n v="141.49"/>
    <s v="Main Bank"/>
    <s v="Credit Card"/>
    <s v="IKEA"/>
  </r>
  <r>
    <s v="TXN103090"/>
    <x v="600"/>
    <x v="34"/>
    <x v="0"/>
    <x v="5"/>
    <x v="0"/>
    <n v="95.02"/>
    <s v="Savings"/>
    <s v="Credit Card"/>
    <s v="Local Restaurant"/>
  </r>
  <r>
    <s v="TXN101251"/>
    <x v="600"/>
    <x v="87"/>
    <x v="5"/>
    <x v="20"/>
    <x v="0"/>
    <n v="458.67"/>
    <s v="Main Bank"/>
    <s v="Debit Card"/>
    <s v="Booking.com"/>
  </r>
  <r>
    <s v="TXN100592"/>
    <x v="600"/>
    <x v="60"/>
    <x v="1"/>
    <x v="22"/>
    <x v="0"/>
    <n v="59.51"/>
    <s v="Main Bank"/>
    <s v="Direct Debit"/>
    <s v="Spotify"/>
  </r>
  <r>
    <s v="TXN102851"/>
    <x v="601"/>
    <x v="3"/>
    <x v="1"/>
    <x v="2"/>
    <x v="0"/>
    <n v="13.74"/>
    <s v="Main Bank"/>
    <s v="Bank Transfer"/>
    <s v="Spotify"/>
  </r>
  <r>
    <s v="TXN100430"/>
    <x v="601"/>
    <x v="38"/>
    <x v="4"/>
    <x v="7"/>
    <x v="0"/>
    <n v="328.9"/>
    <s v="Revolut"/>
    <s v="Debit Card"/>
    <s v="Vodafone"/>
  </r>
  <r>
    <s v="TXN102884"/>
    <x v="601"/>
    <x v="71"/>
    <x v="4"/>
    <x v="17"/>
    <x v="0"/>
    <n v="383.16"/>
    <s v="Revolut"/>
    <s v="Credit Card"/>
    <s v="Vodafone"/>
  </r>
  <r>
    <s v="TXN102594"/>
    <x v="601"/>
    <x v="57"/>
    <x v="2"/>
    <x v="3"/>
    <x v="0"/>
    <n v="318.88"/>
    <s v="Main Bank"/>
    <s v="Bank Transfer"/>
    <s v="IKEA"/>
  </r>
  <r>
    <s v="TXN102562"/>
    <x v="601"/>
    <x v="58"/>
    <x v="7"/>
    <x v="21"/>
    <x v="0"/>
    <n v="42.1"/>
    <s v="Main Bank"/>
    <s v="Bank Transfer"/>
    <s v="Doctor"/>
  </r>
  <r>
    <s v="TXN100578"/>
    <x v="601"/>
    <x v="31"/>
    <x v="3"/>
    <x v="6"/>
    <x v="1"/>
    <n v="700.29"/>
    <s v="Main Bank"/>
    <s v="Direct Debit"/>
    <s v="Employer"/>
  </r>
  <r>
    <s v="TXN101864"/>
    <x v="601"/>
    <x v="33"/>
    <x v="2"/>
    <x v="16"/>
    <x v="0"/>
    <n v="83.64"/>
    <s v="Main Bank"/>
    <s v="Debit Card"/>
    <s v="Amazon"/>
  </r>
  <r>
    <s v="TXN100153"/>
    <x v="602"/>
    <x v="25"/>
    <x v="0"/>
    <x v="0"/>
    <x v="0"/>
    <n v="21.35"/>
    <s v="Revolut"/>
    <s v="Debit Card"/>
    <s v="McDonald's"/>
  </r>
  <r>
    <s v="TXN101070"/>
    <x v="602"/>
    <x v="81"/>
    <x v="0"/>
    <x v="5"/>
    <x v="0"/>
    <n v="15.49"/>
    <s v="Main Bank"/>
    <s v="Bank Transfer"/>
    <s v="REWE"/>
  </r>
  <r>
    <s v="TXN100253"/>
    <x v="602"/>
    <x v="72"/>
    <x v="3"/>
    <x v="8"/>
    <x v="1"/>
    <n v="331.52"/>
    <s v="Main Bank"/>
    <s v="Bank Transfer"/>
    <s v="Employer"/>
  </r>
  <r>
    <s v="TXN102642"/>
    <x v="602"/>
    <x v="63"/>
    <x v="4"/>
    <x v="19"/>
    <x v="0"/>
    <n v="127.55"/>
    <s v="Savings"/>
    <s v="Direct Debit"/>
    <s v="Vodafone"/>
  </r>
  <r>
    <s v="TXN100424"/>
    <x v="603"/>
    <x v="4"/>
    <x v="2"/>
    <x v="3"/>
    <x v="0"/>
    <n v="195.92"/>
    <s v="Main Bank"/>
    <s v="Credit Card"/>
    <s v="Zalando"/>
  </r>
  <r>
    <s v="TXN101269"/>
    <x v="603"/>
    <x v="49"/>
    <x v="1"/>
    <x v="13"/>
    <x v="0"/>
    <n v="73.53"/>
    <s v="Main Bank"/>
    <s v="Bank Transfer"/>
    <s v="Spotify"/>
  </r>
  <r>
    <s v="TXN101938"/>
    <x v="603"/>
    <x v="16"/>
    <x v="3"/>
    <x v="10"/>
    <x v="1"/>
    <n v="2263.9499999999998"/>
    <s v="Main Bank"/>
    <s v="Bank Transfer"/>
    <s v="Employer"/>
  </r>
  <r>
    <s v="TXN100012"/>
    <x v="603"/>
    <x v="11"/>
    <x v="3"/>
    <x v="8"/>
    <x v="1"/>
    <n v="384.95"/>
    <s v="Main Bank"/>
    <s v="Credit Card"/>
    <s v="Freelance Client"/>
  </r>
  <r>
    <s v="TXN100026"/>
    <x v="603"/>
    <x v="87"/>
    <x v="5"/>
    <x v="20"/>
    <x v="0"/>
    <n v="211.09"/>
    <s v="Main Bank"/>
    <s v="Debit Card"/>
    <s v="Booking.com"/>
  </r>
  <r>
    <s v="TXN102833"/>
    <x v="604"/>
    <x v="43"/>
    <x v="4"/>
    <x v="17"/>
    <x v="0"/>
    <n v="550.85"/>
    <s v="Main Bank"/>
    <s v="Bank Transfer"/>
    <s v="Landlord"/>
  </r>
  <r>
    <s v="TXN102936"/>
    <x v="604"/>
    <x v="48"/>
    <x v="0"/>
    <x v="5"/>
    <x v="0"/>
    <n v="7.5"/>
    <s v="Main Bank"/>
    <s v="Direct Debit"/>
    <s v="EDEKA"/>
  </r>
  <r>
    <s v="TXN101764"/>
    <x v="604"/>
    <x v="5"/>
    <x v="2"/>
    <x v="4"/>
    <x v="0"/>
    <n v="293.74"/>
    <s v="Savings"/>
    <s v="Debit Card"/>
    <s v="Amazon"/>
  </r>
  <r>
    <s v="TXN100990"/>
    <x v="604"/>
    <x v="41"/>
    <x v="3"/>
    <x v="10"/>
    <x v="1"/>
    <n v="2422.48"/>
    <s v="Revolut"/>
    <s v="Debit Card"/>
    <s v="Employer Bonus"/>
  </r>
  <r>
    <s v="TXN101949"/>
    <x v="604"/>
    <x v="51"/>
    <x v="6"/>
    <x v="15"/>
    <x v="0"/>
    <n v="112.29"/>
    <s v="Main Bank"/>
    <s v="Debit Card"/>
    <s v="DB"/>
  </r>
  <r>
    <s v="TXN102660"/>
    <x v="604"/>
    <x v="76"/>
    <x v="1"/>
    <x v="22"/>
    <x v="0"/>
    <n v="78.3"/>
    <s v="Main Bank"/>
    <s v="Bank Transfer"/>
    <s v="Netflix"/>
  </r>
  <r>
    <s v="TXN102053"/>
    <x v="605"/>
    <x v="0"/>
    <x v="0"/>
    <x v="0"/>
    <x v="0"/>
    <n v="87.18"/>
    <s v="Main Bank"/>
    <s v="Debit Card"/>
    <s v="Lidl"/>
  </r>
  <r>
    <s v="TXN101862"/>
    <x v="605"/>
    <x v="35"/>
    <x v="1"/>
    <x v="13"/>
    <x v="0"/>
    <n v="62.43"/>
    <s v="Revolut"/>
    <s v="Bank Transfer"/>
    <s v="Steam"/>
  </r>
  <r>
    <s v="TXN102976"/>
    <x v="605"/>
    <x v="50"/>
    <x v="4"/>
    <x v="17"/>
    <x v="0"/>
    <n v="320.02999999999997"/>
    <s v="Main Bank"/>
    <s v="Debit Card"/>
    <s v="Energy Provider"/>
  </r>
  <r>
    <s v="TXN102431"/>
    <x v="606"/>
    <x v="35"/>
    <x v="1"/>
    <x v="13"/>
    <x v="0"/>
    <n v="13.4"/>
    <s v="Main Bank"/>
    <s v="Credit Card"/>
    <s v="Steam"/>
  </r>
  <r>
    <s v="TXN102061"/>
    <x v="606"/>
    <x v="43"/>
    <x v="4"/>
    <x v="17"/>
    <x v="0"/>
    <n v="242.43"/>
    <s v="Revolut"/>
    <s v="Bank Transfer"/>
    <s v="Landlord"/>
  </r>
  <r>
    <s v="TXN102797"/>
    <x v="606"/>
    <x v="47"/>
    <x v="4"/>
    <x v="19"/>
    <x v="0"/>
    <n v="950"/>
    <s v="Revolut"/>
    <s v="Credit Card"/>
    <s v="Landlord"/>
  </r>
  <r>
    <s v="TXN100631"/>
    <x v="606"/>
    <x v="64"/>
    <x v="7"/>
    <x v="21"/>
    <x v="0"/>
    <n v="226.55"/>
    <s v="Main Bank"/>
    <s v="Bank Transfer"/>
    <s v="Pharmacy"/>
  </r>
  <r>
    <s v="TXN101237"/>
    <x v="607"/>
    <x v="9"/>
    <x v="3"/>
    <x v="6"/>
    <x v="1"/>
    <n v="682.48"/>
    <s v="Revolut"/>
    <s v="Debit Card"/>
    <s v="Employer Bonus"/>
  </r>
  <r>
    <s v="TXN102813"/>
    <x v="607"/>
    <x v="35"/>
    <x v="1"/>
    <x v="13"/>
    <x v="0"/>
    <n v="91.06"/>
    <s v="Main Bank"/>
    <s v="Bank Transfer"/>
    <s v="Steam"/>
  </r>
  <r>
    <s v="TXN100630"/>
    <x v="607"/>
    <x v="26"/>
    <x v="0"/>
    <x v="1"/>
    <x v="0"/>
    <n v="19.98"/>
    <s v="Main Bank"/>
    <s v="Debit Card"/>
    <s v="Local Restaurant"/>
  </r>
  <r>
    <s v="TXN102093"/>
    <x v="607"/>
    <x v="0"/>
    <x v="0"/>
    <x v="0"/>
    <x v="0"/>
    <n v="29.31"/>
    <s v="Revolut"/>
    <s v="Bank Transfer"/>
    <s v="Lidl"/>
  </r>
  <r>
    <s v="TXN102158"/>
    <x v="608"/>
    <x v="30"/>
    <x v="6"/>
    <x v="11"/>
    <x v="0"/>
    <n v="35.71"/>
    <s v="Revolut"/>
    <s v="Bank Transfer"/>
    <s v="DB"/>
  </r>
  <r>
    <s v="TXN102370"/>
    <x v="608"/>
    <x v="46"/>
    <x v="7"/>
    <x v="18"/>
    <x v="0"/>
    <n v="156.55000000000001"/>
    <s v="Savings"/>
    <s v="Bank Transfer"/>
    <s v="Gym"/>
  </r>
  <r>
    <s v="TXN102646"/>
    <x v="608"/>
    <x v="30"/>
    <x v="6"/>
    <x v="11"/>
    <x v="0"/>
    <n v="110.86"/>
    <s v="Main Bank"/>
    <s v="Debit Card"/>
    <s v="DB"/>
  </r>
  <r>
    <s v="TXN100213"/>
    <x v="608"/>
    <x v="74"/>
    <x v="1"/>
    <x v="13"/>
    <x v="0"/>
    <n v="77.56"/>
    <s v="Main Bank"/>
    <s v="Bank Transfer"/>
    <s v="Cinema"/>
  </r>
  <r>
    <s v="TXN101871"/>
    <x v="608"/>
    <x v="41"/>
    <x v="3"/>
    <x v="10"/>
    <x v="1"/>
    <n v="2792.55"/>
    <s v="Savings"/>
    <s v="Debit Card"/>
    <s v="Employer Bonus"/>
  </r>
  <r>
    <s v="TXN100223"/>
    <x v="609"/>
    <x v="10"/>
    <x v="4"/>
    <x v="7"/>
    <x v="0"/>
    <n v="259.7"/>
    <s v="Main Bank"/>
    <s v="Debit Card"/>
    <s v="Landlord"/>
  </r>
  <r>
    <s v="TXN101123"/>
    <x v="609"/>
    <x v="31"/>
    <x v="3"/>
    <x v="6"/>
    <x v="1"/>
    <n v="653.24"/>
    <s v="Main Bank"/>
    <s v="Debit Card"/>
    <s v="Employer"/>
  </r>
  <r>
    <s v="TXN102114"/>
    <x v="609"/>
    <x v="31"/>
    <x v="3"/>
    <x v="6"/>
    <x v="1"/>
    <n v="663.83"/>
    <s v="Main Bank"/>
    <s v="Cash"/>
    <s v="Employer"/>
  </r>
  <r>
    <s v="TXN100614"/>
    <x v="609"/>
    <x v="50"/>
    <x v="4"/>
    <x v="17"/>
    <x v="0"/>
    <n v="89.09"/>
    <s v="Revolut"/>
    <s v="Debit Card"/>
    <s v="Energy Provider"/>
  </r>
  <r>
    <s v="TXN100810"/>
    <x v="609"/>
    <x v="75"/>
    <x v="4"/>
    <x v="7"/>
    <x v="0"/>
    <n v="274.3"/>
    <s v="Main Bank"/>
    <s v="Debit Card"/>
    <s v="Energy Provider"/>
  </r>
  <r>
    <s v="TXN101209"/>
    <x v="609"/>
    <x v="21"/>
    <x v="0"/>
    <x v="1"/>
    <x v="0"/>
    <n v="176.98"/>
    <s v="Revolut"/>
    <s v="Bank Transfer"/>
    <s v="EDEKA"/>
  </r>
  <r>
    <s v="TXN102941"/>
    <x v="609"/>
    <x v="81"/>
    <x v="0"/>
    <x v="5"/>
    <x v="0"/>
    <n v="25.49"/>
    <s v="Main Bank"/>
    <s v="Debit Card"/>
    <s v="REWE"/>
  </r>
  <r>
    <s v="TXN101727"/>
    <x v="609"/>
    <x v="20"/>
    <x v="2"/>
    <x v="3"/>
    <x v="0"/>
    <n v="87.43"/>
    <s v="Main Bank"/>
    <s v="Credit Card"/>
    <s v="Amazon"/>
  </r>
  <r>
    <s v="TXN102988"/>
    <x v="610"/>
    <x v="44"/>
    <x v="2"/>
    <x v="16"/>
    <x v="0"/>
    <n v="107.76"/>
    <s v="Revolut"/>
    <s v="Direct Debit"/>
    <s v="Zalando"/>
  </r>
  <r>
    <s v="TXN101931"/>
    <x v="610"/>
    <x v="85"/>
    <x v="2"/>
    <x v="16"/>
    <x v="0"/>
    <n v="296.01"/>
    <s v="Revolut"/>
    <s v="Debit Card"/>
    <s v="IKEA"/>
  </r>
  <r>
    <s v="TXN102645"/>
    <x v="610"/>
    <x v="38"/>
    <x v="4"/>
    <x v="7"/>
    <x v="0"/>
    <n v="196.39"/>
    <s v="Savings"/>
    <s v="Cash"/>
    <s v="Vodafone"/>
  </r>
  <r>
    <s v="TXN103186"/>
    <x v="610"/>
    <x v="22"/>
    <x v="2"/>
    <x v="4"/>
    <x v="0"/>
    <n v="47.28"/>
    <s v="Revolut"/>
    <s v="Debit Card"/>
    <s v="Zalando"/>
  </r>
  <r>
    <s v="TXN102159"/>
    <x v="610"/>
    <x v="68"/>
    <x v="2"/>
    <x v="4"/>
    <x v="0"/>
    <n v="79.23"/>
    <s v="Revolut"/>
    <s v="Credit Card"/>
    <s v="MediaMarkt"/>
  </r>
  <r>
    <s v="TXN101437"/>
    <x v="610"/>
    <x v="26"/>
    <x v="0"/>
    <x v="1"/>
    <x v="0"/>
    <n v="51.08"/>
    <s v="Main Bank"/>
    <s v="Debit Card"/>
    <s v="Local Restaurant"/>
  </r>
  <r>
    <s v="TXN100422"/>
    <x v="611"/>
    <x v="92"/>
    <x v="5"/>
    <x v="20"/>
    <x v="0"/>
    <n v="511.74"/>
    <s v="Revolut"/>
    <s v="Cash"/>
    <s v="Travel Agency"/>
  </r>
  <r>
    <s v="TXN100225"/>
    <x v="611"/>
    <x v="14"/>
    <x v="0"/>
    <x v="0"/>
    <x v="0"/>
    <n v="48.17"/>
    <s v="Main Bank"/>
    <s v="Debit Card"/>
    <s v="REWE"/>
  </r>
  <r>
    <s v="TXN101340"/>
    <x v="611"/>
    <x v="75"/>
    <x v="4"/>
    <x v="7"/>
    <x v="0"/>
    <n v="715.69"/>
    <s v="Main Bank"/>
    <s v="Debit Card"/>
    <s v="Energy Provider"/>
  </r>
  <r>
    <s v="TXN103409"/>
    <x v="611"/>
    <x v="0"/>
    <x v="0"/>
    <x v="0"/>
    <x v="0"/>
    <n v="15.34"/>
    <s v="Main Bank"/>
    <s v="Bank Transfer"/>
    <s v="Lidl"/>
  </r>
  <r>
    <s v="TXN101660"/>
    <x v="611"/>
    <x v="85"/>
    <x v="2"/>
    <x v="16"/>
    <x v="0"/>
    <n v="92.37"/>
    <s v="Main Bank"/>
    <s v="Debit Card"/>
    <s v="IKEA"/>
  </r>
  <r>
    <s v="TXN102661"/>
    <x v="612"/>
    <x v="33"/>
    <x v="2"/>
    <x v="16"/>
    <x v="0"/>
    <n v="58.2"/>
    <s v="Revolut"/>
    <s v="Bank Transfer"/>
    <s v="Amazon"/>
  </r>
  <r>
    <s v="TXN101473"/>
    <x v="612"/>
    <x v="11"/>
    <x v="3"/>
    <x v="8"/>
    <x v="1"/>
    <n v="327.08"/>
    <s v="Main Bank"/>
    <s v="Debit Card"/>
    <s v="Freelance Client"/>
  </r>
  <r>
    <s v="TXN101799"/>
    <x v="613"/>
    <x v="43"/>
    <x v="4"/>
    <x v="17"/>
    <x v="0"/>
    <n v="155.44"/>
    <s v="Main Bank"/>
    <s v="Debit Card"/>
    <s v="Landlord"/>
  </r>
  <r>
    <s v="TXN100096"/>
    <x v="613"/>
    <x v="66"/>
    <x v="2"/>
    <x v="3"/>
    <x v="0"/>
    <n v="122.97"/>
    <s v="Main Bank"/>
    <s v="Bank Transfer"/>
    <s v="MediaMarkt"/>
  </r>
  <r>
    <s v="TXN103387"/>
    <x v="613"/>
    <x v="29"/>
    <x v="0"/>
    <x v="1"/>
    <x v="0"/>
    <n v="55.47"/>
    <s v="Main Bank"/>
    <s v="Bank Transfer"/>
    <s v="REWE"/>
  </r>
  <r>
    <s v="TXN102452"/>
    <x v="613"/>
    <x v="16"/>
    <x v="3"/>
    <x v="10"/>
    <x v="1"/>
    <n v="2793"/>
    <s v="Main Bank"/>
    <s v="Direct Debit"/>
    <s v="Employer"/>
  </r>
  <r>
    <s v="TXN102485"/>
    <x v="614"/>
    <x v="33"/>
    <x v="2"/>
    <x v="16"/>
    <x v="0"/>
    <n v="192.41"/>
    <s v="Main Bank"/>
    <s v="Direct Debit"/>
    <s v="Amazon"/>
  </r>
  <r>
    <s v="TXN102574"/>
    <x v="614"/>
    <x v="44"/>
    <x v="2"/>
    <x v="16"/>
    <x v="0"/>
    <n v="148.26"/>
    <s v="Main Bank"/>
    <s v="Cash"/>
    <s v="Zalando"/>
  </r>
  <r>
    <s v="TXN100366"/>
    <x v="614"/>
    <x v="52"/>
    <x v="6"/>
    <x v="11"/>
    <x v="0"/>
    <n v="22.55"/>
    <s v="Savings"/>
    <s v="Direct Debit"/>
    <s v="Local Transit"/>
  </r>
  <r>
    <s v="TXN101613"/>
    <x v="615"/>
    <x v="4"/>
    <x v="2"/>
    <x v="3"/>
    <x v="0"/>
    <n v="197.18"/>
    <s v="Main Bank"/>
    <s v="Debit Card"/>
    <s v="Zalando"/>
  </r>
  <r>
    <s v="TXN100654"/>
    <x v="616"/>
    <x v="70"/>
    <x v="7"/>
    <x v="18"/>
    <x v="0"/>
    <n v="219.8"/>
    <s v="Revolut"/>
    <s v="Debit Card"/>
    <s v="Pharmacy"/>
  </r>
  <r>
    <s v="TXN101549"/>
    <x v="616"/>
    <x v="47"/>
    <x v="4"/>
    <x v="19"/>
    <x v="0"/>
    <n v="179.87"/>
    <s v="Main Bank"/>
    <s v="Direct Debit"/>
    <s v="Landlord"/>
  </r>
  <r>
    <s v="TXN100250"/>
    <x v="616"/>
    <x v="67"/>
    <x v="3"/>
    <x v="6"/>
    <x v="1"/>
    <n v="733.65"/>
    <s v="Revolut"/>
    <s v="Credit Card"/>
    <s v="Freelance Client"/>
  </r>
  <r>
    <s v="TXN101345"/>
    <x v="616"/>
    <x v="28"/>
    <x v="7"/>
    <x v="14"/>
    <x v="0"/>
    <n v="104.15"/>
    <s v="Revolut"/>
    <s v="Bank Transfer"/>
    <s v="Pharmacy"/>
  </r>
  <r>
    <s v="TXN101187"/>
    <x v="617"/>
    <x v="3"/>
    <x v="1"/>
    <x v="2"/>
    <x v="0"/>
    <n v="10.02"/>
    <s v="Revolut"/>
    <s v="Bank Transfer"/>
    <s v="Spotify"/>
  </r>
  <r>
    <s v="TXN102602"/>
    <x v="617"/>
    <x v="75"/>
    <x v="4"/>
    <x v="7"/>
    <x v="0"/>
    <n v="160.03"/>
    <s v="Savings"/>
    <s v="Bank Transfer"/>
    <s v="Energy Provider"/>
  </r>
  <r>
    <s v="TXN100507"/>
    <x v="617"/>
    <x v="72"/>
    <x v="3"/>
    <x v="8"/>
    <x v="1"/>
    <n v="317.73"/>
    <s v="Savings"/>
    <s v="Cash"/>
    <s v="Employer"/>
  </r>
  <r>
    <s v="TXN101099"/>
    <x v="617"/>
    <x v="86"/>
    <x v="5"/>
    <x v="9"/>
    <x v="0"/>
    <n v="711.12"/>
    <s v="Main Bank"/>
    <s v="Debit Card"/>
    <s v="Booking.com"/>
  </r>
  <r>
    <s v="TXN103328"/>
    <x v="618"/>
    <x v="24"/>
    <x v="2"/>
    <x v="16"/>
    <x v="0"/>
    <n v="175.91"/>
    <s v="Main Bank"/>
    <s v="Bank Transfer"/>
    <s v="MediaMarkt"/>
  </r>
  <r>
    <s v="TXN101050"/>
    <x v="618"/>
    <x v="10"/>
    <x v="4"/>
    <x v="7"/>
    <x v="0"/>
    <n v="534.34"/>
    <s v="Revolut"/>
    <s v="Bank Transfer"/>
    <s v="Landlord"/>
  </r>
  <r>
    <s v="TXN100155"/>
    <x v="618"/>
    <x v="67"/>
    <x v="3"/>
    <x v="6"/>
    <x v="1"/>
    <n v="736.43"/>
    <s v="Main Bank"/>
    <s v="Debit Card"/>
    <s v="Freelance Client"/>
  </r>
  <r>
    <s v="TXN100434"/>
    <x v="618"/>
    <x v="47"/>
    <x v="4"/>
    <x v="19"/>
    <x v="0"/>
    <n v="449.22"/>
    <s v="Main Bank"/>
    <s v="Credit Card"/>
    <s v="Landlord"/>
  </r>
  <r>
    <s v="TXN102392"/>
    <x v="618"/>
    <x v="25"/>
    <x v="0"/>
    <x v="0"/>
    <x v="0"/>
    <n v="62.46"/>
    <s v="Main Bank"/>
    <s v="Debit Card"/>
    <s v="McDonald's"/>
  </r>
  <r>
    <s v="TXN101789"/>
    <x v="618"/>
    <x v="47"/>
    <x v="4"/>
    <x v="19"/>
    <x v="0"/>
    <n v="91.12"/>
    <s v="Main Bank"/>
    <s v="Bank Transfer"/>
    <s v="Landlord"/>
  </r>
  <r>
    <s v="TXN102315"/>
    <x v="619"/>
    <x v="16"/>
    <x v="3"/>
    <x v="10"/>
    <x v="1"/>
    <n v="2525"/>
    <s v="Main Bank"/>
    <s v="Direct Debit"/>
    <s v="Employer"/>
  </r>
  <r>
    <s v="TXN102580"/>
    <x v="619"/>
    <x v="77"/>
    <x v="1"/>
    <x v="22"/>
    <x v="0"/>
    <n v="21.37"/>
    <s v="Main Bank"/>
    <s v="Direct Debit"/>
    <s v="Steam"/>
  </r>
  <r>
    <s v="TXN100336"/>
    <x v="619"/>
    <x v="53"/>
    <x v="4"/>
    <x v="19"/>
    <x v="0"/>
    <n v="182.24"/>
    <s v="Main Bank"/>
    <s v="Credit Card"/>
    <s v="Energy Provider"/>
  </r>
  <r>
    <s v="TXN101518"/>
    <x v="619"/>
    <x v="67"/>
    <x v="3"/>
    <x v="6"/>
    <x v="1"/>
    <n v="660.69"/>
    <s v="Main Bank"/>
    <s v="Cash"/>
    <s v="Freelance Client"/>
  </r>
  <r>
    <s v="TXN102145"/>
    <x v="619"/>
    <x v="62"/>
    <x v="2"/>
    <x v="4"/>
    <x v="0"/>
    <n v="197.57"/>
    <s v="Revolut"/>
    <s v="Debit Card"/>
    <s v="IKEA"/>
  </r>
  <r>
    <s v="TXN102402"/>
    <x v="619"/>
    <x v="53"/>
    <x v="4"/>
    <x v="19"/>
    <x v="0"/>
    <n v="417.24"/>
    <s v="Savings"/>
    <s v="Debit Card"/>
    <s v="Energy Provider"/>
  </r>
  <r>
    <s v="TXN100421"/>
    <x v="619"/>
    <x v="79"/>
    <x v="5"/>
    <x v="23"/>
    <x v="0"/>
    <n v="714.04"/>
    <s v="Main Bank"/>
    <s v="Credit Card"/>
    <s v="Travel Agency"/>
  </r>
  <r>
    <s v="TXN102234"/>
    <x v="619"/>
    <x v="72"/>
    <x v="3"/>
    <x v="8"/>
    <x v="1"/>
    <n v="361.57"/>
    <s v="Main Bank"/>
    <s v="Direct Debit"/>
    <s v="Employer"/>
  </r>
  <r>
    <s v="TXN100864"/>
    <x v="619"/>
    <x v="62"/>
    <x v="2"/>
    <x v="4"/>
    <x v="0"/>
    <n v="87.81"/>
    <s v="Revolut"/>
    <s v="Credit Card"/>
    <s v="IKEA"/>
  </r>
  <r>
    <s v="TXN101313"/>
    <x v="619"/>
    <x v="68"/>
    <x v="2"/>
    <x v="4"/>
    <x v="0"/>
    <n v="43.3"/>
    <s v="Main Bank"/>
    <s v="Cash"/>
    <s v="MediaMarkt"/>
  </r>
  <r>
    <s v="TXN101845"/>
    <x v="619"/>
    <x v="41"/>
    <x v="3"/>
    <x v="10"/>
    <x v="1"/>
    <n v="2331.54"/>
    <s v="Main Bank"/>
    <s v="Debit Card"/>
    <s v="Employer Bonus"/>
  </r>
  <r>
    <s v="TXN100522"/>
    <x v="619"/>
    <x v="73"/>
    <x v="6"/>
    <x v="12"/>
    <x v="0"/>
    <n v="83.65"/>
    <s v="Main Bank"/>
    <s v="Bank Transfer"/>
    <s v="Aral"/>
  </r>
  <r>
    <s v="TXN101603"/>
    <x v="619"/>
    <x v="2"/>
    <x v="0"/>
    <x v="1"/>
    <x v="0"/>
    <n v="63.14"/>
    <s v="Main Bank"/>
    <s v="Debit Card"/>
    <s v="Lidl"/>
  </r>
  <r>
    <s v="TXN103354"/>
    <x v="620"/>
    <x v="44"/>
    <x v="2"/>
    <x v="16"/>
    <x v="0"/>
    <n v="59.09"/>
    <s v="Main Bank"/>
    <s v="Bank Transfer"/>
    <s v="Zalando"/>
  </r>
  <r>
    <s v="TXN101757"/>
    <x v="620"/>
    <x v="9"/>
    <x v="3"/>
    <x v="6"/>
    <x v="1"/>
    <n v="832.14"/>
    <s v="Main Bank"/>
    <s v="Direct Debit"/>
    <s v="Employer Bonus"/>
  </r>
  <r>
    <s v="TXN101893"/>
    <x v="620"/>
    <x v="13"/>
    <x v="3"/>
    <x v="10"/>
    <x v="1"/>
    <n v="2157.91"/>
    <s v="Main Bank"/>
    <s v="Debit Card"/>
    <s v="Freelance Client"/>
  </r>
  <r>
    <s v="TXN101606"/>
    <x v="620"/>
    <x v="33"/>
    <x v="2"/>
    <x v="16"/>
    <x v="0"/>
    <n v="121.02"/>
    <s v="Main Bank"/>
    <s v="Debit Card"/>
    <s v="Amazon"/>
  </r>
  <r>
    <s v="TXN101320"/>
    <x v="620"/>
    <x v="63"/>
    <x v="4"/>
    <x v="19"/>
    <x v="0"/>
    <n v="197.56"/>
    <s v="Revolut"/>
    <s v="Bank Transfer"/>
    <s v="Vodafone"/>
  </r>
  <r>
    <s v="TXN101734"/>
    <x v="620"/>
    <x v="23"/>
    <x v="6"/>
    <x v="15"/>
    <x v="0"/>
    <n v="41.02"/>
    <s v="Revolut"/>
    <s v="Credit Card"/>
    <s v="Shell"/>
  </r>
  <r>
    <s v="TXN103352"/>
    <x v="620"/>
    <x v="15"/>
    <x v="6"/>
    <x v="11"/>
    <x v="0"/>
    <n v="56.22"/>
    <s v="Main Bank"/>
    <s v="Direct Debit"/>
    <s v="Auto Service"/>
  </r>
  <r>
    <s v="TXN100028"/>
    <x v="620"/>
    <x v="44"/>
    <x v="2"/>
    <x v="16"/>
    <x v="0"/>
    <n v="127.39"/>
    <s v="Savings"/>
    <s v="Debit Card"/>
    <s v="Zalando"/>
  </r>
  <r>
    <s v="TXN103346"/>
    <x v="620"/>
    <x v="82"/>
    <x v="7"/>
    <x v="18"/>
    <x v="0"/>
    <n v="82.15"/>
    <s v="Revolut"/>
    <s v="Credit Card"/>
    <s v="Doctor"/>
  </r>
  <r>
    <s v="TXN100731"/>
    <x v="620"/>
    <x v="8"/>
    <x v="0"/>
    <x v="5"/>
    <x v="0"/>
    <n v="81.099999999999994"/>
    <s v="Main Bank"/>
    <s v="Bank Transfer"/>
    <s v="McDonald's"/>
  </r>
  <r>
    <s v="TXN101455"/>
    <x v="621"/>
    <x v="38"/>
    <x v="4"/>
    <x v="7"/>
    <x v="0"/>
    <n v="257.51"/>
    <s v="Main Bank"/>
    <s v="Bank Transfer"/>
    <s v="Vodafone"/>
  </r>
  <r>
    <s v="TXN101452"/>
    <x v="621"/>
    <x v="18"/>
    <x v="1"/>
    <x v="13"/>
    <x v="0"/>
    <n v="60.26"/>
    <s v="Revolut"/>
    <s v="Debit Card"/>
    <s v="Netflix"/>
  </r>
  <r>
    <s v="TXN100083"/>
    <x v="622"/>
    <x v="17"/>
    <x v="6"/>
    <x v="12"/>
    <x v="0"/>
    <n v="158.02000000000001"/>
    <s v="Savings"/>
    <s v="Debit Card"/>
    <s v="Auto Service"/>
  </r>
  <r>
    <s v="TXN101302"/>
    <x v="622"/>
    <x v="11"/>
    <x v="3"/>
    <x v="8"/>
    <x v="1"/>
    <n v="307.05"/>
    <s v="Main Bank"/>
    <s v="Bank Transfer"/>
    <s v="Freelance Client"/>
  </r>
  <r>
    <s v="TXN100290"/>
    <x v="622"/>
    <x v="80"/>
    <x v="1"/>
    <x v="22"/>
    <x v="0"/>
    <n v="106.99"/>
    <s v="Main Bank"/>
    <s v="Bank Transfer"/>
    <s v="Cinema"/>
  </r>
  <r>
    <s v="TXN100294"/>
    <x v="623"/>
    <x v="73"/>
    <x v="6"/>
    <x v="12"/>
    <x v="0"/>
    <n v="21.12"/>
    <s v="Revolut"/>
    <s v="Direct Debit"/>
    <s v="Aral"/>
  </r>
  <r>
    <s v="TXN103479"/>
    <x v="623"/>
    <x v="57"/>
    <x v="2"/>
    <x v="3"/>
    <x v="0"/>
    <n v="111.45"/>
    <s v="Main Bank"/>
    <s v="Credit Card"/>
    <s v="IKEA"/>
  </r>
  <r>
    <s v="TXN102346"/>
    <x v="623"/>
    <x v="32"/>
    <x v="1"/>
    <x v="2"/>
    <x v="0"/>
    <n v="19.440000000000001"/>
    <s v="Revolut"/>
    <s v="Debit Card"/>
    <s v="Cinema"/>
  </r>
  <r>
    <s v="TXN101594"/>
    <x v="623"/>
    <x v="71"/>
    <x v="4"/>
    <x v="17"/>
    <x v="0"/>
    <n v="207.43"/>
    <s v="Main Bank"/>
    <s v="Debit Card"/>
    <s v="Vodafone"/>
  </r>
  <r>
    <s v="TXN102336"/>
    <x v="623"/>
    <x v="51"/>
    <x v="6"/>
    <x v="15"/>
    <x v="0"/>
    <n v="93.51"/>
    <s v="Main Bank"/>
    <s v="Direct Debit"/>
    <s v="DB"/>
  </r>
  <r>
    <s v="TXN101778"/>
    <x v="623"/>
    <x v="52"/>
    <x v="6"/>
    <x v="11"/>
    <x v="0"/>
    <n v="34.67"/>
    <s v="Main Bank"/>
    <s v="Debit Card"/>
    <s v="Local Transit"/>
  </r>
  <r>
    <s v="TXN102697"/>
    <x v="623"/>
    <x v="65"/>
    <x v="1"/>
    <x v="2"/>
    <x v="0"/>
    <n v="18.27"/>
    <s v="Savings"/>
    <s v="Bank Transfer"/>
    <s v="Netflix"/>
  </r>
  <r>
    <s v="TXN100130"/>
    <x v="624"/>
    <x v="22"/>
    <x v="2"/>
    <x v="4"/>
    <x v="0"/>
    <n v="195.14"/>
    <s v="Main Bank"/>
    <s v="Bank Transfer"/>
    <s v="Zalando"/>
  </r>
  <r>
    <s v="TXN100205"/>
    <x v="624"/>
    <x v="35"/>
    <x v="1"/>
    <x v="13"/>
    <x v="0"/>
    <n v="25.15"/>
    <s v="Main Bank"/>
    <s v="Credit Card"/>
    <s v="Steam"/>
  </r>
  <r>
    <s v="TXN103061"/>
    <x v="625"/>
    <x v="8"/>
    <x v="0"/>
    <x v="5"/>
    <x v="0"/>
    <n v="16.260000000000002"/>
    <s v="Revolut"/>
    <s v="Debit Card"/>
    <s v="McDonald's"/>
  </r>
  <r>
    <s v="TXN100252"/>
    <x v="625"/>
    <x v="36"/>
    <x v="6"/>
    <x v="15"/>
    <x v="0"/>
    <n v="235.95"/>
    <s v="Revolut"/>
    <s v="Bank Transfer"/>
    <s v="Aral"/>
  </r>
  <r>
    <s v="TXN101706"/>
    <x v="625"/>
    <x v="38"/>
    <x v="4"/>
    <x v="7"/>
    <x v="0"/>
    <n v="90.68"/>
    <s v="Main Bank"/>
    <s v="Debit Card"/>
    <s v="Vodafone"/>
  </r>
  <r>
    <s v="TXN101773"/>
    <x v="625"/>
    <x v="72"/>
    <x v="3"/>
    <x v="8"/>
    <x v="1"/>
    <n v="288.79000000000002"/>
    <s v="Revolut"/>
    <s v="Direct Debit"/>
    <s v="Employer"/>
  </r>
  <r>
    <s v="TXN102337"/>
    <x v="625"/>
    <x v="33"/>
    <x v="2"/>
    <x v="16"/>
    <x v="0"/>
    <n v="44.24"/>
    <s v="Main Bank"/>
    <s v="Debit Card"/>
    <s v="Amazon"/>
  </r>
  <r>
    <s v="TXN101907"/>
    <x v="626"/>
    <x v="72"/>
    <x v="3"/>
    <x v="8"/>
    <x v="1"/>
    <n v="364.71"/>
    <s v="Main Bank"/>
    <s v="Debit Card"/>
    <s v="Employer"/>
  </r>
  <r>
    <s v="TXN101171"/>
    <x v="626"/>
    <x v="80"/>
    <x v="1"/>
    <x v="22"/>
    <x v="0"/>
    <n v="52.15"/>
    <s v="Main Bank"/>
    <s v="Debit Card"/>
    <s v="Cinema"/>
  </r>
  <r>
    <s v="TXN101043"/>
    <x v="626"/>
    <x v="0"/>
    <x v="0"/>
    <x v="0"/>
    <x v="0"/>
    <n v="50.55"/>
    <s v="Main Bank"/>
    <s v="Bank Transfer"/>
    <s v="Lidl"/>
  </r>
  <r>
    <s v="TXN102517"/>
    <x v="626"/>
    <x v="47"/>
    <x v="4"/>
    <x v="19"/>
    <x v="0"/>
    <n v="141.76"/>
    <s v="Main Bank"/>
    <s v="Credit Card"/>
    <s v="Landlord"/>
  </r>
  <r>
    <s v="TXN100037"/>
    <x v="626"/>
    <x v="34"/>
    <x v="0"/>
    <x v="5"/>
    <x v="0"/>
    <n v="30.8"/>
    <s v="Main Bank"/>
    <s v="Credit Card"/>
    <s v="Local Restaurant"/>
  </r>
  <r>
    <s v="TXN100157"/>
    <x v="626"/>
    <x v="77"/>
    <x v="1"/>
    <x v="22"/>
    <x v="0"/>
    <n v="30.47"/>
    <s v="Main Bank"/>
    <s v="Direct Debit"/>
    <s v="Steam"/>
  </r>
  <r>
    <s v="TXN100694"/>
    <x v="626"/>
    <x v="1"/>
    <x v="0"/>
    <x v="0"/>
    <x v="0"/>
    <n v="45.55"/>
    <s v="Main Bank"/>
    <s v="Debit Card"/>
    <s v="EDEKA"/>
  </r>
  <r>
    <s v="TXN103394"/>
    <x v="626"/>
    <x v="51"/>
    <x v="6"/>
    <x v="15"/>
    <x v="0"/>
    <n v="73.08"/>
    <s v="Revolut"/>
    <s v="Debit Card"/>
    <s v="DB"/>
  </r>
  <r>
    <s v="TXN101654"/>
    <x v="627"/>
    <x v="51"/>
    <x v="6"/>
    <x v="15"/>
    <x v="0"/>
    <n v="43.46"/>
    <s v="Revolut"/>
    <s v="Credit Card"/>
    <s v="DB"/>
  </r>
  <r>
    <s v="TXN100055"/>
    <x v="627"/>
    <x v="32"/>
    <x v="1"/>
    <x v="2"/>
    <x v="0"/>
    <n v="78.099999999999994"/>
    <s v="Main Bank"/>
    <s v="Cash"/>
    <s v="Cinema"/>
  </r>
  <r>
    <s v="TXN100870"/>
    <x v="627"/>
    <x v="9"/>
    <x v="3"/>
    <x v="6"/>
    <x v="1"/>
    <n v="649.21"/>
    <s v="Revolut"/>
    <s v="Debit Card"/>
    <s v="Employer Bonus"/>
  </r>
  <r>
    <s v="TXN100843"/>
    <x v="627"/>
    <x v="14"/>
    <x v="0"/>
    <x v="0"/>
    <x v="0"/>
    <n v="27.95"/>
    <s v="Main Bank"/>
    <s v="Bank Transfer"/>
    <s v="REWE"/>
  </r>
  <r>
    <s v="TXN102966"/>
    <x v="627"/>
    <x v="58"/>
    <x v="7"/>
    <x v="21"/>
    <x v="0"/>
    <n v="70.5"/>
    <s v="Main Bank"/>
    <s v="Debit Card"/>
    <s v="Doctor"/>
  </r>
  <r>
    <s v="TXN102157"/>
    <x v="627"/>
    <x v="8"/>
    <x v="0"/>
    <x v="5"/>
    <x v="0"/>
    <n v="76.67"/>
    <s v="Revolut"/>
    <s v="Debit Card"/>
    <s v="McDonald's"/>
  </r>
  <r>
    <s v="TXN100497"/>
    <x v="628"/>
    <x v="22"/>
    <x v="2"/>
    <x v="4"/>
    <x v="0"/>
    <n v="127.53"/>
    <s v="Main Bank"/>
    <s v="Debit Card"/>
    <s v="Zalando"/>
  </r>
  <r>
    <s v="TXN102388"/>
    <x v="628"/>
    <x v="80"/>
    <x v="1"/>
    <x v="22"/>
    <x v="0"/>
    <n v="27.77"/>
    <s v="Main Bank"/>
    <s v="Bank Transfer"/>
    <s v="Cinema"/>
  </r>
  <r>
    <s v="TXN102108"/>
    <x v="628"/>
    <x v="9"/>
    <x v="3"/>
    <x v="6"/>
    <x v="1"/>
    <n v="706.9"/>
    <s v="Main Bank"/>
    <s v="Debit Card"/>
    <s v="Employer Bonus"/>
  </r>
  <r>
    <s v="TXN100824"/>
    <x v="628"/>
    <x v="78"/>
    <x v="6"/>
    <x v="15"/>
    <x v="0"/>
    <n v="97.76"/>
    <s v="Main Bank"/>
    <s v="Credit Card"/>
    <s v="Auto Service"/>
  </r>
  <r>
    <s v="TXN100353"/>
    <x v="628"/>
    <x v="61"/>
    <x v="1"/>
    <x v="2"/>
    <x v="0"/>
    <n v="94.93"/>
    <s v="Revolut"/>
    <s v="Credit Card"/>
    <s v="Steam"/>
  </r>
  <r>
    <s v="TXN101616"/>
    <x v="629"/>
    <x v="74"/>
    <x v="1"/>
    <x v="13"/>
    <x v="0"/>
    <n v="108.37"/>
    <s v="Main Bank"/>
    <s v="Bank Transfer"/>
    <s v="Cinema"/>
  </r>
  <r>
    <s v="TXN103169"/>
    <x v="629"/>
    <x v="12"/>
    <x v="5"/>
    <x v="9"/>
    <x v="0"/>
    <n v="432.86"/>
    <s v="Main Bank"/>
    <s v="Bank Transfer"/>
    <s v="Lufthansa"/>
  </r>
  <r>
    <s v="TXN100162"/>
    <x v="629"/>
    <x v="60"/>
    <x v="1"/>
    <x v="22"/>
    <x v="0"/>
    <n v="25.7"/>
    <s v="Main Bank"/>
    <s v="Direct Debit"/>
    <s v="Spotify"/>
  </r>
  <r>
    <s v="TXN103244"/>
    <x v="629"/>
    <x v="82"/>
    <x v="7"/>
    <x v="18"/>
    <x v="0"/>
    <n v="64.239999999999995"/>
    <s v="Revolut"/>
    <s v="Direct Debit"/>
    <s v="Doctor"/>
  </r>
  <r>
    <s v="TXN102197"/>
    <x v="629"/>
    <x v="62"/>
    <x v="2"/>
    <x v="4"/>
    <x v="0"/>
    <n v="122.48"/>
    <s v="Main Bank"/>
    <s v="Bank Transfer"/>
    <s v="IKEA"/>
  </r>
  <r>
    <s v="TXN100553"/>
    <x v="630"/>
    <x v="66"/>
    <x v="2"/>
    <x v="3"/>
    <x v="0"/>
    <n v="182.87"/>
    <s v="Savings"/>
    <s v="Credit Card"/>
    <s v="MediaMarkt"/>
  </r>
  <r>
    <s v="TXN101535"/>
    <x v="630"/>
    <x v="88"/>
    <x v="6"/>
    <x v="11"/>
    <x v="0"/>
    <n v="137.51"/>
    <s v="Revolut"/>
    <s v="Credit Card"/>
    <s v="Shell"/>
  </r>
  <r>
    <s v="TXN100337"/>
    <x v="630"/>
    <x v="31"/>
    <x v="3"/>
    <x v="6"/>
    <x v="1"/>
    <n v="744.87"/>
    <s v="Main Bank"/>
    <s v="Credit Card"/>
    <s v="Employer"/>
  </r>
  <r>
    <s v="TXN100403"/>
    <x v="630"/>
    <x v="33"/>
    <x v="2"/>
    <x v="16"/>
    <x v="0"/>
    <n v="104.3"/>
    <s v="Main Bank"/>
    <s v="Direct Debit"/>
    <s v="Amazon"/>
  </r>
  <r>
    <s v="TXN102990"/>
    <x v="630"/>
    <x v="41"/>
    <x v="3"/>
    <x v="10"/>
    <x v="1"/>
    <n v="2845.69"/>
    <s v="Revolut"/>
    <s v="Debit Card"/>
    <s v="Employer Bonus"/>
  </r>
  <r>
    <s v="TXN101181"/>
    <x v="630"/>
    <x v="67"/>
    <x v="3"/>
    <x v="6"/>
    <x v="1"/>
    <n v="570.29"/>
    <s v="Main Bank"/>
    <s v="Direct Debit"/>
    <s v="Freelance Client"/>
  </r>
  <r>
    <s v="TXN102153"/>
    <x v="631"/>
    <x v="39"/>
    <x v="7"/>
    <x v="14"/>
    <x v="0"/>
    <n v="86.05"/>
    <s v="Main Bank"/>
    <s v="Debit Card"/>
    <s v="Doctor"/>
  </r>
  <r>
    <s v="TXN100822"/>
    <x v="631"/>
    <x v="43"/>
    <x v="4"/>
    <x v="17"/>
    <x v="0"/>
    <n v="140.19999999999999"/>
    <s v="Revolut"/>
    <s v="Debit Card"/>
    <s v="Landlord"/>
  </r>
  <r>
    <s v="TXN100401"/>
    <x v="631"/>
    <x v="10"/>
    <x v="4"/>
    <x v="7"/>
    <x v="0"/>
    <n v="950"/>
    <s v="Main Bank"/>
    <s v="Debit Card"/>
    <s v="Landlord"/>
  </r>
  <r>
    <s v="TXN100200"/>
    <x v="631"/>
    <x v="69"/>
    <x v="5"/>
    <x v="23"/>
    <x v="0"/>
    <n v="233.19"/>
    <s v="Main Bank"/>
    <s v="Direct Debit"/>
    <s v="Booking.com"/>
  </r>
  <r>
    <s v="TXN101963"/>
    <x v="632"/>
    <x v="13"/>
    <x v="3"/>
    <x v="10"/>
    <x v="1"/>
    <n v="2585.7800000000002"/>
    <s v="Main Bank"/>
    <s v="Debit Card"/>
    <s v="Freelance Client"/>
  </r>
  <r>
    <s v="TXN102463"/>
    <x v="632"/>
    <x v="60"/>
    <x v="1"/>
    <x v="22"/>
    <x v="0"/>
    <n v="34.270000000000003"/>
    <s v="Main Bank"/>
    <s v="Bank Transfer"/>
    <s v="Spotify"/>
  </r>
  <r>
    <s v="TXN102575"/>
    <x v="632"/>
    <x v="0"/>
    <x v="0"/>
    <x v="0"/>
    <x v="0"/>
    <n v="130.35"/>
    <s v="Main Bank"/>
    <s v="Debit Card"/>
    <s v="Lidl"/>
  </r>
  <r>
    <s v="TXN100787"/>
    <x v="632"/>
    <x v="57"/>
    <x v="2"/>
    <x v="3"/>
    <x v="0"/>
    <n v="68.48"/>
    <s v="Main Bank"/>
    <s v="Debit Card"/>
    <s v="IKEA"/>
  </r>
  <r>
    <s v="TXN102097"/>
    <x v="632"/>
    <x v="5"/>
    <x v="2"/>
    <x v="4"/>
    <x v="0"/>
    <n v="65.61"/>
    <s v="Savings"/>
    <s v="Direct Debit"/>
    <s v="Amazon"/>
  </r>
  <r>
    <s v="TXN100049"/>
    <x v="632"/>
    <x v="66"/>
    <x v="2"/>
    <x v="3"/>
    <x v="0"/>
    <n v="82.2"/>
    <s v="Main Bank"/>
    <s v="Credit Card"/>
    <s v="MediaMarkt"/>
  </r>
  <r>
    <s v="TXN101776"/>
    <x v="632"/>
    <x v="21"/>
    <x v="0"/>
    <x v="1"/>
    <x v="0"/>
    <n v="42.28"/>
    <s v="Revolut"/>
    <s v="Credit Card"/>
    <s v="EDEKA"/>
  </r>
  <r>
    <s v="TXN102912"/>
    <x v="633"/>
    <x v="47"/>
    <x v="4"/>
    <x v="19"/>
    <x v="0"/>
    <n v="247.4"/>
    <s v="Main Bank"/>
    <s v="Cash"/>
    <s v="Landlord"/>
  </r>
  <r>
    <s v="TXN101944"/>
    <x v="633"/>
    <x v="39"/>
    <x v="7"/>
    <x v="14"/>
    <x v="0"/>
    <n v="41.63"/>
    <s v="Revolut"/>
    <s v="Debit Card"/>
    <s v="Doctor"/>
  </r>
  <r>
    <s v="TXN101363"/>
    <x v="633"/>
    <x v="61"/>
    <x v="1"/>
    <x v="2"/>
    <x v="0"/>
    <n v="42.44"/>
    <s v="Main Bank"/>
    <s v="Cash"/>
    <s v="Steam"/>
  </r>
  <r>
    <s v="TXN101647"/>
    <x v="633"/>
    <x v="2"/>
    <x v="0"/>
    <x v="1"/>
    <x v="0"/>
    <n v="40.6"/>
    <s v="Main Bank"/>
    <s v="Debit Card"/>
    <s v="Lidl"/>
  </r>
  <r>
    <s v="TXN102629"/>
    <x v="633"/>
    <x v="62"/>
    <x v="2"/>
    <x v="4"/>
    <x v="0"/>
    <n v="241.64"/>
    <s v="Savings"/>
    <s v="Debit Card"/>
    <s v="IKEA"/>
  </r>
  <r>
    <s v="TXN101600"/>
    <x v="633"/>
    <x v="55"/>
    <x v="3"/>
    <x v="8"/>
    <x v="1"/>
    <n v="376.97"/>
    <s v="Main Bank"/>
    <s v="Debit Card"/>
    <s v="Employer Bonu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C78F0-30AA-44B2-9100-046CCB0BCD50}" name="PivotTable1" cacheId="0" applyNumberFormats="0" applyBorderFormats="0" applyFontFormats="0" applyPatternFormats="0" applyAlignmentFormats="0" applyWidthHeightFormats="1" dataCaption="Values" grandTotalCaption="Total" updatedVersion="8" minRefreshableVersion="3" itemPrintTitles="1" createdVersion="8" indent="0" outline="1" outlineData="1" multipleFieldFilters="0" chartFormat="2" rowHeaderCaption="Years/Months">
  <location ref="B3:E28" firstHeaderRow="1" firstDataRow="2" firstDataCol="1"/>
  <pivotFields count="13">
    <pivotField showAll="0"/>
    <pivotField axis="axisRow" showAll="0">
      <items count="6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t="default"/>
      </items>
    </pivotField>
    <pivotField showAll="0">
      <items count="94">
        <item x="5"/>
        <item x="33"/>
        <item x="20"/>
        <item x="73"/>
        <item x="36"/>
        <item x="59"/>
        <item x="17"/>
        <item x="78"/>
        <item x="15"/>
        <item x="86"/>
        <item x="87"/>
        <item x="69"/>
        <item x="80"/>
        <item x="74"/>
        <item x="32"/>
        <item x="40"/>
        <item x="51"/>
        <item x="30"/>
        <item x="39"/>
        <item x="58"/>
        <item x="82"/>
        <item x="21"/>
        <item x="1"/>
        <item x="48"/>
        <item x="31"/>
        <item x="72"/>
        <item x="16"/>
        <item x="9"/>
        <item x="55"/>
        <item x="41"/>
        <item x="75"/>
        <item x="50"/>
        <item x="53"/>
        <item x="67"/>
        <item x="11"/>
        <item x="13"/>
        <item x="19"/>
        <item x="84"/>
        <item x="46"/>
        <item x="27"/>
        <item x="90"/>
        <item x="91"/>
        <item x="62"/>
        <item x="85"/>
        <item x="57"/>
        <item x="10"/>
        <item x="43"/>
        <item x="47"/>
        <item x="2"/>
        <item x="0"/>
        <item x="54"/>
        <item x="26"/>
        <item x="7"/>
        <item x="34"/>
        <item x="45"/>
        <item x="42"/>
        <item x="52"/>
        <item x="12"/>
        <item x="56"/>
        <item x="89"/>
        <item x="6"/>
        <item x="25"/>
        <item x="8"/>
        <item x="68"/>
        <item x="24"/>
        <item x="66"/>
        <item x="76"/>
        <item x="18"/>
        <item x="65"/>
        <item x="28"/>
        <item x="64"/>
        <item x="70"/>
        <item x="29"/>
        <item x="14"/>
        <item x="81"/>
        <item x="37"/>
        <item x="23"/>
        <item x="88"/>
        <item x="60"/>
        <item x="49"/>
        <item x="3"/>
        <item x="77"/>
        <item x="35"/>
        <item x="61"/>
        <item x="83"/>
        <item x="92"/>
        <item x="79"/>
        <item x="38"/>
        <item x="71"/>
        <item x="63"/>
        <item x="22"/>
        <item x="44"/>
        <item x="4"/>
        <item t="default"/>
      </items>
    </pivotField>
    <pivotField showAll="0">
      <items count="9">
        <item x="1"/>
        <item x="0"/>
        <item x="7"/>
        <item x="4"/>
        <item x="3"/>
        <item x="2"/>
        <item x="6"/>
        <item x="5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2"/>
    <field x="10"/>
    <field x="1"/>
  </rowFields>
  <rowItems count="2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Monthly Amount" fld="6" baseField="0" baseItem="0" numFmtId="167"/>
  </dataFields>
  <formats count="53">
    <format dxfId="294">
      <pivotArea type="origin" dataOnly="0" labelOnly="1" outline="0" fieldPosition="0"/>
    </format>
    <format dxfId="293">
      <pivotArea field="5" type="button" dataOnly="0" labelOnly="1" outline="0" axis="axisCol" fieldPosition="0"/>
    </format>
    <format dxfId="292">
      <pivotArea type="topRight" dataOnly="0" labelOnly="1" outline="0" fieldPosition="0"/>
    </format>
    <format dxfId="291">
      <pivotArea field="12" type="button" dataOnly="0" labelOnly="1" outline="0" axis="axisRow" fieldPosition="0"/>
    </format>
    <format dxfId="290">
      <pivotArea dataOnly="0" labelOnly="1" fieldPosition="0">
        <references count="1">
          <reference field="5" count="0"/>
        </references>
      </pivotArea>
    </format>
    <format dxfId="289">
      <pivotArea dataOnly="0" labelOnly="1" grandCol="1" outline="0" fieldPosition="0"/>
    </format>
    <format dxfId="288">
      <pivotArea type="origin" dataOnly="0" labelOnly="1" outline="0" fieldPosition="0"/>
    </format>
    <format dxfId="287">
      <pivotArea field="5" type="button" dataOnly="0" labelOnly="1" outline="0" axis="axisCol" fieldPosition="0"/>
    </format>
    <format dxfId="286">
      <pivotArea type="topRight" dataOnly="0" labelOnly="1" outline="0" fieldPosition="0"/>
    </format>
    <format dxfId="285">
      <pivotArea field="12" type="button" dataOnly="0" labelOnly="1" outline="0" axis="axisRow" fieldPosition="0"/>
    </format>
    <format dxfId="284">
      <pivotArea dataOnly="0" labelOnly="1" fieldPosition="0">
        <references count="1">
          <reference field="5" count="0"/>
        </references>
      </pivotArea>
    </format>
    <format dxfId="283">
      <pivotArea dataOnly="0" labelOnly="1" grandCol="1" outline="0" fieldPosition="0"/>
    </format>
    <format dxfId="282">
      <pivotArea type="origin" dataOnly="0" labelOnly="1" outline="0" fieldPosition="0"/>
    </format>
    <format dxfId="281">
      <pivotArea field="5" type="button" dataOnly="0" labelOnly="1" outline="0" axis="axisCol" fieldPosition="0"/>
    </format>
    <format dxfId="280">
      <pivotArea type="topRight" dataOnly="0" labelOnly="1" outline="0" fieldPosition="0"/>
    </format>
    <format dxfId="279">
      <pivotArea field="12" type="button" dataOnly="0" labelOnly="1" outline="0" axis="axisRow" fieldPosition="0"/>
    </format>
    <format dxfId="278">
      <pivotArea dataOnly="0" labelOnly="1" fieldPosition="0">
        <references count="1">
          <reference field="5" count="0"/>
        </references>
      </pivotArea>
    </format>
    <format dxfId="277">
      <pivotArea dataOnly="0" labelOnly="1" grandCol="1" outline="0" fieldPosition="0"/>
    </format>
    <format dxfId="276">
      <pivotArea type="origin" dataOnly="0" labelOnly="1" outline="0" fieldPosition="0"/>
    </format>
    <format dxfId="275">
      <pivotArea field="5" type="button" dataOnly="0" labelOnly="1" outline="0" axis="axisCol" fieldPosition="0"/>
    </format>
    <format dxfId="274">
      <pivotArea type="topRight" dataOnly="0" labelOnly="1" outline="0" fieldPosition="0"/>
    </format>
    <format dxfId="273">
      <pivotArea field="12" type="button" dataOnly="0" labelOnly="1" outline="0" axis="axisRow" fieldPosition="0"/>
    </format>
    <format dxfId="272">
      <pivotArea dataOnly="0" labelOnly="1" fieldPosition="0">
        <references count="1">
          <reference field="5" count="0"/>
        </references>
      </pivotArea>
    </format>
    <format dxfId="271">
      <pivotArea dataOnly="0" labelOnly="1" grandCol="1" outline="0" fieldPosition="0"/>
    </format>
    <format dxfId="270">
      <pivotArea grandRow="1" outline="0" collapsedLevelsAreSubtotals="1" fieldPosition="0"/>
    </format>
    <format dxfId="269">
      <pivotArea dataOnly="0" labelOnly="1" grandRow="1" outline="0" fieldPosition="0"/>
    </format>
    <format dxfId="268">
      <pivotArea collapsedLevelsAreSubtotals="1" fieldPosition="0">
        <references count="1">
          <reference field="12" count="1">
            <x v="1"/>
          </reference>
        </references>
      </pivotArea>
    </format>
    <format dxfId="267">
      <pivotArea collapsedLevelsAreSubtotals="1" fieldPosition="0">
        <references count="2">
          <reference field="10" count="1">
            <x v="1"/>
          </reference>
          <reference field="12" count="1" selected="0">
            <x v="1"/>
          </reference>
        </references>
      </pivotArea>
    </format>
    <format dxfId="266">
      <pivotArea collapsedLevelsAreSubtotals="1" fieldPosition="0">
        <references count="2">
          <reference field="10" count="1">
            <x v="2"/>
          </reference>
          <reference field="12" count="1" selected="0">
            <x v="1"/>
          </reference>
        </references>
      </pivotArea>
    </format>
    <format dxfId="265">
      <pivotArea collapsedLevelsAreSubtotals="1" fieldPosition="0">
        <references count="2">
          <reference field="10" count="1">
            <x v="3"/>
          </reference>
          <reference field="12" count="1" selected="0">
            <x v="1"/>
          </reference>
        </references>
      </pivotArea>
    </format>
    <format dxfId="264">
      <pivotArea collapsedLevelsAreSubtotals="1" fieldPosition="0">
        <references count="2">
          <reference field="10" count="1">
            <x v="4"/>
          </reference>
          <reference field="12" count="1" selected="0">
            <x v="1"/>
          </reference>
        </references>
      </pivotArea>
    </format>
    <format dxfId="263">
      <pivotArea collapsedLevelsAreSubtotals="1" fieldPosition="0">
        <references count="2">
          <reference field="10" count="1">
            <x v="5"/>
          </reference>
          <reference field="12" count="1" selected="0">
            <x v="1"/>
          </reference>
        </references>
      </pivotArea>
    </format>
    <format dxfId="262">
      <pivotArea collapsedLevelsAreSubtotals="1" fieldPosition="0">
        <references count="2">
          <reference field="10" count="1">
            <x v="6"/>
          </reference>
          <reference field="12" count="1" selected="0">
            <x v="1"/>
          </reference>
        </references>
      </pivotArea>
    </format>
    <format dxfId="261">
      <pivotArea collapsedLevelsAreSubtotals="1" fieldPosition="0">
        <references count="2">
          <reference field="10" count="1">
            <x v="7"/>
          </reference>
          <reference field="12" count="1" selected="0">
            <x v="1"/>
          </reference>
        </references>
      </pivotArea>
    </format>
    <format dxfId="260">
      <pivotArea collapsedLevelsAreSubtotals="1" fieldPosition="0">
        <references count="2">
          <reference field="10" count="1">
            <x v="8"/>
          </reference>
          <reference field="12" count="1" selected="0">
            <x v="1"/>
          </reference>
        </references>
      </pivotArea>
    </format>
    <format dxfId="259">
      <pivotArea collapsedLevelsAreSubtotals="1" fieldPosition="0">
        <references count="2">
          <reference field="10" count="1">
            <x v="9"/>
          </reference>
          <reference field="12" count="1" selected="0">
            <x v="1"/>
          </reference>
        </references>
      </pivotArea>
    </format>
    <format dxfId="258">
      <pivotArea collapsedLevelsAreSubtotals="1" fieldPosition="0">
        <references count="2">
          <reference field="10" count="1">
            <x v="10"/>
          </reference>
          <reference field="12" count="1" selected="0">
            <x v="1"/>
          </reference>
        </references>
      </pivotArea>
    </format>
    <format dxfId="257">
      <pivotArea collapsedLevelsAreSubtotals="1" fieldPosition="0">
        <references count="2">
          <reference field="10" count="1">
            <x v="11"/>
          </reference>
          <reference field="12" count="1" selected="0">
            <x v="1"/>
          </reference>
        </references>
      </pivotArea>
    </format>
    <format dxfId="256">
      <pivotArea collapsedLevelsAreSubtotals="1" fieldPosition="0">
        <references count="2">
          <reference field="10" count="1">
            <x v="12"/>
          </reference>
          <reference field="12" count="1" selected="0">
            <x v="1"/>
          </reference>
        </references>
      </pivotArea>
    </format>
    <format dxfId="255">
      <pivotArea collapsedLevelsAreSubtotals="1" fieldPosition="0">
        <references count="1">
          <reference field="12" count="1">
            <x v="2"/>
          </reference>
        </references>
      </pivotArea>
    </format>
    <format dxfId="254">
      <pivotArea collapsedLevelsAreSubtotals="1" fieldPosition="0">
        <references count="2">
          <reference field="10" count="1">
            <x v="1"/>
          </reference>
          <reference field="12" count="1" selected="0">
            <x v="2"/>
          </reference>
        </references>
      </pivotArea>
    </format>
    <format dxfId="253">
      <pivotArea collapsedLevelsAreSubtotals="1" fieldPosition="0">
        <references count="2">
          <reference field="10" count="1">
            <x v="2"/>
          </reference>
          <reference field="12" count="1" selected="0">
            <x v="2"/>
          </reference>
        </references>
      </pivotArea>
    </format>
    <format dxfId="252">
      <pivotArea collapsedLevelsAreSubtotals="1" fieldPosition="0">
        <references count="2">
          <reference field="10" count="1">
            <x v="3"/>
          </reference>
          <reference field="12" count="1" selected="0">
            <x v="2"/>
          </reference>
        </references>
      </pivotArea>
    </format>
    <format dxfId="251">
      <pivotArea collapsedLevelsAreSubtotals="1" fieldPosition="0">
        <references count="2">
          <reference field="10" count="1">
            <x v="4"/>
          </reference>
          <reference field="12" count="1" selected="0">
            <x v="2"/>
          </reference>
        </references>
      </pivotArea>
    </format>
    <format dxfId="250">
      <pivotArea collapsedLevelsAreSubtotals="1" fieldPosition="0">
        <references count="2">
          <reference field="10" count="1">
            <x v="5"/>
          </reference>
          <reference field="12" count="1" selected="0">
            <x v="2"/>
          </reference>
        </references>
      </pivotArea>
    </format>
    <format dxfId="249">
      <pivotArea collapsedLevelsAreSubtotals="1" fieldPosition="0">
        <references count="2">
          <reference field="10" count="1">
            <x v="6"/>
          </reference>
          <reference field="12" count="1" selected="0">
            <x v="2"/>
          </reference>
        </references>
      </pivotArea>
    </format>
    <format dxfId="248">
      <pivotArea collapsedLevelsAreSubtotals="1" fieldPosition="0">
        <references count="2">
          <reference field="10" count="1">
            <x v="7"/>
          </reference>
          <reference field="12" count="1" selected="0">
            <x v="2"/>
          </reference>
        </references>
      </pivotArea>
    </format>
    <format dxfId="247">
      <pivotArea collapsedLevelsAreSubtotals="1" fieldPosition="0">
        <references count="2">
          <reference field="10" count="1">
            <x v="8"/>
          </reference>
          <reference field="12" count="1" selected="0">
            <x v="2"/>
          </reference>
        </references>
      </pivotArea>
    </format>
    <format dxfId="246">
      <pivotArea collapsedLevelsAreSubtotals="1" fieldPosition="0">
        <references count="2">
          <reference field="10" count="1">
            <x v="9"/>
          </reference>
          <reference field="12" count="1" selected="0">
            <x v="2"/>
          </reference>
        </references>
      </pivotArea>
    </format>
    <format dxfId="245">
      <pivotArea outline="0" collapsedLevelsAreSubtotals="1" fieldPosition="0"/>
    </format>
    <format dxfId="244">
      <pivotArea grandRow="1" outline="0" collapsedLevelsAreSubtotals="1" fieldPosition="0"/>
    </format>
    <format dxfId="243">
      <pivotArea dataOnly="0" labelOnly="1" grandRow="1" outline="0" fieldPosition="0"/>
    </format>
    <format dxfId="242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89A24-BC1D-4180-9BB8-AC7AB9B872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ub-Categories">
  <location ref="L8:M12" firstHeaderRow="1" firstDataRow="1" firstDataCol="1" rowPageCount="1" colPageCount="1"/>
  <pivotFields count="13">
    <pivotField showAll="0"/>
    <pivotField numFmtId="14" showAll="0">
      <items count="6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t="default"/>
      </items>
    </pivotField>
    <pivotField showAll="0"/>
    <pivotField showAll="0">
      <items count="9">
        <item x="1"/>
        <item x="0"/>
        <item x="7"/>
        <item x="4"/>
        <item x="3"/>
        <item x="2"/>
        <item x="6"/>
        <item x="5"/>
        <item t="default"/>
      </items>
    </pivotField>
    <pivotField axis="axisRow" showAll="0">
      <items count="25">
        <item x="6"/>
        <item x="12"/>
        <item x="22"/>
        <item x="4"/>
        <item x="14"/>
        <item x="16"/>
        <item x="21"/>
        <item x="9"/>
        <item x="8"/>
        <item x="15"/>
        <item x="13"/>
        <item x="1"/>
        <item x="20"/>
        <item x="3"/>
        <item x="7"/>
        <item x="18"/>
        <item x="11"/>
        <item x="17"/>
        <item x="0"/>
        <item x="10"/>
        <item x="2"/>
        <item x="5"/>
        <item x="23"/>
        <item x="19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4">
    <i>
      <x/>
    </i>
    <i>
      <x v="8"/>
    </i>
    <i>
      <x v="19"/>
    </i>
    <i t="grand">
      <x/>
    </i>
  </rowItems>
  <colItems count="1">
    <i/>
  </colItems>
  <pageFields count="1">
    <pageField fld="5" item="1" hier="-1"/>
  </pageFields>
  <dataFields count="1">
    <dataField name="Sub-Categories Amount" fld="6" baseField="4" baseItem="0" numFmtId="167"/>
  </dataFields>
  <formats count="6">
    <format dxfId="226">
      <pivotArea field="4" type="button" dataOnly="0" labelOnly="1" outline="0" axis="axisRow" fieldPosition="0"/>
    </format>
    <format dxfId="225">
      <pivotArea dataOnly="0" labelOnly="1" outline="0" axis="axisValues" fieldPosition="0"/>
    </format>
    <format dxfId="224">
      <pivotArea grandRow="1" outline="0" collapsedLevelsAreSubtotals="1" fieldPosition="0"/>
    </format>
    <format dxfId="223">
      <pivotArea dataOnly="0" labelOnly="1" grandRow="1" outline="0" fieldPosition="0"/>
    </format>
    <format dxfId="222">
      <pivotArea outline="0" collapsedLevelsAreSubtotals="1" fieldPosition="0"/>
    </format>
    <format dxfId="221">
      <pivotArea collapsedLevelsAreSubtotals="1" fieldPosition="0">
        <references count="1">
          <reference field="4" count="3">
            <x v="0"/>
            <x v="8"/>
            <x v="19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0328A-0F42-44A8-96BF-FBC2FD58804D}" name="PivotTable5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10" rowHeaderCaption="Categories">
  <location ref="B8:C16" firstHeaderRow="1" firstDataRow="1" firstDataCol="1" rowPageCount="1" colPageCount="1"/>
  <pivotFields count="13">
    <pivotField showAll="0"/>
    <pivotField showAll="0">
      <items count="6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t="default"/>
      </items>
    </pivotField>
    <pivotField showAll="0"/>
    <pivotField axis="axisRow" showAll="0">
      <items count="9">
        <item x="1"/>
        <item x="0"/>
        <item x="7"/>
        <item x="4"/>
        <item x="3"/>
        <item x="2"/>
        <item x="6"/>
        <item x="5"/>
        <item t="default"/>
      </items>
    </pivotField>
    <pivotField showAll="0">
      <items count="25">
        <item x="6"/>
        <item x="12"/>
        <item x="22"/>
        <item x="4"/>
        <item x="14"/>
        <item x="16"/>
        <item x="21"/>
        <item x="9"/>
        <item x="8"/>
        <item x="15"/>
        <item x="13"/>
        <item x="1"/>
        <item x="20"/>
        <item x="3"/>
        <item x="7"/>
        <item x="18"/>
        <item x="11"/>
        <item x="17"/>
        <item x="0"/>
        <item x="10"/>
        <item x="2"/>
        <item x="5"/>
        <item x="23"/>
        <item x="19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5" item="0" hier="-1"/>
  </pageFields>
  <dataFields count="1">
    <dataField name="Expense Amount" fld="6" baseField="0" baseItem="0" numFmtId="167"/>
  </dataFields>
  <formats count="12">
    <format dxfId="238">
      <pivotArea outline="0" collapsedLevelsAreSubtotals="1" fieldPosition="0"/>
    </format>
    <format dxfId="237">
      <pivotArea field="3" type="button" dataOnly="0" labelOnly="1" outline="0" axis="axisRow" fieldPosition="0"/>
    </format>
    <format dxfId="236">
      <pivotArea dataOnly="0" labelOnly="1" outline="0" axis="axisValues" fieldPosition="0"/>
    </format>
    <format dxfId="235">
      <pivotArea grandRow="1" outline="0" collapsedLevelsAreSubtotals="1" fieldPosition="0"/>
    </format>
    <format dxfId="234">
      <pivotArea dataOnly="0" labelOnly="1" grandRow="1" outline="0" fieldPosition="0"/>
    </format>
    <format dxfId="233">
      <pivotArea collapsedLevelsAreSubtotals="1" fieldPosition="0">
        <references count="1">
          <reference field="3" count="1">
            <x v="0"/>
          </reference>
        </references>
      </pivotArea>
    </format>
    <format dxfId="232">
      <pivotArea collapsedLevelsAreSubtotals="1" fieldPosition="0">
        <references count="1">
          <reference field="3" count="1">
            <x v="1"/>
          </reference>
        </references>
      </pivotArea>
    </format>
    <format dxfId="231">
      <pivotArea collapsedLevelsAreSubtotals="1" fieldPosition="0">
        <references count="1">
          <reference field="3" count="1">
            <x v="2"/>
          </reference>
        </references>
      </pivotArea>
    </format>
    <format dxfId="230">
      <pivotArea collapsedLevelsAreSubtotals="1" fieldPosition="0">
        <references count="1">
          <reference field="3" count="1">
            <x v="3"/>
          </reference>
        </references>
      </pivotArea>
    </format>
    <format dxfId="229">
      <pivotArea collapsedLevelsAreSubtotals="1" fieldPosition="0">
        <references count="1">
          <reference field="3" count="1">
            <x v="5"/>
          </reference>
        </references>
      </pivotArea>
    </format>
    <format dxfId="228">
      <pivotArea collapsedLevelsAreSubtotals="1" fieldPosition="0">
        <references count="1">
          <reference field="3" count="1">
            <x v="6"/>
          </reference>
        </references>
      </pivotArea>
    </format>
    <format dxfId="227">
      <pivotArea collapsedLevelsAreSubtotals="1" fieldPosition="0">
        <references count="1">
          <reference field="3" count="1">
            <x v="7"/>
          </reference>
        </references>
      </pivotArea>
    </format>
  </formats>
  <chartFormats count="1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49A367-4C1E-4158-B5CA-7C5B1E1B8988}" autoFormatId="16" applyNumberFormats="0" applyBorderFormats="0" applyFontFormats="0" applyPatternFormats="0" applyAlignmentFormats="0" applyWidthHeightFormats="0">
  <queryTableRefresh nextId="12">
    <queryTableFields count="10">
      <queryTableField id="1" name="Transaction ID" tableColumnId="1"/>
      <queryTableField id="2" name="Date" tableColumnId="2"/>
      <queryTableField id="3" name="Description" tableColumnId="3"/>
      <queryTableField id="4" name="Category" tableColumnId="4"/>
      <queryTableField id="5" name="Subcategory" tableColumnId="5"/>
      <queryTableField id="6" name="Type" tableColumnId="6"/>
      <queryTableField id="7" name="Amount" tableColumnId="7"/>
      <queryTableField id="8" name="Account" tableColumnId="8"/>
      <queryTableField id="9" name="Payment Method" tableColumnId="9"/>
      <queryTableField id="10" name="Mercha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0D3F34-0CD0-4A20-A45B-320B081C51B2}" name="raw_table_" displayName="raw_table_" ref="A1:J3501" tableType="queryTable" totalsRowShown="0">
  <autoFilter ref="A1:J3501" xr:uid="{A30D3F34-0CD0-4A20-A45B-320B081C51B2}"/>
  <tableColumns count="10">
    <tableColumn id="1" xr3:uid="{1B725642-CA60-46CE-9661-E8CCE1E31632}" uniqueName="1" name="Transaction ID" queryTableFieldId="1"/>
    <tableColumn id="2" xr3:uid="{3907783A-D834-4C24-8E2E-2E6E85E975A3}" uniqueName="2" name="Date" queryTableFieldId="2" dataDxfId="302"/>
    <tableColumn id="3" xr3:uid="{04655203-3B3D-42CD-A4B5-ABCA0EE38ADB}" uniqueName="3" name="Description" queryTableFieldId="3"/>
    <tableColumn id="4" xr3:uid="{51D4B746-086A-49C2-9AB8-B3F6F0CEB95A}" uniqueName="4" name="Category" queryTableFieldId="4" dataDxfId="301"/>
    <tableColumn id="5" xr3:uid="{08BD31F5-9D13-426A-A3E7-4CDD541DFCA5}" uniqueName="5" name="Subcategory" queryTableFieldId="5"/>
    <tableColumn id="6" xr3:uid="{7E035B25-5890-4D20-AA69-C3B5253F1315}" uniqueName="6" name="Type" queryTableFieldId="6"/>
    <tableColumn id="7" xr3:uid="{11215475-8761-4B05-8DFB-CBD5805F5901}" uniqueName="7" name="Amount" queryTableFieldId="7"/>
    <tableColumn id="8" xr3:uid="{10CBDD71-F653-4B3A-96E5-6D287EE50D16}" uniqueName="8" name="Account" queryTableFieldId="8"/>
    <tableColumn id="9" xr3:uid="{30CBA664-03A4-4770-A3B4-B99021504355}" uniqueName="9" name="Payment Method" queryTableFieldId="9" dataDxfId="300"/>
    <tableColumn id="10" xr3:uid="{55D99679-9085-4094-891F-519B6B1F9FC1}" uniqueName="10" name="Merchant" queryTableFieldId="10" dataDxfId="29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3C841-2692-4449-8F24-0639ADAC1E65}" name="raw_table" displayName="raw_table" ref="A1:J3501" totalsRowShown="0" headerRowDxfId="298" headerRowBorderDxfId="297" tableBorderDxfId="296">
  <autoFilter ref="A1:J3501" xr:uid="{6373C841-2692-4449-8F24-0639ADAC1E65}"/>
  <tableColumns count="10">
    <tableColumn id="1" xr3:uid="{E6155029-6D21-4D99-9781-21A56ABC9227}" name="Transaction_ID"/>
    <tableColumn id="2" xr3:uid="{FAEB42F0-5F36-4DB0-8094-C621FB87D487}" name="Date" dataDxfId="295"/>
    <tableColumn id="3" xr3:uid="{24F0A569-9059-4483-878A-DABA39DDAEF1}" name="Description"/>
    <tableColumn id="4" xr3:uid="{1B126DAA-4A52-4D8B-B9A3-81B4F4040811}" name="Category"/>
    <tableColumn id="5" xr3:uid="{1D7BD677-9FE9-472A-B57F-AC20C418C1FF}" name="Subcategory"/>
    <tableColumn id="6" xr3:uid="{2E7AAE7F-49E2-46CA-8110-E69BDB786273}" name="Type"/>
    <tableColumn id="7" xr3:uid="{ED9B5005-8D56-4224-87C0-301A04A7CCAA}" name="Amount"/>
    <tableColumn id="8" xr3:uid="{66F800B1-AEAB-4D75-B458-E608C4EB019F}" name="Account"/>
    <tableColumn id="9" xr3:uid="{4E10DE44-5015-4DD2-B496-BBE10314E17D}" name="Payment_Method"/>
    <tableColumn id="10" xr3:uid="{02D02498-A066-4EC2-9D77-A7D0EB2753D9}" name="Merchan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13C39F-1E3A-4129-80E1-3B45B490D5FC}" name="Table1" displayName="Table1" ref="Z17:AB38" totalsRowShown="0">
  <autoFilter ref="Z17:AB38" xr:uid="{D713C39F-1E3A-4129-80E1-3B45B490D5FC}">
    <filterColumn colId="0" hiddenButton="1"/>
    <filterColumn colId="1" hiddenButton="1"/>
    <filterColumn colId="2" hiddenButton="1"/>
  </autoFilter>
  <tableColumns count="3">
    <tableColumn id="1" xr3:uid="{45C8ED21-7D5C-4F7D-9E83-1E7D45D6585D}" name="Month-Year" dataDxfId="241"/>
    <tableColumn id="2" xr3:uid="{B4510A98-7446-4451-BDA2-1213299DDA45}" name="Expenses" dataDxfId="240"/>
    <tableColumn id="3" xr3:uid="{DE4A0FE9-569A-4AC1-BAC3-A2AD725F54CC}" name="Income" dataDxfId="23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427147-9C2D-4A06-B547-7C92652EE8DA}" name="Table2" displayName="Table2" ref="BB24:BD31" totalsRowShown="0" headerRowDxfId="220">
  <autoFilter ref="BB24:BD31" xr:uid="{71427147-9C2D-4A06-B547-7C92652EE8DA}">
    <filterColumn colId="0" hiddenButton="1"/>
    <filterColumn colId="1" hiddenButton="1"/>
    <filterColumn colId="2" hiddenButton="1"/>
  </autoFilter>
  <sortState xmlns:xlrd2="http://schemas.microsoft.com/office/spreadsheetml/2017/richdata2" ref="BB25:BD31">
    <sortCondition ref="BC24:BC31"/>
  </sortState>
  <tableColumns count="3">
    <tableColumn id="1" xr3:uid="{2B113BC4-2C65-4F54-8A23-A42D3A02ABE6}" name="Row Labels" dataDxfId="219"/>
    <tableColumn id="2" xr3:uid="{26DD860D-DEBD-452E-8F91-FF085E50E0BE}" name="Sum of Amount" dataDxfId="218"/>
    <tableColumn id="3" xr3:uid="{441DF029-C494-4B57-8AA8-050972AA0481}" name="Expense Share" dataDxfId="217" dataCellStyle="Percent">
      <calculatedColumnFormula>BC25/$C$16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E6D67D-C48F-47E8-AA7F-355504A291C5}" name="Table3" displayName="Table3" ref="BB14:BD17" totalsRowShown="0" headerRowDxfId="216">
  <autoFilter ref="BB14:BD17" xr:uid="{F4E6D67D-C48F-47E8-AA7F-355504A291C5}">
    <filterColumn colId="0" hiddenButton="1"/>
    <filterColumn colId="1" hiddenButton="1"/>
    <filterColumn colId="2" hiddenButton="1"/>
  </autoFilter>
  <tableColumns count="3">
    <tableColumn id="1" xr3:uid="{BC6E3AA2-808C-45BE-AC0C-DCD3B06CC2D7}" name="Row Labels" dataDxfId="215"/>
    <tableColumn id="2" xr3:uid="{7646ADA5-628D-47B9-8C9D-A8344D335787}" name="Sum of Amount" dataDxfId="214"/>
    <tableColumn id="3" xr3:uid="{766D7CCD-9A55-4C1A-BCDF-DE2F70835586}" name="Income Share" dataDxfId="213" dataCellStyle="Percent">
      <calculatedColumnFormula>BC15/$M$12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788F-8C9C-4414-AFF4-08EC1ABF6603}">
  <sheetPr codeName="Sheet1"/>
  <dimension ref="A1:J3501"/>
  <sheetViews>
    <sheetView zoomScaleNormal="100" workbookViewId="0">
      <selection activeCell="C3446" sqref="C3446"/>
    </sheetView>
  </sheetViews>
  <sheetFormatPr defaultRowHeight="14.5" x14ac:dyDescent="0.35"/>
  <cols>
    <col min="1" max="10" width="19.08984375" customWidth="1"/>
    <col min="11" max="11" width="23.6328125" customWidth="1"/>
  </cols>
  <sheetData>
    <row r="1" spans="1:10" x14ac:dyDescent="0.35">
      <c r="A1" t="s">
        <v>3691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3692</v>
      </c>
      <c r="J1" t="s">
        <v>9</v>
      </c>
    </row>
    <row r="2" spans="1:10" x14ac:dyDescent="0.35">
      <c r="A2" t="s">
        <v>10</v>
      </c>
      <c r="B2" s="10">
        <v>45658</v>
      </c>
      <c r="C2" t="s">
        <v>11</v>
      </c>
      <c r="D2" t="s">
        <v>12</v>
      </c>
      <c r="E2" t="s">
        <v>13</v>
      </c>
      <c r="F2" t="s">
        <v>14</v>
      </c>
      <c r="G2">
        <v>28.24</v>
      </c>
      <c r="H2" t="s">
        <v>15</v>
      </c>
      <c r="I2" t="s">
        <v>16</v>
      </c>
      <c r="J2" t="s">
        <v>17</v>
      </c>
    </row>
    <row r="3" spans="1:10" x14ac:dyDescent="0.35">
      <c r="A3" t="s">
        <v>18</v>
      </c>
      <c r="B3" s="10">
        <v>45658</v>
      </c>
      <c r="C3" t="s">
        <v>19</v>
      </c>
      <c r="D3" t="s">
        <v>12</v>
      </c>
      <c r="E3" t="s">
        <v>13</v>
      </c>
      <c r="F3" t="s">
        <v>14</v>
      </c>
      <c r="G3">
        <v>88.87</v>
      </c>
      <c r="H3" t="s">
        <v>21</v>
      </c>
      <c r="I3" t="s">
        <v>22</v>
      </c>
      <c r="J3" t="s">
        <v>23</v>
      </c>
    </row>
    <row r="4" spans="1:10" x14ac:dyDescent="0.35">
      <c r="A4" t="s">
        <v>24</v>
      </c>
      <c r="B4" s="10">
        <v>45658</v>
      </c>
      <c r="C4" t="s">
        <v>25</v>
      </c>
      <c r="D4" t="s">
        <v>12</v>
      </c>
      <c r="E4" t="s">
        <v>26</v>
      </c>
      <c r="F4" t="s">
        <v>14</v>
      </c>
      <c r="G4">
        <v>43.48</v>
      </c>
      <c r="H4" t="s">
        <v>21</v>
      </c>
      <c r="I4" t="s">
        <v>22</v>
      </c>
      <c r="J4" t="s">
        <v>17</v>
      </c>
    </row>
    <row r="5" spans="1:10" x14ac:dyDescent="0.35">
      <c r="A5" t="s">
        <v>27</v>
      </c>
      <c r="B5" s="10">
        <v>45658</v>
      </c>
      <c r="C5" t="s">
        <v>28</v>
      </c>
      <c r="D5" t="s">
        <v>29</v>
      </c>
      <c r="E5" t="s">
        <v>30</v>
      </c>
      <c r="F5" t="s">
        <v>14</v>
      </c>
      <c r="G5">
        <v>16.27</v>
      </c>
      <c r="H5" t="s">
        <v>15</v>
      </c>
      <c r="I5" t="s">
        <v>22</v>
      </c>
      <c r="J5" t="s">
        <v>31</v>
      </c>
    </row>
    <row r="6" spans="1:10" x14ac:dyDescent="0.35">
      <c r="A6" t="s">
        <v>32</v>
      </c>
      <c r="B6" s="10">
        <v>45658</v>
      </c>
      <c r="C6" t="s">
        <v>33</v>
      </c>
      <c r="D6" t="s">
        <v>34</v>
      </c>
      <c r="E6" t="s">
        <v>35</v>
      </c>
      <c r="F6" t="s">
        <v>14</v>
      </c>
      <c r="G6">
        <v>227.62</v>
      </c>
      <c r="H6" t="s">
        <v>15</v>
      </c>
      <c r="I6" t="s">
        <v>36</v>
      </c>
      <c r="J6" t="s">
        <v>37</v>
      </c>
    </row>
    <row r="7" spans="1:10" x14ac:dyDescent="0.35">
      <c r="A7" t="s">
        <v>38</v>
      </c>
      <c r="B7" s="10">
        <v>45658</v>
      </c>
      <c r="C7" t="s">
        <v>39</v>
      </c>
      <c r="D7" t="s">
        <v>34</v>
      </c>
      <c r="E7" t="s">
        <v>40</v>
      </c>
      <c r="F7" t="s">
        <v>14</v>
      </c>
      <c r="G7">
        <v>149.75</v>
      </c>
      <c r="H7" t="s">
        <v>15</v>
      </c>
      <c r="I7" t="s">
        <v>16</v>
      </c>
      <c r="J7" t="s">
        <v>41</v>
      </c>
    </row>
    <row r="8" spans="1:10" x14ac:dyDescent="0.35">
      <c r="A8" t="s">
        <v>42</v>
      </c>
      <c r="B8" s="10">
        <v>45658</v>
      </c>
      <c r="C8" t="s">
        <v>43</v>
      </c>
      <c r="D8" t="s">
        <v>12</v>
      </c>
      <c r="E8" t="s">
        <v>26</v>
      </c>
      <c r="F8" t="s">
        <v>14</v>
      </c>
      <c r="G8">
        <v>28.1</v>
      </c>
      <c r="H8" t="s">
        <v>21</v>
      </c>
      <c r="I8" t="s">
        <v>22</v>
      </c>
      <c r="J8" t="s">
        <v>44</v>
      </c>
    </row>
    <row r="9" spans="1:10" x14ac:dyDescent="0.35">
      <c r="A9" t="s">
        <v>45</v>
      </c>
      <c r="B9" s="10">
        <v>45659</v>
      </c>
      <c r="C9" t="s">
        <v>46</v>
      </c>
      <c r="D9" t="s">
        <v>12</v>
      </c>
      <c r="E9" t="s">
        <v>13</v>
      </c>
      <c r="F9" t="s">
        <v>14</v>
      </c>
      <c r="G9">
        <v>34.53</v>
      </c>
      <c r="H9" t="s">
        <v>15</v>
      </c>
      <c r="I9" t="s">
        <v>47</v>
      </c>
      <c r="J9" t="s">
        <v>48</v>
      </c>
    </row>
    <row r="10" spans="1:10" x14ac:dyDescent="0.35">
      <c r="A10" t="s">
        <v>49</v>
      </c>
      <c r="B10" s="10">
        <v>45659</v>
      </c>
      <c r="C10" t="s">
        <v>50</v>
      </c>
      <c r="D10" t="s">
        <v>12</v>
      </c>
      <c r="E10" t="s">
        <v>51</v>
      </c>
      <c r="F10" t="s">
        <v>14</v>
      </c>
      <c r="G10">
        <v>52.53</v>
      </c>
      <c r="H10" t="s">
        <v>15</v>
      </c>
      <c r="I10" t="s">
        <v>47</v>
      </c>
      <c r="J10" t="s">
        <v>44</v>
      </c>
    </row>
    <row r="11" spans="1:10" x14ac:dyDescent="0.35">
      <c r="A11" t="s">
        <v>52</v>
      </c>
      <c r="B11" s="10">
        <v>45659</v>
      </c>
      <c r="C11" t="s">
        <v>53</v>
      </c>
      <c r="D11" t="s">
        <v>54</v>
      </c>
      <c r="E11" t="s">
        <v>55</v>
      </c>
      <c r="F11" t="s">
        <v>54</v>
      </c>
      <c r="G11">
        <v>736.64</v>
      </c>
      <c r="H11" t="s">
        <v>15</v>
      </c>
      <c r="I11" t="s">
        <v>36</v>
      </c>
      <c r="J11" t="s">
        <v>56</v>
      </c>
    </row>
    <row r="12" spans="1:10" x14ac:dyDescent="0.35">
      <c r="A12" t="s">
        <v>57</v>
      </c>
      <c r="B12" s="10">
        <v>45659</v>
      </c>
      <c r="C12" t="s">
        <v>58</v>
      </c>
      <c r="D12" t="s">
        <v>59</v>
      </c>
      <c r="E12" t="s">
        <v>60</v>
      </c>
      <c r="F12" t="s">
        <v>14</v>
      </c>
      <c r="G12">
        <v>129.87</v>
      </c>
      <c r="H12" t="s">
        <v>21</v>
      </c>
      <c r="I12" t="s">
        <v>22</v>
      </c>
      <c r="J12" t="s">
        <v>61</v>
      </c>
    </row>
    <row r="13" spans="1:10" x14ac:dyDescent="0.35">
      <c r="A13" t="s">
        <v>62</v>
      </c>
      <c r="B13" s="10">
        <v>45659</v>
      </c>
      <c r="C13" t="s">
        <v>63</v>
      </c>
      <c r="D13" t="s">
        <v>54</v>
      </c>
      <c r="E13" t="s">
        <v>64</v>
      </c>
      <c r="F13" t="s">
        <v>54</v>
      </c>
      <c r="G13">
        <v>377.48</v>
      </c>
      <c r="H13" t="s">
        <v>15</v>
      </c>
      <c r="I13" t="s">
        <v>36</v>
      </c>
      <c r="J13" t="s">
        <v>65</v>
      </c>
    </row>
    <row r="14" spans="1:10" x14ac:dyDescent="0.35">
      <c r="A14" t="s">
        <v>66</v>
      </c>
      <c r="B14" s="10">
        <v>45659</v>
      </c>
      <c r="C14" t="s">
        <v>28</v>
      </c>
      <c r="D14" t="s">
        <v>29</v>
      </c>
      <c r="E14" t="s">
        <v>30</v>
      </c>
      <c r="F14" t="s">
        <v>14</v>
      </c>
      <c r="G14">
        <v>16.239999999999998</v>
      </c>
      <c r="H14" t="s">
        <v>15</v>
      </c>
      <c r="I14" t="s">
        <v>22</v>
      </c>
      <c r="J14" t="s">
        <v>31</v>
      </c>
    </row>
    <row r="15" spans="1:10" x14ac:dyDescent="0.35">
      <c r="A15" t="s">
        <v>67</v>
      </c>
      <c r="B15" s="10">
        <v>45660</v>
      </c>
      <c r="C15" t="s">
        <v>68</v>
      </c>
      <c r="D15" t="s">
        <v>69</v>
      </c>
      <c r="E15" t="s">
        <v>70</v>
      </c>
      <c r="F15" t="s">
        <v>14</v>
      </c>
      <c r="G15">
        <v>262.83</v>
      </c>
      <c r="H15" t="s">
        <v>15</v>
      </c>
      <c r="I15" t="s">
        <v>47</v>
      </c>
      <c r="J15" t="s">
        <v>71</v>
      </c>
    </row>
    <row r="16" spans="1:10" x14ac:dyDescent="0.35">
      <c r="A16" t="s">
        <v>72</v>
      </c>
      <c r="B16" s="10">
        <v>45660</v>
      </c>
      <c r="C16" t="s">
        <v>73</v>
      </c>
      <c r="D16" t="s">
        <v>54</v>
      </c>
      <c r="E16" t="s">
        <v>74</v>
      </c>
      <c r="F16" t="s">
        <v>54</v>
      </c>
      <c r="G16">
        <v>2188.7800000000002</v>
      </c>
      <c r="H16" t="s">
        <v>15</v>
      </c>
      <c r="I16" t="s">
        <v>22</v>
      </c>
      <c r="J16" t="s">
        <v>65</v>
      </c>
    </row>
    <row r="17" spans="1:10" x14ac:dyDescent="0.35">
      <c r="A17" t="s">
        <v>75</v>
      </c>
      <c r="B17" s="10">
        <v>45660</v>
      </c>
      <c r="C17" t="s">
        <v>76</v>
      </c>
      <c r="D17" t="s">
        <v>12</v>
      </c>
      <c r="E17" t="s">
        <v>13</v>
      </c>
      <c r="F17" t="s">
        <v>14</v>
      </c>
      <c r="G17">
        <v>38.93</v>
      </c>
      <c r="H17" t="s">
        <v>21</v>
      </c>
      <c r="I17" t="s">
        <v>22</v>
      </c>
      <c r="J17" t="s">
        <v>77</v>
      </c>
    </row>
    <row r="18" spans="1:10" x14ac:dyDescent="0.35">
      <c r="A18" t="s">
        <v>78</v>
      </c>
      <c r="B18" s="10">
        <v>45660</v>
      </c>
      <c r="C18" t="s">
        <v>79</v>
      </c>
      <c r="D18" t="s">
        <v>80</v>
      </c>
      <c r="E18" t="s">
        <v>81</v>
      </c>
      <c r="F18" t="s">
        <v>14</v>
      </c>
      <c r="G18">
        <v>52.01</v>
      </c>
      <c r="H18" t="s">
        <v>15</v>
      </c>
      <c r="I18" t="s">
        <v>36</v>
      </c>
      <c r="J18" t="s">
        <v>82</v>
      </c>
    </row>
    <row r="19" spans="1:10" x14ac:dyDescent="0.35">
      <c r="A19" t="s">
        <v>83</v>
      </c>
      <c r="B19" s="10">
        <v>45660</v>
      </c>
      <c r="C19" t="s">
        <v>39</v>
      </c>
      <c r="D19" t="s">
        <v>34</v>
      </c>
      <c r="E19" t="s">
        <v>40</v>
      </c>
      <c r="F19" t="s">
        <v>14</v>
      </c>
      <c r="G19">
        <v>297.41000000000003</v>
      </c>
      <c r="H19" t="s">
        <v>21</v>
      </c>
      <c r="I19" t="s">
        <v>84</v>
      </c>
      <c r="J19" t="s">
        <v>41</v>
      </c>
    </row>
    <row r="20" spans="1:10" x14ac:dyDescent="0.35">
      <c r="A20" t="s">
        <v>85</v>
      </c>
      <c r="B20" s="10">
        <v>45661</v>
      </c>
      <c r="C20" t="s">
        <v>46</v>
      </c>
      <c r="D20" t="s">
        <v>12</v>
      </c>
      <c r="E20" t="s">
        <v>13</v>
      </c>
      <c r="F20" t="s">
        <v>14</v>
      </c>
      <c r="G20">
        <v>31.2</v>
      </c>
      <c r="H20" t="s">
        <v>15</v>
      </c>
      <c r="I20" t="s">
        <v>36</v>
      </c>
      <c r="J20" t="s">
        <v>48</v>
      </c>
    </row>
    <row r="21" spans="1:10" x14ac:dyDescent="0.35">
      <c r="A21" t="s">
        <v>86</v>
      </c>
      <c r="B21" s="10">
        <v>45661</v>
      </c>
      <c r="C21" t="s">
        <v>76</v>
      </c>
      <c r="D21" t="s">
        <v>12</v>
      </c>
      <c r="E21" t="s">
        <v>13</v>
      </c>
      <c r="F21" t="s">
        <v>14</v>
      </c>
      <c r="G21">
        <v>25.67</v>
      </c>
      <c r="H21" t="s">
        <v>15</v>
      </c>
      <c r="I21" t="s">
        <v>47</v>
      </c>
      <c r="J21" t="s">
        <v>77</v>
      </c>
    </row>
    <row r="22" spans="1:10" x14ac:dyDescent="0.35">
      <c r="A22" t="s">
        <v>87</v>
      </c>
      <c r="B22" s="10">
        <v>45662</v>
      </c>
      <c r="C22" t="s">
        <v>88</v>
      </c>
      <c r="D22" t="s">
        <v>54</v>
      </c>
      <c r="E22" t="s">
        <v>74</v>
      </c>
      <c r="F22" t="s">
        <v>54</v>
      </c>
      <c r="G22">
        <v>2295.4899999999998</v>
      </c>
      <c r="H22" t="s">
        <v>15</v>
      </c>
      <c r="I22" t="s">
        <v>36</v>
      </c>
      <c r="J22" t="s">
        <v>89</v>
      </c>
    </row>
    <row r="23" spans="1:10" x14ac:dyDescent="0.35">
      <c r="A23" t="s">
        <v>90</v>
      </c>
      <c r="B23" s="10">
        <v>45662</v>
      </c>
      <c r="C23" t="s">
        <v>91</v>
      </c>
      <c r="D23" t="s">
        <v>80</v>
      </c>
      <c r="E23" t="s">
        <v>92</v>
      </c>
      <c r="F23" t="s">
        <v>14</v>
      </c>
      <c r="G23">
        <v>50.96</v>
      </c>
      <c r="H23" t="s">
        <v>21</v>
      </c>
      <c r="I23" t="s">
        <v>47</v>
      </c>
      <c r="J23" t="s">
        <v>82</v>
      </c>
    </row>
    <row r="24" spans="1:10" x14ac:dyDescent="0.35">
      <c r="A24" t="s">
        <v>93</v>
      </c>
      <c r="B24" s="10">
        <v>45663</v>
      </c>
      <c r="C24" t="s">
        <v>94</v>
      </c>
      <c r="D24" t="s">
        <v>29</v>
      </c>
      <c r="E24" t="s">
        <v>95</v>
      </c>
      <c r="F24" t="s">
        <v>14</v>
      </c>
      <c r="G24">
        <v>62.95</v>
      </c>
      <c r="H24" t="s">
        <v>21</v>
      </c>
      <c r="I24" t="s">
        <v>36</v>
      </c>
      <c r="J24" t="s">
        <v>96</v>
      </c>
    </row>
    <row r="25" spans="1:10" x14ac:dyDescent="0.35">
      <c r="A25" t="s">
        <v>97</v>
      </c>
      <c r="B25" s="10">
        <v>45663</v>
      </c>
      <c r="C25" t="s">
        <v>76</v>
      </c>
      <c r="D25" t="s">
        <v>12</v>
      </c>
      <c r="E25" t="s">
        <v>13</v>
      </c>
      <c r="F25" t="s">
        <v>14</v>
      </c>
      <c r="G25">
        <v>96.4</v>
      </c>
      <c r="H25" t="s">
        <v>98</v>
      </c>
      <c r="I25" t="s">
        <v>16</v>
      </c>
      <c r="J25" t="s">
        <v>77</v>
      </c>
    </row>
    <row r="26" spans="1:10" x14ac:dyDescent="0.35">
      <c r="A26" t="s">
        <v>99</v>
      </c>
      <c r="B26" s="10">
        <v>45663</v>
      </c>
      <c r="C26" t="s">
        <v>100</v>
      </c>
      <c r="D26" t="s">
        <v>101</v>
      </c>
      <c r="E26" t="s">
        <v>102</v>
      </c>
      <c r="F26" t="s">
        <v>14</v>
      </c>
      <c r="G26">
        <v>98.11</v>
      </c>
      <c r="H26" t="s">
        <v>15</v>
      </c>
      <c r="I26" t="s">
        <v>36</v>
      </c>
      <c r="J26" t="s">
        <v>103</v>
      </c>
    </row>
    <row r="27" spans="1:10" x14ac:dyDescent="0.35">
      <c r="A27" t="s">
        <v>104</v>
      </c>
      <c r="B27" s="10">
        <v>45663</v>
      </c>
      <c r="C27" t="s">
        <v>39</v>
      </c>
      <c r="D27" t="s">
        <v>34</v>
      </c>
      <c r="E27" t="s">
        <v>40</v>
      </c>
      <c r="F27" t="s">
        <v>14</v>
      </c>
      <c r="G27">
        <v>296.97000000000003</v>
      </c>
      <c r="H27" t="s">
        <v>21</v>
      </c>
      <c r="I27" t="s">
        <v>36</v>
      </c>
      <c r="J27" t="s">
        <v>41</v>
      </c>
    </row>
    <row r="28" spans="1:10" x14ac:dyDescent="0.35">
      <c r="A28" t="s">
        <v>105</v>
      </c>
      <c r="B28" s="10">
        <v>45663</v>
      </c>
      <c r="C28" t="s">
        <v>50</v>
      </c>
      <c r="D28" t="s">
        <v>12</v>
      </c>
      <c r="E28" t="s">
        <v>51</v>
      </c>
      <c r="F28" t="s">
        <v>14</v>
      </c>
      <c r="G28">
        <v>23.7</v>
      </c>
      <c r="H28" t="s">
        <v>15</v>
      </c>
      <c r="I28" t="s">
        <v>47</v>
      </c>
      <c r="J28" t="s">
        <v>44</v>
      </c>
    </row>
    <row r="29" spans="1:10" x14ac:dyDescent="0.35">
      <c r="A29" t="s">
        <v>106</v>
      </c>
      <c r="B29" s="10">
        <v>45663</v>
      </c>
      <c r="C29" t="s">
        <v>94</v>
      </c>
      <c r="D29" t="s">
        <v>29</v>
      </c>
      <c r="E29" t="s">
        <v>95</v>
      </c>
      <c r="F29" t="s">
        <v>14</v>
      </c>
      <c r="G29">
        <v>24.53</v>
      </c>
      <c r="H29" t="s">
        <v>15</v>
      </c>
      <c r="I29" t="s">
        <v>16</v>
      </c>
      <c r="J29" t="s">
        <v>96</v>
      </c>
    </row>
    <row r="30" spans="1:10" x14ac:dyDescent="0.35">
      <c r="A30" t="s">
        <v>107</v>
      </c>
      <c r="B30" s="10">
        <v>45664</v>
      </c>
      <c r="C30" t="s">
        <v>28</v>
      </c>
      <c r="D30" t="s">
        <v>29</v>
      </c>
      <c r="E30" t="s">
        <v>30</v>
      </c>
      <c r="F30" t="s">
        <v>14</v>
      </c>
      <c r="G30">
        <v>19.22</v>
      </c>
      <c r="H30" t="s">
        <v>15</v>
      </c>
      <c r="I30" t="s">
        <v>84</v>
      </c>
      <c r="J30" t="s">
        <v>31</v>
      </c>
    </row>
    <row r="31" spans="1:10" x14ac:dyDescent="0.35">
      <c r="A31" t="s">
        <v>108</v>
      </c>
      <c r="B31" s="10">
        <v>45664</v>
      </c>
      <c r="C31" t="s">
        <v>109</v>
      </c>
      <c r="D31" t="s">
        <v>34</v>
      </c>
      <c r="E31" t="s">
        <v>35</v>
      </c>
      <c r="F31" t="s">
        <v>14</v>
      </c>
      <c r="G31">
        <v>66.91</v>
      </c>
      <c r="H31" t="s">
        <v>21</v>
      </c>
      <c r="I31" t="s">
        <v>47</v>
      </c>
      <c r="J31" t="s">
        <v>41</v>
      </c>
    </row>
    <row r="32" spans="1:10" x14ac:dyDescent="0.35">
      <c r="A32" t="s">
        <v>110</v>
      </c>
      <c r="B32" s="10">
        <v>45664</v>
      </c>
      <c r="C32" t="s">
        <v>111</v>
      </c>
      <c r="D32" t="s">
        <v>12</v>
      </c>
      <c r="E32" t="s">
        <v>26</v>
      </c>
      <c r="F32" t="s">
        <v>14</v>
      </c>
      <c r="G32">
        <v>35.270000000000003</v>
      </c>
      <c r="H32" t="s">
        <v>98</v>
      </c>
      <c r="I32" t="s">
        <v>22</v>
      </c>
      <c r="J32" t="s">
        <v>23</v>
      </c>
    </row>
    <row r="33" spans="1:10" x14ac:dyDescent="0.35">
      <c r="A33" t="s">
        <v>112</v>
      </c>
      <c r="B33" s="10">
        <v>45664</v>
      </c>
      <c r="C33" t="s">
        <v>113</v>
      </c>
      <c r="D33" t="s">
        <v>34</v>
      </c>
      <c r="E33" t="s">
        <v>40</v>
      </c>
      <c r="F33" t="s">
        <v>14</v>
      </c>
      <c r="G33">
        <v>165.92</v>
      </c>
      <c r="H33" t="s">
        <v>15</v>
      </c>
      <c r="I33" t="s">
        <v>47</v>
      </c>
      <c r="J33" t="s">
        <v>37</v>
      </c>
    </row>
    <row r="34" spans="1:10" x14ac:dyDescent="0.35">
      <c r="A34" t="s">
        <v>114</v>
      </c>
      <c r="B34" s="10">
        <v>45665</v>
      </c>
      <c r="C34" t="s">
        <v>28</v>
      </c>
      <c r="D34" t="s">
        <v>29</v>
      </c>
      <c r="E34" t="s">
        <v>30</v>
      </c>
      <c r="F34" t="s">
        <v>14</v>
      </c>
      <c r="G34">
        <v>29.28</v>
      </c>
      <c r="H34" t="s">
        <v>21</v>
      </c>
      <c r="I34" t="s">
        <v>47</v>
      </c>
      <c r="J34" t="s">
        <v>31</v>
      </c>
    </row>
    <row r="35" spans="1:10" x14ac:dyDescent="0.35">
      <c r="A35" t="s">
        <v>115</v>
      </c>
      <c r="B35" s="10">
        <v>45665</v>
      </c>
      <c r="C35" t="s">
        <v>116</v>
      </c>
      <c r="D35" t="s">
        <v>80</v>
      </c>
      <c r="E35" t="s">
        <v>117</v>
      </c>
      <c r="F35" t="s">
        <v>14</v>
      </c>
      <c r="G35">
        <v>60.49</v>
      </c>
      <c r="H35" t="s">
        <v>15</v>
      </c>
      <c r="I35" t="s">
        <v>16</v>
      </c>
      <c r="J35" t="s">
        <v>118</v>
      </c>
    </row>
    <row r="36" spans="1:10" x14ac:dyDescent="0.35">
      <c r="A36" t="s">
        <v>119</v>
      </c>
      <c r="B36" s="10">
        <v>45665</v>
      </c>
      <c r="C36" t="s">
        <v>25</v>
      </c>
      <c r="D36" t="s">
        <v>12</v>
      </c>
      <c r="E36" t="s">
        <v>26</v>
      </c>
      <c r="F36" t="s">
        <v>14</v>
      </c>
      <c r="G36">
        <v>46.67</v>
      </c>
      <c r="H36" t="s">
        <v>15</v>
      </c>
      <c r="I36" t="s">
        <v>16</v>
      </c>
      <c r="J36" t="s">
        <v>17</v>
      </c>
    </row>
    <row r="37" spans="1:10" x14ac:dyDescent="0.35">
      <c r="A37" t="s">
        <v>120</v>
      </c>
      <c r="B37" s="10">
        <v>45665</v>
      </c>
      <c r="C37" t="s">
        <v>121</v>
      </c>
      <c r="D37" t="s">
        <v>34</v>
      </c>
      <c r="E37" t="s">
        <v>122</v>
      </c>
      <c r="F37" t="s">
        <v>14</v>
      </c>
      <c r="G37">
        <v>235.05</v>
      </c>
      <c r="H37" t="s">
        <v>98</v>
      </c>
      <c r="I37" t="s">
        <v>22</v>
      </c>
      <c r="J37" t="s">
        <v>123</v>
      </c>
    </row>
    <row r="38" spans="1:10" x14ac:dyDescent="0.35">
      <c r="A38" t="s">
        <v>124</v>
      </c>
      <c r="B38" s="10">
        <v>45665</v>
      </c>
      <c r="C38" t="s">
        <v>125</v>
      </c>
      <c r="D38" t="s">
        <v>12</v>
      </c>
      <c r="E38" t="s">
        <v>13</v>
      </c>
      <c r="F38" t="s">
        <v>14</v>
      </c>
      <c r="G38">
        <v>40.450000000000003</v>
      </c>
      <c r="H38" t="s">
        <v>98</v>
      </c>
      <c r="I38" t="s">
        <v>84</v>
      </c>
      <c r="J38" t="s">
        <v>44</v>
      </c>
    </row>
    <row r="39" spans="1:10" x14ac:dyDescent="0.35">
      <c r="A39" t="s">
        <v>126</v>
      </c>
      <c r="B39" s="10">
        <v>45665</v>
      </c>
      <c r="C39" t="s">
        <v>33</v>
      </c>
      <c r="D39" t="s">
        <v>34</v>
      </c>
      <c r="E39" t="s">
        <v>35</v>
      </c>
      <c r="F39" t="s">
        <v>14</v>
      </c>
      <c r="G39">
        <v>153.05000000000001</v>
      </c>
      <c r="H39" t="s">
        <v>98</v>
      </c>
      <c r="I39" t="s">
        <v>36</v>
      </c>
      <c r="J39" t="s">
        <v>37</v>
      </c>
    </row>
    <row r="40" spans="1:10" x14ac:dyDescent="0.35">
      <c r="A40" t="s">
        <v>127</v>
      </c>
      <c r="B40" s="10">
        <v>45665</v>
      </c>
      <c r="C40" t="s">
        <v>73</v>
      </c>
      <c r="D40" t="s">
        <v>54</v>
      </c>
      <c r="E40" t="s">
        <v>74</v>
      </c>
      <c r="F40" t="s">
        <v>54</v>
      </c>
      <c r="G40">
        <v>1809.07</v>
      </c>
      <c r="H40" t="s">
        <v>21</v>
      </c>
      <c r="I40" t="s">
        <v>47</v>
      </c>
      <c r="J40" t="s">
        <v>65</v>
      </c>
    </row>
    <row r="41" spans="1:10" x14ac:dyDescent="0.35">
      <c r="A41" t="s">
        <v>128</v>
      </c>
      <c r="B41" s="10">
        <v>45666</v>
      </c>
      <c r="C41" t="s">
        <v>91</v>
      </c>
      <c r="D41" t="s">
        <v>80</v>
      </c>
      <c r="E41" t="s">
        <v>92</v>
      </c>
      <c r="F41" t="s">
        <v>14</v>
      </c>
      <c r="G41">
        <v>66.069999999999993</v>
      </c>
      <c r="H41" t="s">
        <v>15</v>
      </c>
      <c r="I41" t="s">
        <v>36</v>
      </c>
      <c r="J41" t="s">
        <v>82</v>
      </c>
    </row>
    <row r="42" spans="1:10" x14ac:dyDescent="0.35">
      <c r="A42" t="s">
        <v>129</v>
      </c>
      <c r="B42" s="10">
        <v>45666</v>
      </c>
      <c r="C42" t="s">
        <v>130</v>
      </c>
      <c r="D42" t="s">
        <v>12</v>
      </c>
      <c r="E42" t="s">
        <v>26</v>
      </c>
      <c r="F42" t="s">
        <v>14</v>
      </c>
      <c r="G42">
        <v>26.36</v>
      </c>
      <c r="H42" t="s">
        <v>15</v>
      </c>
      <c r="I42" t="s">
        <v>22</v>
      </c>
      <c r="J42" t="s">
        <v>48</v>
      </c>
    </row>
    <row r="43" spans="1:10" x14ac:dyDescent="0.35">
      <c r="A43" t="s">
        <v>131</v>
      </c>
      <c r="B43" s="10">
        <v>45666</v>
      </c>
      <c r="C43" t="s">
        <v>132</v>
      </c>
      <c r="D43" t="s">
        <v>69</v>
      </c>
      <c r="E43" t="s">
        <v>70</v>
      </c>
      <c r="F43" t="s">
        <v>14</v>
      </c>
      <c r="G43">
        <v>150.62</v>
      </c>
      <c r="H43" t="s">
        <v>15</v>
      </c>
      <c r="I43" t="s">
        <v>16</v>
      </c>
      <c r="J43" t="s">
        <v>133</v>
      </c>
    </row>
    <row r="44" spans="1:10" x14ac:dyDescent="0.35">
      <c r="A44" t="s">
        <v>134</v>
      </c>
      <c r="B44" s="10">
        <v>45667</v>
      </c>
      <c r="C44" t="s">
        <v>135</v>
      </c>
      <c r="D44" t="s">
        <v>101</v>
      </c>
      <c r="E44" t="s">
        <v>102</v>
      </c>
      <c r="F44" t="s">
        <v>14</v>
      </c>
      <c r="G44">
        <v>26.66</v>
      </c>
      <c r="H44" t="s">
        <v>15</v>
      </c>
      <c r="I44" t="s">
        <v>36</v>
      </c>
      <c r="J44" t="s">
        <v>136</v>
      </c>
    </row>
    <row r="45" spans="1:10" x14ac:dyDescent="0.35">
      <c r="A45" t="s">
        <v>137</v>
      </c>
      <c r="B45" s="10">
        <v>45667</v>
      </c>
      <c r="C45" t="s">
        <v>138</v>
      </c>
      <c r="D45" t="s">
        <v>12</v>
      </c>
      <c r="E45" t="s">
        <v>26</v>
      </c>
      <c r="F45" t="s">
        <v>14</v>
      </c>
      <c r="G45">
        <v>69.569999999999993</v>
      </c>
      <c r="H45" t="s">
        <v>21</v>
      </c>
      <c r="I45" t="s">
        <v>16</v>
      </c>
      <c r="J45" t="s">
        <v>77</v>
      </c>
    </row>
    <row r="46" spans="1:10" x14ac:dyDescent="0.35">
      <c r="A46" t="s">
        <v>139</v>
      </c>
      <c r="B46" s="10">
        <v>45667</v>
      </c>
      <c r="C46" t="s">
        <v>140</v>
      </c>
      <c r="D46" t="s">
        <v>80</v>
      </c>
      <c r="E46" t="s">
        <v>81</v>
      </c>
      <c r="F46" t="s">
        <v>14</v>
      </c>
      <c r="G46">
        <v>36.92</v>
      </c>
      <c r="H46" t="s">
        <v>21</v>
      </c>
      <c r="I46" t="s">
        <v>16</v>
      </c>
      <c r="J46" t="s">
        <v>141</v>
      </c>
    </row>
    <row r="47" spans="1:10" x14ac:dyDescent="0.35">
      <c r="A47" t="s">
        <v>142</v>
      </c>
      <c r="B47" s="10">
        <v>45667</v>
      </c>
      <c r="C47" t="s">
        <v>143</v>
      </c>
      <c r="D47" t="s">
        <v>54</v>
      </c>
      <c r="E47" t="s">
        <v>55</v>
      </c>
      <c r="F47" t="s">
        <v>54</v>
      </c>
      <c r="G47">
        <v>826.05</v>
      </c>
      <c r="H47" t="s">
        <v>98</v>
      </c>
      <c r="I47" t="s">
        <v>84</v>
      </c>
      <c r="J47" t="s">
        <v>89</v>
      </c>
    </row>
    <row r="48" spans="1:10" x14ac:dyDescent="0.35">
      <c r="A48" t="s">
        <v>144</v>
      </c>
      <c r="B48" s="10">
        <v>45667</v>
      </c>
      <c r="C48" t="s">
        <v>43</v>
      </c>
      <c r="D48" t="s">
        <v>12</v>
      </c>
      <c r="E48" t="s">
        <v>26</v>
      </c>
      <c r="F48" t="s">
        <v>14</v>
      </c>
      <c r="G48">
        <v>62.57</v>
      </c>
      <c r="H48" t="s">
        <v>98</v>
      </c>
      <c r="I48" t="s">
        <v>47</v>
      </c>
      <c r="J48" t="s">
        <v>44</v>
      </c>
    </row>
    <row r="49" spans="1:10" x14ac:dyDescent="0.35">
      <c r="A49" t="s">
        <v>145</v>
      </c>
      <c r="B49" s="10">
        <v>45667</v>
      </c>
      <c r="C49" t="s">
        <v>121</v>
      </c>
      <c r="D49" t="s">
        <v>34</v>
      </c>
      <c r="E49" t="s">
        <v>122</v>
      </c>
      <c r="F49" t="s">
        <v>14</v>
      </c>
      <c r="G49">
        <v>259.51</v>
      </c>
      <c r="H49" t="s">
        <v>15</v>
      </c>
      <c r="I49" t="s">
        <v>36</v>
      </c>
      <c r="J49" t="s">
        <v>123</v>
      </c>
    </row>
    <row r="50" spans="1:10" x14ac:dyDescent="0.35">
      <c r="A50" t="s">
        <v>146</v>
      </c>
      <c r="B50" s="10">
        <v>45667</v>
      </c>
      <c r="C50" t="s">
        <v>73</v>
      </c>
      <c r="D50" t="s">
        <v>54</v>
      </c>
      <c r="E50" t="s">
        <v>74</v>
      </c>
      <c r="F50" t="s">
        <v>54</v>
      </c>
      <c r="G50">
        <v>2485.25</v>
      </c>
      <c r="H50" t="s">
        <v>15</v>
      </c>
      <c r="I50" t="s">
        <v>22</v>
      </c>
      <c r="J50" t="s">
        <v>65</v>
      </c>
    </row>
    <row r="51" spans="1:10" x14ac:dyDescent="0.35">
      <c r="A51" t="s">
        <v>147</v>
      </c>
      <c r="B51" s="10">
        <v>45668</v>
      </c>
      <c r="C51" t="s">
        <v>88</v>
      </c>
      <c r="D51" t="s">
        <v>54</v>
      </c>
      <c r="E51" t="s">
        <v>74</v>
      </c>
      <c r="F51" t="s">
        <v>54</v>
      </c>
      <c r="G51">
        <v>2341.54</v>
      </c>
      <c r="H51" t="s">
        <v>15</v>
      </c>
      <c r="I51" t="s">
        <v>36</v>
      </c>
      <c r="J51" t="s">
        <v>89</v>
      </c>
    </row>
    <row r="52" spans="1:10" x14ac:dyDescent="0.35">
      <c r="A52" t="s">
        <v>148</v>
      </c>
      <c r="B52" s="10">
        <v>45668</v>
      </c>
      <c r="C52" t="s">
        <v>125</v>
      </c>
      <c r="D52" t="s">
        <v>12</v>
      </c>
      <c r="E52" t="s">
        <v>13</v>
      </c>
      <c r="F52" t="s">
        <v>14</v>
      </c>
      <c r="G52">
        <v>61.43</v>
      </c>
      <c r="H52" t="s">
        <v>15</v>
      </c>
      <c r="I52" t="s">
        <v>16</v>
      </c>
      <c r="J52" t="s">
        <v>44</v>
      </c>
    </row>
    <row r="53" spans="1:10" x14ac:dyDescent="0.35">
      <c r="A53" t="s">
        <v>149</v>
      </c>
      <c r="B53" s="10">
        <v>45668</v>
      </c>
      <c r="C53" t="s">
        <v>150</v>
      </c>
      <c r="D53" t="s">
        <v>29</v>
      </c>
      <c r="E53" t="s">
        <v>30</v>
      </c>
      <c r="F53" t="s">
        <v>14</v>
      </c>
      <c r="G53">
        <v>75.489999999999995</v>
      </c>
      <c r="H53" t="s">
        <v>15</v>
      </c>
      <c r="I53" t="s">
        <v>36</v>
      </c>
      <c r="J53" t="s">
        <v>151</v>
      </c>
    </row>
    <row r="54" spans="1:10" x14ac:dyDescent="0.35">
      <c r="A54" t="s">
        <v>152</v>
      </c>
      <c r="B54" s="10">
        <v>45669</v>
      </c>
      <c r="C54" t="s">
        <v>153</v>
      </c>
      <c r="D54" t="s">
        <v>34</v>
      </c>
      <c r="E54" t="s">
        <v>122</v>
      </c>
      <c r="F54" t="s">
        <v>14</v>
      </c>
      <c r="G54">
        <v>221.92</v>
      </c>
      <c r="H54" t="s">
        <v>15</v>
      </c>
      <c r="I54" t="s">
        <v>22</v>
      </c>
      <c r="J54" t="s">
        <v>41</v>
      </c>
    </row>
    <row r="55" spans="1:10" x14ac:dyDescent="0.35">
      <c r="A55" t="s">
        <v>154</v>
      </c>
      <c r="B55" s="10">
        <v>45669</v>
      </c>
      <c r="C55" t="s">
        <v>155</v>
      </c>
      <c r="D55" t="s">
        <v>12</v>
      </c>
      <c r="E55" t="s">
        <v>51</v>
      </c>
      <c r="F55" t="s">
        <v>14</v>
      </c>
      <c r="G55">
        <v>81.86</v>
      </c>
      <c r="H55" t="s">
        <v>98</v>
      </c>
      <c r="I55" t="s">
        <v>47</v>
      </c>
      <c r="J55" t="s">
        <v>48</v>
      </c>
    </row>
    <row r="56" spans="1:10" x14ac:dyDescent="0.35">
      <c r="A56" t="s">
        <v>156</v>
      </c>
      <c r="B56" s="10">
        <v>45670</v>
      </c>
      <c r="C56" t="s">
        <v>157</v>
      </c>
      <c r="D56" t="s">
        <v>29</v>
      </c>
      <c r="E56" t="s">
        <v>95</v>
      </c>
      <c r="F56" t="s">
        <v>14</v>
      </c>
      <c r="G56">
        <v>62.12</v>
      </c>
      <c r="H56" t="s">
        <v>98</v>
      </c>
      <c r="I56" t="s">
        <v>36</v>
      </c>
      <c r="J56" t="s">
        <v>158</v>
      </c>
    </row>
    <row r="57" spans="1:10" x14ac:dyDescent="0.35">
      <c r="A57" t="s">
        <v>159</v>
      </c>
      <c r="B57" s="10">
        <v>45670</v>
      </c>
      <c r="C57" t="s">
        <v>160</v>
      </c>
      <c r="D57" t="s">
        <v>80</v>
      </c>
      <c r="E57" t="s">
        <v>117</v>
      </c>
      <c r="F57" t="s">
        <v>14</v>
      </c>
      <c r="G57">
        <v>250</v>
      </c>
      <c r="H57" t="s">
        <v>15</v>
      </c>
      <c r="I57" t="s">
        <v>16</v>
      </c>
      <c r="J57" t="s">
        <v>161</v>
      </c>
    </row>
    <row r="58" spans="1:10" x14ac:dyDescent="0.35">
      <c r="A58" t="s">
        <v>162</v>
      </c>
      <c r="B58" s="10">
        <v>45671</v>
      </c>
      <c r="C58" t="s">
        <v>163</v>
      </c>
      <c r="D58" t="s">
        <v>80</v>
      </c>
      <c r="E58" t="s">
        <v>92</v>
      </c>
      <c r="F58" t="s">
        <v>14</v>
      </c>
      <c r="G58">
        <v>64.67</v>
      </c>
      <c r="H58" t="s">
        <v>15</v>
      </c>
      <c r="I58" t="s">
        <v>22</v>
      </c>
      <c r="J58" t="s">
        <v>118</v>
      </c>
    </row>
    <row r="59" spans="1:10" x14ac:dyDescent="0.35">
      <c r="A59" t="s">
        <v>164</v>
      </c>
      <c r="B59" s="10">
        <v>45671</v>
      </c>
      <c r="C59" t="s">
        <v>91</v>
      </c>
      <c r="D59" t="s">
        <v>80</v>
      </c>
      <c r="E59" t="s">
        <v>92</v>
      </c>
      <c r="F59" t="s">
        <v>14</v>
      </c>
      <c r="G59">
        <v>193.27</v>
      </c>
      <c r="H59" t="s">
        <v>21</v>
      </c>
      <c r="I59" t="s">
        <v>22</v>
      </c>
      <c r="J59" t="s">
        <v>82</v>
      </c>
    </row>
    <row r="60" spans="1:10" x14ac:dyDescent="0.35">
      <c r="A60" t="s">
        <v>165</v>
      </c>
      <c r="B60" s="10">
        <v>45671</v>
      </c>
      <c r="C60" t="s">
        <v>73</v>
      </c>
      <c r="D60" t="s">
        <v>54</v>
      </c>
      <c r="E60" t="s">
        <v>74</v>
      </c>
      <c r="F60" t="s">
        <v>54</v>
      </c>
      <c r="G60">
        <v>2366</v>
      </c>
      <c r="H60" t="s">
        <v>15</v>
      </c>
      <c r="I60" t="s">
        <v>22</v>
      </c>
      <c r="J60" t="s">
        <v>65</v>
      </c>
    </row>
    <row r="61" spans="1:10" x14ac:dyDescent="0.35">
      <c r="A61" t="s">
        <v>166</v>
      </c>
      <c r="B61" s="10">
        <v>45671</v>
      </c>
      <c r="C61" t="s">
        <v>91</v>
      </c>
      <c r="D61" t="s">
        <v>80</v>
      </c>
      <c r="E61" t="s">
        <v>92</v>
      </c>
      <c r="F61" t="s">
        <v>14</v>
      </c>
      <c r="G61">
        <v>52.8</v>
      </c>
      <c r="H61" t="s">
        <v>15</v>
      </c>
      <c r="I61" t="s">
        <v>22</v>
      </c>
      <c r="J61" t="s">
        <v>82</v>
      </c>
    </row>
    <row r="62" spans="1:10" x14ac:dyDescent="0.35">
      <c r="A62" t="s">
        <v>167</v>
      </c>
      <c r="B62" s="10">
        <v>45671</v>
      </c>
      <c r="C62" t="s">
        <v>168</v>
      </c>
      <c r="D62" t="s">
        <v>59</v>
      </c>
      <c r="E62" t="s">
        <v>60</v>
      </c>
      <c r="F62" t="s">
        <v>14</v>
      </c>
      <c r="G62">
        <v>119.45</v>
      </c>
      <c r="H62" t="s">
        <v>15</v>
      </c>
      <c r="I62" t="s">
        <v>22</v>
      </c>
      <c r="J62" t="s">
        <v>170</v>
      </c>
    </row>
    <row r="63" spans="1:10" x14ac:dyDescent="0.35">
      <c r="A63" t="s">
        <v>171</v>
      </c>
      <c r="B63" s="10">
        <v>45671</v>
      </c>
      <c r="C63" t="s">
        <v>172</v>
      </c>
      <c r="D63" t="s">
        <v>101</v>
      </c>
      <c r="E63" t="s">
        <v>102</v>
      </c>
      <c r="F63" t="s">
        <v>14</v>
      </c>
      <c r="G63">
        <v>46.46</v>
      </c>
      <c r="H63" t="s">
        <v>15</v>
      </c>
      <c r="I63" t="s">
        <v>47</v>
      </c>
      <c r="J63" t="s">
        <v>102</v>
      </c>
    </row>
    <row r="64" spans="1:10" x14ac:dyDescent="0.35">
      <c r="A64" t="s">
        <v>173</v>
      </c>
      <c r="B64" s="10">
        <v>45672</v>
      </c>
      <c r="C64" t="s">
        <v>58</v>
      </c>
      <c r="D64" t="s">
        <v>59</v>
      </c>
      <c r="E64" t="s">
        <v>60</v>
      </c>
      <c r="F64" t="s">
        <v>14</v>
      </c>
      <c r="G64">
        <v>670.95</v>
      </c>
      <c r="H64" t="s">
        <v>15</v>
      </c>
      <c r="I64" t="s">
        <v>22</v>
      </c>
      <c r="J64" t="s">
        <v>61</v>
      </c>
    </row>
    <row r="65" spans="1:10" x14ac:dyDescent="0.35">
      <c r="A65" t="s">
        <v>174</v>
      </c>
      <c r="B65" s="10">
        <v>45672</v>
      </c>
      <c r="C65" t="s">
        <v>175</v>
      </c>
      <c r="D65" t="s">
        <v>80</v>
      </c>
      <c r="E65" t="s">
        <v>92</v>
      </c>
      <c r="F65" t="s">
        <v>14</v>
      </c>
      <c r="G65">
        <v>41.63</v>
      </c>
      <c r="H65" t="s">
        <v>15</v>
      </c>
      <c r="I65" t="s">
        <v>36</v>
      </c>
      <c r="J65" t="s">
        <v>141</v>
      </c>
    </row>
    <row r="66" spans="1:10" x14ac:dyDescent="0.35">
      <c r="A66" t="s">
        <v>176</v>
      </c>
      <c r="B66" s="10">
        <v>45672</v>
      </c>
      <c r="C66" t="s">
        <v>177</v>
      </c>
      <c r="D66" t="s">
        <v>54</v>
      </c>
      <c r="E66" t="s">
        <v>74</v>
      </c>
      <c r="F66" t="s">
        <v>54</v>
      </c>
      <c r="G66">
        <v>2476.86</v>
      </c>
      <c r="H66" t="s">
        <v>15</v>
      </c>
      <c r="I66" t="s">
        <v>22</v>
      </c>
      <c r="J66" t="s">
        <v>56</v>
      </c>
    </row>
    <row r="67" spans="1:10" x14ac:dyDescent="0.35">
      <c r="A67" t="s">
        <v>178</v>
      </c>
      <c r="B67" s="10">
        <v>45672</v>
      </c>
      <c r="C67" t="s">
        <v>179</v>
      </c>
      <c r="D67" t="s">
        <v>80</v>
      </c>
      <c r="E67" t="s">
        <v>117</v>
      </c>
      <c r="F67" t="s">
        <v>14</v>
      </c>
      <c r="G67">
        <v>51.84</v>
      </c>
      <c r="H67" t="s">
        <v>15</v>
      </c>
      <c r="I67" t="s">
        <v>22</v>
      </c>
      <c r="J67" t="s">
        <v>180</v>
      </c>
    </row>
    <row r="68" spans="1:10" x14ac:dyDescent="0.35">
      <c r="A68" t="s">
        <v>181</v>
      </c>
      <c r="B68" s="10">
        <v>45673</v>
      </c>
      <c r="C68" t="s">
        <v>172</v>
      </c>
      <c r="D68" t="s">
        <v>101</v>
      </c>
      <c r="E68" t="s">
        <v>102</v>
      </c>
      <c r="F68" t="s">
        <v>14</v>
      </c>
      <c r="G68">
        <v>100.38</v>
      </c>
      <c r="H68" t="s">
        <v>15</v>
      </c>
      <c r="I68" t="s">
        <v>47</v>
      </c>
      <c r="J68" t="s">
        <v>102</v>
      </c>
    </row>
    <row r="69" spans="1:10" x14ac:dyDescent="0.35">
      <c r="A69" t="s">
        <v>182</v>
      </c>
      <c r="B69" s="10">
        <v>45673</v>
      </c>
      <c r="C69" t="s">
        <v>73</v>
      </c>
      <c r="D69" t="s">
        <v>54</v>
      </c>
      <c r="E69" t="s">
        <v>74</v>
      </c>
      <c r="F69" t="s">
        <v>54</v>
      </c>
      <c r="G69">
        <v>2586.7199999999998</v>
      </c>
      <c r="H69" t="s">
        <v>98</v>
      </c>
      <c r="I69" t="s">
        <v>22</v>
      </c>
      <c r="J69" t="s">
        <v>65</v>
      </c>
    </row>
    <row r="70" spans="1:10" x14ac:dyDescent="0.35">
      <c r="A70" t="s">
        <v>183</v>
      </c>
      <c r="B70" s="10">
        <v>45673</v>
      </c>
      <c r="C70" t="s">
        <v>184</v>
      </c>
      <c r="D70" t="s">
        <v>59</v>
      </c>
      <c r="E70" t="s">
        <v>185</v>
      </c>
      <c r="F70" t="s">
        <v>14</v>
      </c>
      <c r="G70">
        <v>523.15</v>
      </c>
      <c r="H70" t="s">
        <v>15</v>
      </c>
      <c r="I70" t="s">
        <v>22</v>
      </c>
      <c r="J70" t="s">
        <v>61</v>
      </c>
    </row>
    <row r="71" spans="1:10" x14ac:dyDescent="0.35">
      <c r="A71" t="s">
        <v>186</v>
      </c>
      <c r="B71" s="10">
        <v>45673</v>
      </c>
      <c r="C71" t="s">
        <v>113</v>
      </c>
      <c r="D71" t="s">
        <v>34</v>
      </c>
      <c r="E71" t="s">
        <v>40</v>
      </c>
      <c r="F71" t="s">
        <v>14</v>
      </c>
      <c r="G71">
        <v>313.49</v>
      </c>
      <c r="H71" t="s">
        <v>15</v>
      </c>
      <c r="I71" t="s">
        <v>22</v>
      </c>
      <c r="J71" t="s">
        <v>37</v>
      </c>
    </row>
    <row r="72" spans="1:10" x14ac:dyDescent="0.35">
      <c r="A72" t="s">
        <v>187</v>
      </c>
      <c r="B72" s="10">
        <v>45673</v>
      </c>
      <c r="C72" t="s">
        <v>94</v>
      </c>
      <c r="D72" t="s">
        <v>29</v>
      </c>
      <c r="E72" t="s">
        <v>95</v>
      </c>
      <c r="F72" t="s">
        <v>14</v>
      </c>
      <c r="G72">
        <v>7.4</v>
      </c>
      <c r="H72" t="s">
        <v>15</v>
      </c>
      <c r="I72" t="s">
        <v>22</v>
      </c>
      <c r="J72" t="s">
        <v>96</v>
      </c>
    </row>
    <row r="73" spans="1:10" x14ac:dyDescent="0.35">
      <c r="A73" t="s">
        <v>188</v>
      </c>
      <c r="B73" s="10">
        <v>45673</v>
      </c>
      <c r="C73" t="s">
        <v>189</v>
      </c>
      <c r="D73" t="s">
        <v>34</v>
      </c>
      <c r="E73" t="s">
        <v>122</v>
      </c>
      <c r="F73" t="s">
        <v>14</v>
      </c>
      <c r="G73">
        <v>169.38</v>
      </c>
      <c r="H73" t="s">
        <v>15</v>
      </c>
      <c r="I73" t="s">
        <v>22</v>
      </c>
      <c r="J73" t="s">
        <v>37</v>
      </c>
    </row>
    <row r="74" spans="1:10" x14ac:dyDescent="0.35">
      <c r="A74" t="s">
        <v>190</v>
      </c>
      <c r="B74" s="10">
        <v>45674</v>
      </c>
      <c r="C74" t="s">
        <v>53</v>
      </c>
      <c r="D74" t="s">
        <v>54</v>
      </c>
      <c r="E74" t="s">
        <v>55</v>
      </c>
      <c r="F74" t="s">
        <v>54</v>
      </c>
      <c r="G74">
        <v>750.69</v>
      </c>
      <c r="H74" t="s">
        <v>15</v>
      </c>
      <c r="I74" t="s">
        <v>36</v>
      </c>
      <c r="J74" t="s">
        <v>56</v>
      </c>
    </row>
    <row r="75" spans="1:10" x14ac:dyDescent="0.35">
      <c r="A75" t="s">
        <v>191</v>
      </c>
      <c r="B75" s="10">
        <v>45674</v>
      </c>
      <c r="C75" t="s">
        <v>192</v>
      </c>
      <c r="D75" t="s">
        <v>80</v>
      </c>
      <c r="E75" t="s">
        <v>92</v>
      </c>
      <c r="F75" t="s">
        <v>14</v>
      </c>
      <c r="G75">
        <v>139.77000000000001</v>
      </c>
      <c r="H75" t="s">
        <v>98</v>
      </c>
      <c r="I75" t="s">
        <v>47</v>
      </c>
      <c r="J75" t="s">
        <v>180</v>
      </c>
    </row>
    <row r="76" spans="1:10" x14ac:dyDescent="0.35">
      <c r="A76" t="s">
        <v>193</v>
      </c>
      <c r="B76" s="10">
        <v>45674</v>
      </c>
      <c r="C76" t="s">
        <v>194</v>
      </c>
      <c r="D76" t="s">
        <v>101</v>
      </c>
      <c r="E76" t="s">
        <v>136</v>
      </c>
      <c r="F76" t="s">
        <v>14</v>
      </c>
      <c r="G76">
        <v>26.33</v>
      </c>
      <c r="H76" t="s">
        <v>15</v>
      </c>
      <c r="I76" t="s">
        <v>22</v>
      </c>
      <c r="J76" t="s">
        <v>103</v>
      </c>
    </row>
    <row r="77" spans="1:10" x14ac:dyDescent="0.35">
      <c r="A77" t="s">
        <v>195</v>
      </c>
      <c r="B77" s="10">
        <v>45674</v>
      </c>
      <c r="C77" t="s">
        <v>88</v>
      </c>
      <c r="D77" t="s">
        <v>54</v>
      </c>
      <c r="E77" t="s">
        <v>74</v>
      </c>
      <c r="F77" t="s">
        <v>54</v>
      </c>
      <c r="G77">
        <v>2600.14</v>
      </c>
      <c r="H77" t="s">
        <v>15</v>
      </c>
      <c r="I77" t="s">
        <v>84</v>
      </c>
      <c r="J77" t="s">
        <v>89</v>
      </c>
    </row>
    <row r="78" spans="1:10" x14ac:dyDescent="0.35">
      <c r="A78" t="s">
        <v>196</v>
      </c>
      <c r="B78" s="10">
        <v>45674</v>
      </c>
      <c r="C78" t="s">
        <v>153</v>
      </c>
      <c r="D78" t="s">
        <v>34</v>
      </c>
      <c r="E78" t="s">
        <v>122</v>
      </c>
      <c r="F78" t="s">
        <v>14</v>
      </c>
      <c r="G78">
        <v>167.48</v>
      </c>
      <c r="H78" t="s">
        <v>15</v>
      </c>
      <c r="I78" t="s">
        <v>22</v>
      </c>
      <c r="J78" t="s">
        <v>41</v>
      </c>
    </row>
    <row r="79" spans="1:10" x14ac:dyDescent="0.35">
      <c r="A79" t="s">
        <v>197</v>
      </c>
      <c r="B79" s="10">
        <v>45674</v>
      </c>
      <c r="C79" t="s">
        <v>198</v>
      </c>
      <c r="D79" t="s">
        <v>59</v>
      </c>
      <c r="E79" t="s">
        <v>199</v>
      </c>
      <c r="F79" t="s">
        <v>14</v>
      </c>
      <c r="G79">
        <v>52.8</v>
      </c>
      <c r="H79" t="s">
        <v>15</v>
      </c>
      <c r="I79" t="s">
        <v>22</v>
      </c>
      <c r="J79" t="s">
        <v>61</v>
      </c>
    </row>
    <row r="80" spans="1:10" x14ac:dyDescent="0.35">
      <c r="A80" t="s">
        <v>200</v>
      </c>
      <c r="B80" s="10">
        <v>45674</v>
      </c>
      <c r="C80" t="s">
        <v>25</v>
      </c>
      <c r="D80" t="s">
        <v>12</v>
      </c>
      <c r="E80" t="s">
        <v>26</v>
      </c>
      <c r="F80" t="s">
        <v>14</v>
      </c>
      <c r="G80">
        <v>16.420000000000002</v>
      </c>
      <c r="H80" t="s">
        <v>21</v>
      </c>
      <c r="I80" t="s">
        <v>22</v>
      </c>
      <c r="J80" t="s">
        <v>17</v>
      </c>
    </row>
    <row r="81" spans="1:10" x14ac:dyDescent="0.35">
      <c r="A81" t="s">
        <v>201</v>
      </c>
      <c r="B81" s="10">
        <v>45674</v>
      </c>
      <c r="C81" t="s">
        <v>189</v>
      </c>
      <c r="D81" t="s">
        <v>34</v>
      </c>
      <c r="E81" t="s">
        <v>122</v>
      </c>
      <c r="F81" t="s">
        <v>14</v>
      </c>
      <c r="G81">
        <v>164.74</v>
      </c>
      <c r="H81" t="s">
        <v>15</v>
      </c>
      <c r="I81" t="s">
        <v>36</v>
      </c>
      <c r="J81" t="s">
        <v>37</v>
      </c>
    </row>
    <row r="82" spans="1:10" x14ac:dyDescent="0.35">
      <c r="A82" t="s">
        <v>202</v>
      </c>
      <c r="B82" s="10">
        <v>45674</v>
      </c>
      <c r="C82" t="s">
        <v>172</v>
      </c>
      <c r="D82" t="s">
        <v>101</v>
      </c>
      <c r="E82" t="s">
        <v>102</v>
      </c>
      <c r="F82" t="s">
        <v>14</v>
      </c>
      <c r="G82">
        <v>99.17</v>
      </c>
      <c r="H82" t="s">
        <v>15</v>
      </c>
      <c r="I82" t="s">
        <v>22</v>
      </c>
      <c r="J82" t="s">
        <v>102</v>
      </c>
    </row>
    <row r="83" spans="1:10" x14ac:dyDescent="0.35">
      <c r="A83" t="s">
        <v>203</v>
      </c>
      <c r="B83" s="10">
        <v>45675</v>
      </c>
      <c r="C83" t="s">
        <v>204</v>
      </c>
      <c r="D83" t="s">
        <v>12</v>
      </c>
      <c r="E83" t="s">
        <v>51</v>
      </c>
      <c r="F83" t="s">
        <v>14</v>
      </c>
      <c r="G83">
        <v>102.04</v>
      </c>
      <c r="H83" t="s">
        <v>15</v>
      </c>
      <c r="I83" t="s">
        <v>47</v>
      </c>
      <c r="J83" t="s">
        <v>23</v>
      </c>
    </row>
    <row r="84" spans="1:10" x14ac:dyDescent="0.35">
      <c r="A84" t="s">
        <v>205</v>
      </c>
      <c r="B84" s="10">
        <v>45675</v>
      </c>
      <c r="C84" t="s">
        <v>206</v>
      </c>
      <c r="D84" t="s">
        <v>29</v>
      </c>
      <c r="E84" t="s">
        <v>95</v>
      </c>
      <c r="F84" t="s">
        <v>14</v>
      </c>
      <c r="G84">
        <v>28.65</v>
      </c>
      <c r="H84" t="s">
        <v>21</v>
      </c>
      <c r="I84" t="s">
        <v>22</v>
      </c>
      <c r="J84" t="s">
        <v>31</v>
      </c>
    </row>
    <row r="85" spans="1:10" x14ac:dyDescent="0.35">
      <c r="A85" t="s">
        <v>207</v>
      </c>
      <c r="B85" s="10">
        <v>45675</v>
      </c>
      <c r="C85" t="s">
        <v>58</v>
      </c>
      <c r="D85" t="s">
        <v>59</v>
      </c>
      <c r="E85" t="s">
        <v>60</v>
      </c>
      <c r="F85" t="s">
        <v>14</v>
      </c>
      <c r="G85">
        <v>650.85</v>
      </c>
      <c r="H85" t="s">
        <v>21</v>
      </c>
      <c r="I85" t="s">
        <v>36</v>
      </c>
      <c r="J85" t="s">
        <v>61</v>
      </c>
    </row>
    <row r="86" spans="1:10" x14ac:dyDescent="0.35">
      <c r="A86" t="s">
        <v>208</v>
      </c>
      <c r="B86" s="10">
        <v>45675</v>
      </c>
      <c r="C86" t="s">
        <v>50</v>
      </c>
      <c r="D86" t="s">
        <v>12</v>
      </c>
      <c r="E86" t="s">
        <v>51</v>
      </c>
      <c r="F86" t="s">
        <v>14</v>
      </c>
      <c r="G86">
        <v>64.739999999999995</v>
      </c>
      <c r="H86" t="s">
        <v>15</v>
      </c>
      <c r="I86" t="s">
        <v>22</v>
      </c>
      <c r="J86" t="s">
        <v>44</v>
      </c>
    </row>
    <row r="87" spans="1:10" x14ac:dyDescent="0.35">
      <c r="A87" t="s">
        <v>209</v>
      </c>
      <c r="B87" s="10">
        <v>45675</v>
      </c>
      <c r="C87" t="s">
        <v>210</v>
      </c>
      <c r="D87" t="s">
        <v>59</v>
      </c>
      <c r="E87" t="s">
        <v>185</v>
      </c>
      <c r="F87" t="s">
        <v>14</v>
      </c>
      <c r="G87">
        <v>251.3</v>
      </c>
      <c r="H87" t="s">
        <v>98</v>
      </c>
      <c r="I87" t="s">
        <v>47</v>
      </c>
      <c r="J87" t="s">
        <v>211</v>
      </c>
    </row>
    <row r="88" spans="1:10" x14ac:dyDescent="0.35">
      <c r="A88" t="s">
        <v>212</v>
      </c>
      <c r="B88" s="10">
        <v>45675</v>
      </c>
      <c r="C88" t="s">
        <v>160</v>
      </c>
      <c r="D88" t="s">
        <v>80</v>
      </c>
      <c r="E88" t="s">
        <v>117</v>
      </c>
      <c r="F88" t="s">
        <v>14</v>
      </c>
      <c r="G88">
        <v>91.07</v>
      </c>
      <c r="H88" t="s">
        <v>21</v>
      </c>
      <c r="I88" t="s">
        <v>22</v>
      </c>
      <c r="J88" t="s">
        <v>161</v>
      </c>
    </row>
    <row r="89" spans="1:10" x14ac:dyDescent="0.35">
      <c r="A89" t="s">
        <v>213</v>
      </c>
      <c r="B89" s="10">
        <v>45675</v>
      </c>
      <c r="C89" t="s">
        <v>58</v>
      </c>
      <c r="D89" t="s">
        <v>59</v>
      </c>
      <c r="E89" t="s">
        <v>60</v>
      </c>
      <c r="F89" t="s">
        <v>14</v>
      </c>
      <c r="G89">
        <v>372.97</v>
      </c>
      <c r="H89" t="s">
        <v>98</v>
      </c>
      <c r="I89" t="s">
        <v>36</v>
      </c>
      <c r="J89" t="s">
        <v>61</v>
      </c>
    </row>
    <row r="90" spans="1:10" x14ac:dyDescent="0.35">
      <c r="A90" t="s">
        <v>214</v>
      </c>
      <c r="B90" s="10">
        <v>45675</v>
      </c>
      <c r="C90" t="s">
        <v>215</v>
      </c>
      <c r="D90" t="s">
        <v>80</v>
      </c>
      <c r="E90" t="s">
        <v>117</v>
      </c>
      <c r="F90" t="s">
        <v>14</v>
      </c>
      <c r="G90">
        <v>250</v>
      </c>
      <c r="H90" t="s">
        <v>21</v>
      </c>
      <c r="I90" t="s">
        <v>47</v>
      </c>
      <c r="J90" t="s">
        <v>141</v>
      </c>
    </row>
    <row r="91" spans="1:10" x14ac:dyDescent="0.35">
      <c r="A91" t="s">
        <v>216</v>
      </c>
      <c r="B91" s="10">
        <v>45675</v>
      </c>
      <c r="C91" t="s">
        <v>217</v>
      </c>
      <c r="D91" t="s">
        <v>80</v>
      </c>
      <c r="E91" t="s">
        <v>81</v>
      </c>
      <c r="F91" t="s">
        <v>14</v>
      </c>
      <c r="G91">
        <v>27.01</v>
      </c>
      <c r="H91" t="s">
        <v>15</v>
      </c>
      <c r="I91" t="s">
        <v>47</v>
      </c>
      <c r="J91" t="s">
        <v>180</v>
      </c>
    </row>
    <row r="92" spans="1:10" x14ac:dyDescent="0.35">
      <c r="A92" t="s">
        <v>218</v>
      </c>
      <c r="B92" s="10">
        <v>45676</v>
      </c>
      <c r="C92" t="s">
        <v>88</v>
      </c>
      <c r="D92" t="s">
        <v>54</v>
      </c>
      <c r="E92" t="s">
        <v>74</v>
      </c>
      <c r="F92" t="s">
        <v>54</v>
      </c>
      <c r="G92">
        <v>2034.36</v>
      </c>
      <c r="H92" t="s">
        <v>15</v>
      </c>
      <c r="I92" t="s">
        <v>47</v>
      </c>
      <c r="J92" t="s">
        <v>89</v>
      </c>
    </row>
    <row r="93" spans="1:10" x14ac:dyDescent="0.35">
      <c r="A93" t="s">
        <v>219</v>
      </c>
      <c r="B93" s="10">
        <v>45676</v>
      </c>
      <c r="C93" t="s">
        <v>220</v>
      </c>
      <c r="D93" t="s">
        <v>59</v>
      </c>
      <c r="E93" t="s">
        <v>199</v>
      </c>
      <c r="F93" t="s">
        <v>14</v>
      </c>
      <c r="G93">
        <v>343.75</v>
      </c>
      <c r="H93" t="s">
        <v>15</v>
      </c>
      <c r="I93" t="s">
        <v>22</v>
      </c>
      <c r="J93" t="s">
        <v>211</v>
      </c>
    </row>
    <row r="94" spans="1:10" x14ac:dyDescent="0.35">
      <c r="A94" t="s">
        <v>221</v>
      </c>
      <c r="B94" s="10">
        <v>45676</v>
      </c>
      <c r="C94" t="s">
        <v>206</v>
      </c>
      <c r="D94" t="s">
        <v>29</v>
      </c>
      <c r="E94" t="s">
        <v>95</v>
      </c>
      <c r="F94" t="s">
        <v>14</v>
      </c>
      <c r="G94">
        <v>71.099999999999994</v>
      </c>
      <c r="H94" t="s">
        <v>15</v>
      </c>
      <c r="I94" t="s">
        <v>36</v>
      </c>
      <c r="J94" t="s">
        <v>31</v>
      </c>
    </row>
    <row r="95" spans="1:10" x14ac:dyDescent="0.35">
      <c r="A95" t="s">
        <v>222</v>
      </c>
      <c r="B95" s="10">
        <v>45676</v>
      </c>
      <c r="C95" t="s">
        <v>157</v>
      </c>
      <c r="D95" t="s">
        <v>29</v>
      </c>
      <c r="E95" t="s">
        <v>95</v>
      </c>
      <c r="F95" t="s">
        <v>14</v>
      </c>
      <c r="G95">
        <v>24.84</v>
      </c>
      <c r="H95" t="s">
        <v>15</v>
      </c>
      <c r="I95" t="s">
        <v>22</v>
      </c>
      <c r="J95" t="s">
        <v>158</v>
      </c>
    </row>
    <row r="96" spans="1:10" x14ac:dyDescent="0.35">
      <c r="A96" t="s">
        <v>223</v>
      </c>
      <c r="B96" s="10">
        <v>45676</v>
      </c>
      <c r="C96" t="s">
        <v>155</v>
      </c>
      <c r="D96" t="s">
        <v>12</v>
      </c>
      <c r="E96" t="s">
        <v>51</v>
      </c>
      <c r="F96" t="s">
        <v>14</v>
      </c>
      <c r="G96">
        <v>52.98</v>
      </c>
      <c r="H96" t="s">
        <v>15</v>
      </c>
      <c r="I96" t="s">
        <v>36</v>
      </c>
      <c r="J96" t="s">
        <v>48</v>
      </c>
    </row>
    <row r="97" spans="1:10" x14ac:dyDescent="0.35">
      <c r="A97" t="s">
        <v>224</v>
      </c>
      <c r="B97" s="10">
        <v>45676</v>
      </c>
      <c r="C97" t="s">
        <v>138</v>
      </c>
      <c r="D97" t="s">
        <v>12</v>
      </c>
      <c r="E97" t="s">
        <v>26</v>
      </c>
      <c r="F97" t="s">
        <v>14</v>
      </c>
      <c r="G97">
        <v>37.64</v>
      </c>
      <c r="H97" t="s">
        <v>21</v>
      </c>
      <c r="I97" t="s">
        <v>16</v>
      </c>
      <c r="J97" t="s">
        <v>77</v>
      </c>
    </row>
    <row r="98" spans="1:10" x14ac:dyDescent="0.35">
      <c r="A98" t="s">
        <v>225</v>
      </c>
      <c r="B98" s="10">
        <v>45676</v>
      </c>
      <c r="C98" t="s">
        <v>217</v>
      </c>
      <c r="D98" t="s">
        <v>80</v>
      </c>
      <c r="E98" t="s">
        <v>81</v>
      </c>
      <c r="F98" t="s">
        <v>14</v>
      </c>
      <c r="G98">
        <v>28.58</v>
      </c>
      <c r="H98" t="s">
        <v>21</v>
      </c>
      <c r="I98" t="s">
        <v>22</v>
      </c>
      <c r="J98" t="s">
        <v>180</v>
      </c>
    </row>
    <row r="99" spans="1:10" x14ac:dyDescent="0.35">
      <c r="A99" t="s">
        <v>226</v>
      </c>
      <c r="B99" s="10">
        <v>45676</v>
      </c>
      <c r="C99" t="s">
        <v>227</v>
      </c>
      <c r="D99" t="s">
        <v>12</v>
      </c>
      <c r="E99" t="s">
        <v>51</v>
      </c>
      <c r="F99" t="s">
        <v>14</v>
      </c>
      <c r="G99">
        <v>82.11</v>
      </c>
      <c r="H99" t="s">
        <v>15</v>
      </c>
      <c r="I99" t="s">
        <v>36</v>
      </c>
      <c r="J99" t="s">
        <v>17</v>
      </c>
    </row>
    <row r="100" spans="1:10" x14ac:dyDescent="0.35">
      <c r="A100" t="s">
        <v>228</v>
      </c>
      <c r="B100" s="10">
        <v>45677</v>
      </c>
      <c r="C100" t="s">
        <v>229</v>
      </c>
      <c r="D100" t="s">
        <v>54</v>
      </c>
      <c r="E100" t="s">
        <v>64</v>
      </c>
      <c r="F100" t="s">
        <v>54</v>
      </c>
      <c r="G100">
        <v>291.68</v>
      </c>
      <c r="H100" t="s">
        <v>15</v>
      </c>
      <c r="I100" t="s">
        <v>47</v>
      </c>
      <c r="J100" t="s">
        <v>56</v>
      </c>
    </row>
    <row r="101" spans="1:10" x14ac:dyDescent="0.35">
      <c r="A101" t="s">
        <v>230</v>
      </c>
      <c r="B101" s="10">
        <v>45677</v>
      </c>
      <c r="C101" t="s">
        <v>73</v>
      </c>
      <c r="D101" t="s">
        <v>54</v>
      </c>
      <c r="E101" t="s">
        <v>74</v>
      </c>
      <c r="F101" t="s">
        <v>54</v>
      </c>
      <c r="G101">
        <v>2398.1999999999998</v>
      </c>
      <c r="H101" t="s">
        <v>21</v>
      </c>
      <c r="I101" t="s">
        <v>22</v>
      </c>
      <c r="J101" t="s">
        <v>65</v>
      </c>
    </row>
    <row r="102" spans="1:10" x14ac:dyDescent="0.35">
      <c r="A102" t="s">
        <v>231</v>
      </c>
      <c r="B102" s="10">
        <v>45677</v>
      </c>
      <c r="C102" t="s">
        <v>232</v>
      </c>
      <c r="D102" t="s">
        <v>69</v>
      </c>
      <c r="E102" t="s">
        <v>233</v>
      </c>
      <c r="F102" t="s">
        <v>14</v>
      </c>
      <c r="G102">
        <v>437</v>
      </c>
      <c r="H102" t="s">
        <v>15</v>
      </c>
      <c r="I102" t="s">
        <v>47</v>
      </c>
      <c r="J102" t="s">
        <v>71</v>
      </c>
    </row>
    <row r="103" spans="1:10" x14ac:dyDescent="0.35">
      <c r="A103" t="s">
        <v>234</v>
      </c>
      <c r="B103" s="10">
        <v>45677</v>
      </c>
      <c r="C103" t="s">
        <v>140</v>
      </c>
      <c r="D103" t="s">
        <v>80</v>
      </c>
      <c r="E103" t="s">
        <v>81</v>
      </c>
      <c r="F103" t="s">
        <v>14</v>
      </c>
      <c r="G103">
        <v>37.950000000000003</v>
      </c>
      <c r="H103" t="s">
        <v>15</v>
      </c>
      <c r="I103" t="s">
        <v>84</v>
      </c>
      <c r="J103" t="s">
        <v>141</v>
      </c>
    </row>
    <row r="104" spans="1:10" x14ac:dyDescent="0.35">
      <c r="A104" t="s">
        <v>235</v>
      </c>
      <c r="B104" s="10">
        <v>45678</v>
      </c>
      <c r="C104" t="s">
        <v>91</v>
      </c>
      <c r="D104" t="s">
        <v>80</v>
      </c>
      <c r="E104" t="s">
        <v>92</v>
      </c>
      <c r="F104" t="s">
        <v>14</v>
      </c>
      <c r="G104">
        <v>62.36</v>
      </c>
      <c r="H104" t="s">
        <v>15</v>
      </c>
      <c r="I104" t="s">
        <v>47</v>
      </c>
      <c r="J104" t="s">
        <v>82</v>
      </c>
    </row>
    <row r="105" spans="1:10" x14ac:dyDescent="0.35">
      <c r="A105" t="s">
        <v>236</v>
      </c>
      <c r="B105" s="10">
        <v>45678</v>
      </c>
      <c r="C105" t="s">
        <v>220</v>
      </c>
      <c r="D105" t="s">
        <v>59</v>
      </c>
      <c r="E105" t="s">
        <v>199</v>
      </c>
      <c r="F105" t="s">
        <v>14</v>
      </c>
      <c r="G105">
        <v>428.06</v>
      </c>
      <c r="H105" t="s">
        <v>15</v>
      </c>
      <c r="I105" t="s">
        <v>22</v>
      </c>
      <c r="J105" t="s">
        <v>211</v>
      </c>
    </row>
    <row r="106" spans="1:10" x14ac:dyDescent="0.35">
      <c r="A106" t="s">
        <v>237</v>
      </c>
      <c r="B106" s="10">
        <v>45678</v>
      </c>
      <c r="C106" t="s">
        <v>238</v>
      </c>
      <c r="D106" t="s">
        <v>34</v>
      </c>
      <c r="E106" t="s">
        <v>35</v>
      </c>
      <c r="F106" t="s">
        <v>14</v>
      </c>
      <c r="G106">
        <v>192.17</v>
      </c>
      <c r="H106" t="s">
        <v>15</v>
      </c>
      <c r="I106" t="s">
        <v>84</v>
      </c>
      <c r="J106" t="s">
        <v>239</v>
      </c>
    </row>
    <row r="107" spans="1:10" x14ac:dyDescent="0.35">
      <c r="A107" t="s">
        <v>240</v>
      </c>
      <c r="B107" s="10">
        <v>45678</v>
      </c>
      <c r="C107" t="s">
        <v>217</v>
      </c>
      <c r="D107" t="s">
        <v>80</v>
      </c>
      <c r="E107" t="s">
        <v>81</v>
      </c>
      <c r="F107" t="s">
        <v>14</v>
      </c>
      <c r="G107">
        <v>40.97</v>
      </c>
      <c r="H107" t="s">
        <v>15</v>
      </c>
      <c r="I107" t="s">
        <v>36</v>
      </c>
      <c r="J107" t="s">
        <v>180</v>
      </c>
    </row>
    <row r="108" spans="1:10" x14ac:dyDescent="0.35">
      <c r="A108" t="s">
        <v>241</v>
      </c>
      <c r="B108" s="10">
        <v>45678</v>
      </c>
      <c r="C108" t="s">
        <v>160</v>
      </c>
      <c r="D108" t="s">
        <v>80</v>
      </c>
      <c r="E108" t="s">
        <v>117</v>
      </c>
      <c r="F108" t="s">
        <v>14</v>
      </c>
      <c r="G108">
        <v>17.850000000000001</v>
      </c>
      <c r="H108" t="s">
        <v>21</v>
      </c>
      <c r="I108" t="s">
        <v>36</v>
      </c>
      <c r="J108" t="s">
        <v>161</v>
      </c>
    </row>
    <row r="109" spans="1:10" x14ac:dyDescent="0.35">
      <c r="A109" t="s">
        <v>242</v>
      </c>
      <c r="B109" s="10">
        <v>45678</v>
      </c>
      <c r="C109" t="s">
        <v>243</v>
      </c>
      <c r="D109" t="s">
        <v>101</v>
      </c>
      <c r="E109" t="s">
        <v>244</v>
      </c>
      <c r="F109" t="s">
        <v>14</v>
      </c>
      <c r="G109">
        <v>18.05</v>
      </c>
      <c r="H109" t="s">
        <v>21</v>
      </c>
      <c r="I109" t="s">
        <v>22</v>
      </c>
      <c r="J109" t="s">
        <v>102</v>
      </c>
    </row>
    <row r="110" spans="1:10" x14ac:dyDescent="0.35">
      <c r="A110" t="s">
        <v>245</v>
      </c>
      <c r="B110" s="10">
        <v>45678</v>
      </c>
      <c r="C110" t="s">
        <v>113</v>
      </c>
      <c r="D110" t="s">
        <v>34</v>
      </c>
      <c r="E110" t="s">
        <v>40</v>
      </c>
      <c r="F110" t="s">
        <v>14</v>
      </c>
      <c r="G110">
        <v>93.24</v>
      </c>
      <c r="H110" t="s">
        <v>15</v>
      </c>
      <c r="I110" t="s">
        <v>22</v>
      </c>
      <c r="J110" t="s">
        <v>37</v>
      </c>
    </row>
    <row r="111" spans="1:10" x14ac:dyDescent="0.35">
      <c r="A111" t="s">
        <v>246</v>
      </c>
      <c r="B111" s="10">
        <v>45678</v>
      </c>
      <c r="C111" t="s">
        <v>143</v>
      </c>
      <c r="D111" t="s">
        <v>54</v>
      </c>
      <c r="E111" t="s">
        <v>55</v>
      </c>
      <c r="F111" t="s">
        <v>54</v>
      </c>
      <c r="G111">
        <v>771.24</v>
      </c>
      <c r="H111" t="s">
        <v>15</v>
      </c>
      <c r="I111" t="s">
        <v>47</v>
      </c>
      <c r="J111" t="s">
        <v>89</v>
      </c>
    </row>
    <row r="112" spans="1:10" x14ac:dyDescent="0.35">
      <c r="A112" t="s">
        <v>247</v>
      </c>
      <c r="B112" s="10">
        <v>45679</v>
      </c>
      <c r="C112" t="s">
        <v>248</v>
      </c>
      <c r="D112" t="s">
        <v>80</v>
      </c>
      <c r="E112" t="s">
        <v>81</v>
      </c>
      <c r="F112" t="s">
        <v>14</v>
      </c>
      <c r="G112">
        <v>27.75</v>
      </c>
      <c r="H112" t="s">
        <v>98</v>
      </c>
      <c r="I112" t="s">
        <v>36</v>
      </c>
      <c r="J112" t="s">
        <v>161</v>
      </c>
    </row>
    <row r="113" spans="1:10" x14ac:dyDescent="0.35">
      <c r="A113" t="s">
        <v>249</v>
      </c>
      <c r="B113" s="10">
        <v>45679</v>
      </c>
      <c r="C113" t="s">
        <v>58</v>
      </c>
      <c r="D113" t="s">
        <v>59</v>
      </c>
      <c r="E113" t="s">
        <v>60</v>
      </c>
      <c r="F113" t="s">
        <v>14</v>
      </c>
      <c r="G113">
        <v>125.46</v>
      </c>
      <c r="H113" t="s">
        <v>15</v>
      </c>
      <c r="I113" t="s">
        <v>47</v>
      </c>
      <c r="J113" t="s">
        <v>61</v>
      </c>
    </row>
    <row r="114" spans="1:10" x14ac:dyDescent="0.35">
      <c r="A114" t="s">
        <v>250</v>
      </c>
      <c r="B114" s="10">
        <v>45680</v>
      </c>
      <c r="C114" t="s">
        <v>251</v>
      </c>
      <c r="D114" t="s">
        <v>29</v>
      </c>
      <c r="E114" t="s">
        <v>151</v>
      </c>
      <c r="F114" t="s">
        <v>14</v>
      </c>
      <c r="G114">
        <v>42.96</v>
      </c>
      <c r="H114" t="s">
        <v>21</v>
      </c>
      <c r="I114" t="s">
        <v>22</v>
      </c>
      <c r="J114" t="s">
        <v>31</v>
      </c>
    </row>
    <row r="115" spans="1:10" x14ac:dyDescent="0.35">
      <c r="A115" t="s">
        <v>252</v>
      </c>
      <c r="B115" s="10">
        <v>45680</v>
      </c>
      <c r="C115" t="s">
        <v>253</v>
      </c>
      <c r="D115" t="s">
        <v>29</v>
      </c>
      <c r="E115" t="s">
        <v>30</v>
      </c>
      <c r="F115" t="s">
        <v>14</v>
      </c>
      <c r="G115">
        <v>31.51</v>
      </c>
      <c r="H115" t="s">
        <v>21</v>
      </c>
      <c r="I115" t="s">
        <v>47</v>
      </c>
      <c r="J115" t="s">
        <v>158</v>
      </c>
    </row>
    <row r="116" spans="1:10" x14ac:dyDescent="0.35">
      <c r="A116" t="s">
        <v>254</v>
      </c>
      <c r="B116" s="10">
        <v>45680</v>
      </c>
      <c r="C116" t="s">
        <v>125</v>
      </c>
      <c r="D116" t="s">
        <v>12</v>
      </c>
      <c r="E116" t="s">
        <v>13</v>
      </c>
      <c r="F116" t="s">
        <v>14</v>
      </c>
      <c r="G116">
        <v>95.45</v>
      </c>
      <c r="H116" t="s">
        <v>15</v>
      </c>
      <c r="I116" t="s">
        <v>84</v>
      </c>
      <c r="J116" t="s">
        <v>44</v>
      </c>
    </row>
    <row r="117" spans="1:10" x14ac:dyDescent="0.35">
      <c r="A117" t="s">
        <v>255</v>
      </c>
      <c r="B117" s="10">
        <v>45680</v>
      </c>
      <c r="C117" t="s">
        <v>256</v>
      </c>
      <c r="D117" t="s">
        <v>34</v>
      </c>
      <c r="E117" t="s">
        <v>40</v>
      </c>
      <c r="F117" t="s">
        <v>14</v>
      </c>
      <c r="G117">
        <v>87.26</v>
      </c>
      <c r="H117" t="s">
        <v>15</v>
      </c>
      <c r="I117" t="s">
        <v>36</v>
      </c>
      <c r="J117" t="s">
        <v>239</v>
      </c>
    </row>
    <row r="118" spans="1:10" x14ac:dyDescent="0.35">
      <c r="A118" t="s">
        <v>258</v>
      </c>
      <c r="B118" s="10">
        <v>45680</v>
      </c>
      <c r="C118" t="s">
        <v>259</v>
      </c>
      <c r="D118" t="s">
        <v>59</v>
      </c>
      <c r="E118" t="s">
        <v>199</v>
      </c>
      <c r="F118" t="s">
        <v>14</v>
      </c>
      <c r="G118">
        <v>52.09</v>
      </c>
      <c r="H118" t="s">
        <v>21</v>
      </c>
      <c r="I118" t="s">
        <v>47</v>
      </c>
      <c r="J118" t="s">
        <v>170</v>
      </c>
    </row>
    <row r="119" spans="1:10" x14ac:dyDescent="0.35">
      <c r="A119" t="s">
        <v>260</v>
      </c>
      <c r="B119" s="10">
        <v>45681</v>
      </c>
      <c r="C119" t="s">
        <v>130</v>
      </c>
      <c r="D119" t="s">
        <v>12</v>
      </c>
      <c r="E119" t="s">
        <v>26</v>
      </c>
      <c r="F119" t="s">
        <v>14</v>
      </c>
      <c r="G119">
        <v>76.31</v>
      </c>
      <c r="H119" t="s">
        <v>15</v>
      </c>
      <c r="I119" t="s">
        <v>47</v>
      </c>
      <c r="J119" t="s">
        <v>48</v>
      </c>
    </row>
    <row r="120" spans="1:10" x14ac:dyDescent="0.35">
      <c r="A120" t="s">
        <v>261</v>
      </c>
      <c r="B120" s="10">
        <v>45681</v>
      </c>
      <c r="C120" t="s">
        <v>262</v>
      </c>
      <c r="D120" t="s">
        <v>101</v>
      </c>
      <c r="E120" t="s">
        <v>244</v>
      </c>
      <c r="F120" t="s">
        <v>14</v>
      </c>
      <c r="G120">
        <v>93.94</v>
      </c>
      <c r="H120" t="s">
        <v>15</v>
      </c>
      <c r="I120" t="s">
        <v>22</v>
      </c>
      <c r="J120" t="s">
        <v>136</v>
      </c>
    </row>
    <row r="121" spans="1:10" x14ac:dyDescent="0.35">
      <c r="A121" t="s">
        <v>263</v>
      </c>
      <c r="B121" s="10">
        <v>45681</v>
      </c>
      <c r="C121" t="s">
        <v>210</v>
      </c>
      <c r="D121" t="s">
        <v>59</v>
      </c>
      <c r="E121" t="s">
        <v>185</v>
      </c>
      <c r="F121" t="s">
        <v>14</v>
      </c>
      <c r="G121">
        <v>56.35</v>
      </c>
      <c r="H121" t="s">
        <v>15</v>
      </c>
      <c r="I121" t="s">
        <v>22</v>
      </c>
      <c r="J121" t="s">
        <v>211</v>
      </c>
    </row>
    <row r="122" spans="1:10" x14ac:dyDescent="0.35">
      <c r="A122" t="s">
        <v>264</v>
      </c>
      <c r="B122" s="10">
        <v>45681</v>
      </c>
      <c r="C122" t="s">
        <v>143</v>
      </c>
      <c r="D122" t="s">
        <v>54</v>
      </c>
      <c r="E122" t="s">
        <v>55</v>
      </c>
      <c r="F122" t="s">
        <v>54</v>
      </c>
      <c r="G122">
        <v>644.28</v>
      </c>
      <c r="H122" t="s">
        <v>15</v>
      </c>
      <c r="I122" t="s">
        <v>22</v>
      </c>
      <c r="J122" t="s">
        <v>89</v>
      </c>
    </row>
    <row r="123" spans="1:10" x14ac:dyDescent="0.35">
      <c r="A123" t="s">
        <v>265</v>
      </c>
      <c r="B123" s="10">
        <v>45681</v>
      </c>
      <c r="C123" t="s">
        <v>184</v>
      </c>
      <c r="D123" t="s">
        <v>59</v>
      </c>
      <c r="E123" t="s">
        <v>185</v>
      </c>
      <c r="F123" t="s">
        <v>14</v>
      </c>
      <c r="G123">
        <v>191.84</v>
      </c>
      <c r="H123" t="s">
        <v>15</v>
      </c>
      <c r="I123" t="s">
        <v>47</v>
      </c>
      <c r="J123" t="s">
        <v>61</v>
      </c>
    </row>
    <row r="124" spans="1:10" x14ac:dyDescent="0.35">
      <c r="A124" t="s">
        <v>266</v>
      </c>
      <c r="B124" s="10">
        <v>45682</v>
      </c>
      <c r="C124" t="s">
        <v>267</v>
      </c>
      <c r="D124" t="s">
        <v>29</v>
      </c>
      <c r="E124" t="s">
        <v>30</v>
      </c>
      <c r="F124" t="s">
        <v>14</v>
      </c>
      <c r="G124">
        <v>18.09</v>
      </c>
      <c r="H124" t="s">
        <v>15</v>
      </c>
      <c r="I124" t="s">
        <v>16</v>
      </c>
      <c r="J124" t="s">
        <v>96</v>
      </c>
    </row>
    <row r="125" spans="1:10" x14ac:dyDescent="0.35">
      <c r="A125" t="s">
        <v>268</v>
      </c>
      <c r="B125" s="10">
        <v>45682</v>
      </c>
      <c r="C125" t="s">
        <v>269</v>
      </c>
      <c r="D125" t="s">
        <v>34</v>
      </c>
      <c r="E125" t="s">
        <v>35</v>
      </c>
      <c r="F125" t="s">
        <v>14</v>
      </c>
      <c r="G125">
        <v>90.67</v>
      </c>
      <c r="H125" t="s">
        <v>15</v>
      </c>
      <c r="I125" t="s">
        <v>47</v>
      </c>
      <c r="J125" t="s">
        <v>123</v>
      </c>
    </row>
    <row r="126" spans="1:10" x14ac:dyDescent="0.35">
      <c r="A126" t="s">
        <v>270</v>
      </c>
      <c r="B126" s="10">
        <v>45682</v>
      </c>
      <c r="C126" t="s">
        <v>220</v>
      </c>
      <c r="D126" t="s">
        <v>59</v>
      </c>
      <c r="E126" t="s">
        <v>199</v>
      </c>
      <c r="F126" t="s">
        <v>14</v>
      </c>
      <c r="G126">
        <v>229.76</v>
      </c>
      <c r="H126" t="s">
        <v>15</v>
      </c>
      <c r="I126" t="s">
        <v>47</v>
      </c>
      <c r="J126" t="s">
        <v>211</v>
      </c>
    </row>
    <row r="127" spans="1:10" x14ac:dyDescent="0.35">
      <c r="A127" t="s">
        <v>271</v>
      </c>
      <c r="B127" s="10">
        <v>45682</v>
      </c>
      <c r="C127" t="s">
        <v>272</v>
      </c>
      <c r="D127" t="s">
        <v>54</v>
      </c>
      <c r="E127" t="s">
        <v>55</v>
      </c>
      <c r="F127" t="s">
        <v>54</v>
      </c>
      <c r="G127">
        <v>631.67999999999995</v>
      </c>
      <c r="H127" t="s">
        <v>15</v>
      </c>
      <c r="I127" t="s">
        <v>36</v>
      </c>
      <c r="J127" t="s">
        <v>65</v>
      </c>
    </row>
    <row r="128" spans="1:10" x14ac:dyDescent="0.35">
      <c r="A128" t="s">
        <v>273</v>
      </c>
      <c r="B128" s="10">
        <v>45683</v>
      </c>
      <c r="C128" t="s">
        <v>204</v>
      </c>
      <c r="D128" t="s">
        <v>12</v>
      </c>
      <c r="E128" t="s">
        <v>51</v>
      </c>
      <c r="F128" t="s">
        <v>14</v>
      </c>
      <c r="G128">
        <v>44.89</v>
      </c>
      <c r="H128" t="s">
        <v>15</v>
      </c>
      <c r="I128" t="s">
        <v>36</v>
      </c>
      <c r="J128" t="s">
        <v>23</v>
      </c>
    </row>
    <row r="129" spans="1:10" x14ac:dyDescent="0.35">
      <c r="A129" t="s">
        <v>274</v>
      </c>
      <c r="B129" s="10">
        <v>45683</v>
      </c>
      <c r="C129" t="s">
        <v>259</v>
      </c>
      <c r="D129" t="s">
        <v>59</v>
      </c>
      <c r="E129" t="s">
        <v>199</v>
      </c>
      <c r="F129" t="s">
        <v>14</v>
      </c>
      <c r="G129">
        <v>138.57</v>
      </c>
      <c r="H129" t="s">
        <v>21</v>
      </c>
      <c r="I129" t="s">
        <v>22</v>
      </c>
      <c r="J129" t="s">
        <v>170</v>
      </c>
    </row>
    <row r="130" spans="1:10" x14ac:dyDescent="0.35">
      <c r="A130" t="s">
        <v>275</v>
      </c>
      <c r="B130" s="10">
        <v>45683</v>
      </c>
      <c r="C130" t="s">
        <v>63</v>
      </c>
      <c r="D130" t="s">
        <v>54</v>
      </c>
      <c r="E130" t="s">
        <v>64</v>
      </c>
      <c r="F130" t="s">
        <v>54</v>
      </c>
      <c r="G130">
        <v>351.46</v>
      </c>
      <c r="H130" t="s">
        <v>15</v>
      </c>
      <c r="I130" t="s">
        <v>36</v>
      </c>
      <c r="J130" t="s">
        <v>65</v>
      </c>
    </row>
    <row r="131" spans="1:10" x14ac:dyDescent="0.35">
      <c r="A131" t="s">
        <v>276</v>
      </c>
      <c r="B131" s="10">
        <v>45684</v>
      </c>
      <c r="C131" t="s">
        <v>79</v>
      </c>
      <c r="D131" t="s">
        <v>80</v>
      </c>
      <c r="E131" t="s">
        <v>81</v>
      </c>
      <c r="F131" t="s">
        <v>14</v>
      </c>
      <c r="G131">
        <v>61.79</v>
      </c>
      <c r="H131" t="s">
        <v>15</v>
      </c>
      <c r="I131" t="s">
        <v>22</v>
      </c>
      <c r="J131" t="s">
        <v>82</v>
      </c>
    </row>
    <row r="132" spans="1:10" x14ac:dyDescent="0.35">
      <c r="A132" t="s">
        <v>277</v>
      </c>
      <c r="B132" s="10">
        <v>45684</v>
      </c>
      <c r="C132" t="s">
        <v>177</v>
      </c>
      <c r="D132" t="s">
        <v>54</v>
      </c>
      <c r="E132" t="s">
        <v>74</v>
      </c>
      <c r="F132" t="s">
        <v>54</v>
      </c>
      <c r="G132">
        <v>2426.4299999999998</v>
      </c>
      <c r="H132" t="s">
        <v>21</v>
      </c>
      <c r="I132" t="s">
        <v>22</v>
      </c>
      <c r="J132" t="s">
        <v>56</v>
      </c>
    </row>
    <row r="133" spans="1:10" x14ac:dyDescent="0.35">
      <c r="A133" t="s">
        <v>278</v>
      </c>
      <c r="B133" s="10">
        <v>45684</v>
      </c>
      <c r="C133" t="s">
        <v>220</v>
      </c>
      <c r="D133" t="s">
        <v>59</v>
      </c>
      <c r="E133" t="s">
        <v>199</v>
      </c>
      <c r="F133" t="s">
        <v>14</v>
      </c>
      <c r="G133">
        <v>80.069999999999993</v>
      </c>
      <c r="H133" t="s">
        <v>15</v>
      </c>
      <c r="I133" t="s">
        <v>36</v>
      </c>
      <c r="J133" t="s">
        <v>211</v>
      </c>
    </row>
    <row r="134" spans="1:10" x14ac:dyDescent="0.35">
      <c r="A134" t="s">
        <v>279</v>
      </c>
      <c r="B134" s="10">
        <v>45684</v>
      </c>
      <c r="C134" t="s">
        <v>259</v>
      </c>
      <c r="D134" t="s">
        <v>59</v>
      </c>
      <c r="E134" t="s">
        <v>199</v>
      </c>
      <c r="F134" t="s">
        <v>14</v>
      </c>
      <c r="G134">
        <v>174.38</v>
      </c>
      <c r="H134" t="s">
        <v>15</v>
      </c>
      <c r="I134" t="s">
        <v>36</v>
      </c>
      <c r="J134" t="s">
        <v>170</v>
      </c>
    </row>
    <row r="135" spans="1:10" x14ac:dyDescent="0.35">
      <c r="A135" t="s">
        <v>280</v>
      </c>
      <c r="B135" s="10">
        <v>45685</v>
      </c>
      <c r="C135" t="s">
        <v>281</v>
      </c>
      <c r="D135" t="s">
        <v>34</v>
      </c>
      <c r="E135" t="s">
        <v>40</v>
      </c>
      <c r="F135" t="s">
        <v>14</v>
      </c>
      <c r="G135">
        <v>181.73</v>
      </c>
      <c r="H135" t="s">
        <v>15</v>
      </c>
      <c r="I135" t="s">
        <v>16</v>
      </c>
      <c r="J135" t="s">
        <v>123</v>
      </c>
    </row>
    <row r="136" spans="1:10" x14ac:dyDescent="0.35">
      <c r="A136" t="s">
        <v>282</v>
      </c>
      <c r="B136" s="10">
        <v>45685</v>
      </c>
      <c r="C136" t="s">
        <v>168</v>
      </c>
      <c r="D136" t="s">
        <v>59</v>
      </c>
      <c r="E136" t="s">
        <v>60</v>
      </c>
      <c r="F136" t="s">
        <v>14</v>
      </c>
      <c r="G136">
        <v>112.83</v>
      </c>
      <c r="H136" t="s">
        <v>21</v>
      </c>
      <c r="I136" t="s">
        <v>16</v>
      </c>
      <c r="J136" t="s">
        <v>170</v>
      </c>
    </row>
    <row r="137" spans="1:10" x14ac:dyDescent="0.35">
      <c r="A137" t="s">
        <v>283</v>
      </c>
      <c r="B137" s="10">
        <v>45685</v>
      </c>
      <c r="C137" t="s">
        <v>238</v>
      </c>
      <c r="D137" t="s">
        <v>34</v>
      </c>
      <c r="E137" t="s">
        <v>35</v>
      </c>
      <c r="F137" t="s">
        <v>14</v>
      </c>
      <c r="G137">
        <v>134.09</v>
      </c>
      <c r="H137" t="s">
        <v>21</v>
      </c>
      <c r="I137" t="s">
        <v>22</v>
      </c>
      <c r="J137" t="s">
        <v>239</v>
      </c>
    </row>
    <row r="138" spans="1:10" x14ac:dyDescent="0.35">
      <c r="A138" t="s">
        <v>284</v>
      </c>
      <c r="B138" s="10">
        <v>45685</v>
      </c>
      <c r="C138" t="s">
        <v>130</v>
      </c>
      <c r="D138" t="s">
        <v>12</v>
      </c>
      <c r="E138" t="s">
        <v>26</v>
      </c>
      <c r="F138" t="s">
        <v>14</v>
      </c>
      <c r="G138">
        <v>68.39</v>
      </c>
      <c r="H138" t="s">
        <v>15</v>
      </c>
      <c r="I138" t="s">
        <v>47</v>
      </c>
      <c r="J138" t="s">
        <v>48</v>
      </c>
    </row>
    <row r="139" spans="1:10" x14ac:dyDescent="0.35">
      <c r="A139" t="s">
        <v>285</v>
      </c>
      <c r="B139" s="10">
        <v>45685</v>
      </c>
      <c r="C139" t="s">
        <v>116</v>
      </c>
      <c r="D139" t="s">
        <v>80</v>
      </c>
      <c r="E139" t="s">
        <v>117</v>
      </c>
      <c r="F139" t="s">
        <v>14</v>
      </c>
      <c r="G139">
        <v>37.44</v>
      </c>
      <c r="H139" t="s">
        <v>15</v>
      </c>
      <c r="I139" t="s">
        <v>84</v>
      </c>
      <c r="J139" t="s">
        <v>118</v>
      </c>
    </row>
    <row r="140" spans="1:10" x14ac:dyDescent="0.35">
      <c r="A140" t="s">
        <v>286</v>
      </c>
      <c r="B140" s="10">
        <v>45685</v>
      </c>
      <c r="C140" t="s">
        <v>58</v>
      </c>
      <c r="D140" t="s">
        <v>59</v>
      </c>
      <c r="E140" t="s">
        <v>60</v>
      </c>
      <c r="F140" t="s">
        <v>14</v>
      </c>
      <c r="G140">
        <v>480.57</v>
      </c>
      <c r="H140" t="s">
        <v>15</v>
      </c>
      <c r="I140" t="s">
        <v>22</v>
      </c>
      <c r="J140" t="s">
        <v>61</v>
      </c>
    </row>
    <row r="141" spans="1:10" x14ac:dyDescent="0.35">
      <c r="A141" t="s">
        <v>287</v>
      </c>
      <c r="B141" s="10">
        <v>45685</v>
      </c>
      <c r="C141" t="s">
        <v>210</v>
      </c>
      <c r="D141" t="s">
        <v>59</v>
      </c>
      <c r="E141" t="s">
        <v>185</v>
      </c>
      <c r="F141" t="s">
        <v>14</v>
      </c>
      <c r="G141">
        <v>413.27</v>
      </c>
      <c r="H141" t="s">
        <v>15</v>
      </c>
      <c r="I141" t="s">
        <v>84</v>
      </c>
      <c r="J141" t="s">
        <v>211</v>
      </c>
    </row>
    <row r="142" spans="1:10" x14ac:dyDescent="0.35">
      <c r="A142" t="s">
        <v>288</v>
      </c>
      <c r="B142" s="10">
        <v>45685</v>
      </c>
      <c r="C142" t="s">
        <v>143</v>
      </c>
      <c r="D142" t="s">
        <v>54</v>
      </c>
      <c r="E142" t="s">
        <v>55</v>
      </c>
      <c r="F142" t="s">
        <v>54</v>
      </c>
      <c r="G142">
        <v>776.12</v>
      </c>
      <c r="H142" t="s">
        <v>98</v>
      </c>
      <c r="I142" t="s">
        <v>47</v>
      </c>
      <c r="J142" t="s">
        <v>89</v>
      </c>
    </row>
    <row r="143" spans="1:10" x14ac:dyDescent="0.35">
      <c r="A143" t="s">
        <v>289</v>
      </c>
      <c r="B143" s="10">
        <v>45685</v>
      </c>
      <c r="C143" t="s">
        <v>290</v>
      </c>
      <c r="D143" t="s">
        <v>69</v>
      </c>
      <c r="E143" t="s">
        <v>291</v>
      </c>
      <c r="F143" t="s">
        <v>14</v>
      </c>
      <c r="G143">
        <v>327.44</v>
      </c>
      <c r="H143" t="s">
        <v>15</v>
      </c>
      <c r="I143" t="s">
        <v>22</v>
      </c>
      <c r="J143" t="s">
        <v>292</v>
      </c>
    </row>
    <row r="144" spans="1:10" x14ac:dyDescent="0.35">
      <c r="A144" t="s">
        <v>293</v>
      </c>
      <c r="B144" s="10">
        <v>45686</v>
      </c>
      <c r="C144" t="s">
        <v>19</v>
      </c>
      <c r="D144" t="s">
        <v>12</v>
      </c>
      <c r="E144" t="s">
        <v>13</v>
      </c>
      <c r="F144" t="s">
        <v>14</v>
      </c>
      <c r="G144">
        <v>54.39</v>
      </c>
      <c r="H144" t="s">
        <v>15</v>
      </c>
      <c r="I144" t="s">
        <v>22</v>
      </c>
      <c r="J144" t="s">
        <v>23</v>
      </c>
    </row>
    <row r="145" spans="1:10" x14ac:dyDescent="0.35">
      <c r="A145" t="s">
        <v>294</v>
      </c>
      <c r="B145" s="10">
        <v>45686</v>
      </c>
      <c r="C145" t="s">
        <v>53</v>
      </c>
      <c r="D145" t="s">
        <v>54</v>
      </c>
      <c r="E145" t="s">
        <v>55</v>
      </c>
      <c r="F145" t="s">
        <v>54</v>
      </c>
      <c r="G145">
        <v>826.13</v>
      </c>
      <c r="H145" t="s">
        <v>15</v>
      </c>
      <c r="I145" t="s">
        <v>36</v>
      </c>
      <c r="J145" t="s">
        <v>56</v>
      </c>
    </row>
    <row r="146" spans="1:10" x14ac:dyDescent="0.35">
      <c r="A146" t="s">
        <v>295</v>
      </c>
      <c r="B146" s="10">
        <v>45686</v>
      </c>
      <c r="C146" t="s">
        <v>296</v>
      </c>
      <c r="D146" t="s">
        <v>101</v>
      </c>
      <c r="E146" t="s">
        <v>136</v>
      </c>
      <c r="F146" t="s">
        <v>14</v>
      </c>
      <c r="G146">
        <v>61.13</v>
      </c>
      <c r="H146" t="s">
        <v>15</v>
      </c>
      <c r="I146" t="s">
        <v>22</v>
      </c>
      <c r="J146" t="s">
        <v>136</v>
      </c>
    </row>
    <row r="147" spans="1:10" x14ac:dyDescent="0.35">
      <c r="A147" t="s">
        <v>297</v>
      </c>
      <c r="B147" s="10">
        <v>45686</v>
      </c>
      <c r="C147" t="s">
        <v>298</v>
      </c>
      <c r="D147" t="s">
        <v>59</v>
      </c>
      <c r="E147" t="s">
        <v>185</v>
      </c>
      <c r="F147" t="s">
        <v>14</v>
      </c>
      <c r="G147">
        <v>215.59</v>
      </c>
      <c r="H147" t="s">
        <v>15</v>
      </c>
      <c r="I147" t="s">
        <v>47</v>
      </c>
      <c r="J147" t="s">
        <v>170</v>
      </c>
    </row>
    <row r="148" spans="1:10" x14ac:dyDescent="0.35">
      <c r="A148" t="s">
        <v>299</v>
      </c>
      <c r="B148" s="10">
        <v>45686</v>
      </c>
      <c r="C148" t="s">
        <v>198</v>
      </c>
      <c r="D148" t="s">
        <v>59</v>
      </c>
      <c r="E148" t="s">
        <v>199</v>
      </c>
      <c r="F148" t="s">
        <v>14</v>
      </c>
      <c r="G148">
        <v>869.59</v>
      </c>
      <c r="H148" t="s">
        <v>98</v>
      </c>
      <c r="I148" t="s">
        <v>36</v>
      </c>
      <c r="J148" t="s">
        <v>61</v>
      </c>
    </row>
    <row r="149" spans="1:10" x14ac:dyDescent="0.35">
      <c r="A149" t="s">
        <v>300</v>
      </c>
      <c r="B149" s="10">
        <v>45687</v>
      </c>
      <c r="C149" t="s">
        <v>204</v>
      </c>
      <c r="D149" t="s">
        <v>12</v>
      </c>
      <c r="E149" t="s">
        <v>51</v>
      </c>
      <c r="F149" t="s">
        <v>14</v>
      </c>
      <c r="G149">
        <v>51.84</v>
      </c>
      <c r="H149" t="s">
        <v>15</v>
      </c>
      <c r="I149" t="s">
        <v>22</v>
      </c>
      <c r="J149" t="s">
        <v>23</v>
      </c>
    </row>
    <row r="150" spans="1:10" x14ac:dyDescent="0.35">
      <c r="A150" t="s">
        <v>301</v>
      </c>
      <c r="B150" s="10">
        <v>45687</v>
      </c>
      <c r="C150" t="s">
        <v>157</v>
      </c>
      <c r="D150" t="s">
        <v>29</v>
      </c>
      <c r="E150" t="s">
        <v>95</v>
      </c>
      <c r="F150" t="s">
        <v>14</v>
      </c>
      <c r="G150">
        <v>12.37</v>
      </c>
      <c r="H150" t="s">
        <v>15</v>
      </c>
      <c r="I150" t="s">
        <v>36</v>
      </c>
      <c r="J150" t="s">
        <v>158</v>
      </c>
    </row>
    <row r="151" spans="1:10" x14ac:dyDescent="0.35">
      <c r="A151" t="s">
        <v>302</v>
      </c>
      <c r="B151" s="10">
        <v>45688</v>
      </c>
      <c r="C151" t="s">
        <v>140</v>
      </c>
      <c r="D151" t="s">
        <v>80</v>
      </c>
      <c r="E151" t="s">
        <v>81</v>
      </c>
      <c r="F151" t="s">
        <v>14</v>
      </c>
      <c r="G151">
        <v>41.19</v>
      </c>
      <c r="H151" t="s">
        <v>15</v>
      </c>
      <c r="I151" t="s">
        <v>36</v>
      </c>
      <c r="J151" t="s">
        <v>141</v>
      </c>
    </row>
    <row r="152" spans="1:10" x14ac:dyDescent="0.35">
      <c r="A152" t="s">
        <v>303</v>
      </c>
      <c r="B152" s="10">
        <v>45688</v>
      </c>
      <c r="C152" t="s">
        <v>11</v>
      </c>
      <c r="D152" t="s">
        <v>12</v>
      </c>
      <c r="E152" t="s">
        <v>13</v>
      </c>
      <c r="F152" t="s">
        <v>14</v>
      </c>
      <c r="G152">
        <v>65.239999999999995</v>
      </c>
      <c r="H152" t="s">
        <v>21</v>
      </c>
      <c r="I152" t="s">
        <v>22</v>
      </c>
      <c r="J152" t="s">
        <v>17</v>
      </c>
    </row>
    <row r="153" spans="1:10" x14ac:dyDescent="0.35">
      <c r="A153" t="s">
        <v>304</v>
      </c>
      <c r="B153" s="10">
        <v>45688</v>
      </c>
      <c r="C153" t="s">
        <v>111</v>
      </c>
      <c r="D153" t="s">
        <v>12</v>
      </c>
      <c r="E153" t="s">
        <v>26</v>
      </c>
      <c r="F153" t="s">
        <v>14</v>
      </c>
      <c r="G153">
        <v>33.159999999999997</v>
      </c>
      <c r="H153" t="s">
        <v>98</v>
      </c>
      <c r="I153" t="s">
        <v>16</v>
      </c>
      <c r="J153" t="s">
        <v>23</v>
      </c>
    </row>
    <row r="154" spans="1:10" x14ac:dyDescent="0.35">
      <c r="A154" t="s">
        <v>305</v>
      </c>
      <c r="B154" s="10">
        <v>45688</v>
      </c>
      <c r="C154" t="s">
        <v>184</v>
      </c>
      <c r="D154" t="s">
        <v>59</v>
      </c>
      <c r="E154" t="s">
        <v>185</v>
      </c>
      <c r="F154" t="s">
        <v>14</v>
      </c>
      <c r="G154">
        <v>286.35000000000002</v>
      </c>
      <c r="H154" t="s">
        <v>15</v>
      </c>
      <c r="I154" t="s">
        <v>22</v>
      </c>
      <c r="J154" t="s">
        <v>61</v>
      </c>
    </row>
    <row r="155" spans="1:10" x14ac:dyDescent="0.35">
      <c r="A155" t="s">
        <v>306</v>
      </c>
      <c r="B155" s="10">
        <v>45688</v>
      </c>
      <c r="C155" t="s">
        <v>256</v>
      </c>
      <c r="D155" t="s">
        <v>34</v>
      </c>
      <c r="E155" t="s">
        <v>40</v>
      </c>
      <c r="F155" t="s">
        <v>14</v>
      </c>
      <c r="G155">
        <v>276.58999999999997</v>
      </c>
      <c r="H155" t="s">
        <v>15</v>
      </c>
      <c r="I155" t="s">
        <v>16</v>
      </c>
      <c r="J155" t="s">
        <v>239</v>
      </c>
    </row>
    <row r="156" spans="1:10" x14ac:dyDescent="0.35">
      <c r="A156" t="s">
        <v>307</v>
      </c>
      <c r="B156" s="10">
        <v>45688</v>
      </c>
      <c r="C156" t="s">
        <v>308</v>
      </c>
      <c r="D156" t="s">
        <v>54</v>
      </c>
      <c r="E156" t="s">
        <v>64</v>
      </c>
      <c r="F156" t="s">
        <v>54</v>
      </c>
      <c r="G156">
        <v>332.94</v>
      </c>
      <c r="H156" t="s">
        <v>15</v>
      </c>
      <c r="I156" t="s">
        <v>36</v>
      </c>
      <c r="J156" t="s">
        <v>89</v>
      </c>
    </row>
    <row r="157" spans="1:10" x14ac:dyDescent="0.35">
      <c r="A157" t="s">
        <v>309</v>
      </c>
      <c r="B157" s="10">
        <v>45688</v>
      </c>
      <c r="C157" t="s">
        <v>155</v>
      </c>
      <c r="D157" t="s">
        <v>12</v>
      </c>
      <c r="E157" t="s">
        <v>51</v>
      </c>
      <c r="F157" t="s">
        <v>14</v>
      </c>
      <c r="G157">
        <v>26.81</v>
      </c>
      <c r="H157" t="s">
        <v>98</v>
      </c>
      <c r="I157" t="s">
        <v>36</v>
      </c>
      <c r="J157" t="s">
        <v>48</v>
      </c>
    </row>
    <row r="158" spans="1:10" x14ac:dyDescent="0.35">
      <c r="A158" t="s">
        <v>310</v>
      </c>
      <c r="B158" s="10">
        <v>45688</v>
      </c>
      <c r="C158" t="s">
        <v>272</v>
      </c>
      <c r="D158" t="s">
        <v>54</v>
      </c>
      <c r="E158" t="s">
        <v>55</v>
      </c>
      <c r="F158" t="s">
        <v>54</v>
      </c>
      <c r="G158">
        <v>670.76</v>
      </c>
      <c r="H158" t="s">
        <v>15</v>
      </c>
      <c r="I158" t="s">
        <v>22</v>
      </c>
      <c r="J158" t="s">
        <v>65</v>
      </c>
    </row>
    <row r="159" spans="1:10" x14ac:dyDescent="0.35">
      <c r="A159" t="s">
        <v>311</v>
      </c>
      <c r="B159" s="10">
        <v>45688</v>
      </c>
      <c r="C159" t="s">
        <v>298</v>
      </c>
      <c r="D159" t="s">
        <v>59</v>
      </c>
      <c r="E159" t="s">
        <v>185</v>
      </c>
      <c r="F159" t="s">
        <v>14</v>
      </c>
      <c r="G159">
        <v>393.4</v>
      </c>
      <c r="H159" t="s">
        <v>21</v>
      </c>
      <c r="I159" t="s">
        <v>22</v>
      </c>
      <c r="J159" t="s">
        <v>170</v>
      </c>
    </row>
    <row r="160" spans="1:10" x14ac:dyDescent="0.35">
      <c r="A160" t="s">
        <v>312</v>
      </c>
      <c r="B160" s="10">
        <v>45689</v>
      </c>
      <c r="C160" t="s">
        <v>53</v>
      </c>
      <c r="D160" t="s">
        <v>54</v>
      </c>
      <c r="E160" t="s">
        <v>55</v>
      </c>
      <c r="F160" t="s">
        <v>54</v>
      </c>
      <c r="G160">
        <v>767.69</v>
      </c>
      <c r="H160" t="s">
        <v>21</v>
      </c>
      <c r="I160" t="s">
        <v>16</v>
      </c>
      <c r="J160" t="s">
        <v>56</v>
      </c>
    </row>
    <row r="161" spans="1:10" x14ac:dyDescent="0.35">
      <c r="A161" t="s">
        <v>313</v>
      </c>
      <c r="B161" s="10">
        <v>45689</v>
      </c>
      <c r="C161" t="s">
        <v>43</v>
      </c>
      <c r="D161" t="s">
        <v>12</v>
      </c>
      <c r="E161" t="s">
        <v>26</v>
      </c>
      <c r="F161" t="s">
        <v>14</v>
      </c>
      <c r="G161">
        <v>15.57</v>
      </c>
      <c r="H161" t="s">
        <v>15</v>
      </c>
      <c r="I161" t="s">
        <v>47</v>
      </c>
      <c r="J161" t="s">
        <v>44</v>
      </c>
    </row>
    <row r="162" spans="1:10" x14ac:dyDescent="0.35">
      <c r="A162" t="s">
        <v>314</v>
      </c>
      <c r="B162" s="10">
        <v>45689</v>
      </c>
      <c r="C162" t="s">
        <v>296</v>
      </c>
      <c r="D162" t="s">
        <v>101</v>
      </c>
      <c r="E162" t="s">
        <v>136</v>
      </c>
      <c r="F162" t="s">
        <v>14</v>
      </c>
      <c r="G162">
        <v>34.6</v>
      </c>
      <c r="H162" t="s">
        <v>15</v>
      </c>
      <c r="I162" t="s">
        <v>36</v>
      </c>
      <c r="J162" t="s">
        <v>136</v>
      </c>
    </row>
    <row r="163" spans="1:10" x14ac:dyDescent="0.35">
      <c r="A163" t="s">
        <v>315</v>
      </c>
      <c r="B163" s="10">
        <v>45689</v>
      </c>
      <c r="C163" t="s">
        <v>267</v>
      </c>
      <c r="D163" t="s">
        <v>29</v>
      </c>
      <c r="E163" t="s">
        <v>30</v>
      </c>
      <c r="F163" t="s">
        <v>14</v>
      </c>
      <c r="G163">
        <v>24.75</v>
      </c>
      <c r="H163" t="s">
        <v>15</v>
      </c>
      <c r="I163" t="s">
        <v>47</v>
      </c>
      <c r="J163" t="s">
        <v>96</v>
      </c>
    </row>
    <row r="164" spans="1:10" x14ac:dyDescent="0.35">
      <c r="A164" t="s">
        <v>316</v>
      </c>
      <c r="B164" s="10">
        <v>45689</v>
      </c>
      <c r="C164" t="s">
        <v>229</v>
      </c>
      <c r="D164" t="s">
        <v>54</v>
      </c>
      <c r="E164" t="s">
        <v>64</v>
      </c>
      <c r="F164" t="s">
        <v>54</v>
      </c>
      <c r="G164">
        <v>358.81</v>
      </c>
      <c r="H164" t="s">
        <v>15</v>
      </c>
      <c r="I164" t="s">
        <v>36</v>
      </c>
      <c r="J164" t="s">
        <v>56</v>
      </c>
    </row>
    <row r="165" spans="1:10" x14ac:dyDescent="0.35">
      <c r="A165" t="s">
        <v>317</v>
      </c>
      <c r="B165" s="10">
        <v>45689</v>
      </c>
      <c r="C165" t="s">
        <v>206</v>
      </c>
      <c r="D165" t="s">
        <v>29</v>
      </c>
      <c r="E165" t="s">
        <v>95</v>
      </c>
      <c r="F165" t="s">
        <v>14</v>
      </c>
      <c r="G165">
        <v>79.87</v>
      </c>
      <c r="H165" t="s">
        <v>15</v>
      </c>
      <c r="I165" t="s">
        <v>36</v>
      </c>
      <c r="J165" t="s">
        <v>31</v>
      </c>
    </row>
    <row r="166" spans="1:10" x14ac:dyDescent="0.35">
      <c r="A166" t="s">
        <v>318</v>
      </c>
      <c r="B166" s="10">
        <v>45689</v>
      </c>
      <c r="C166" t="s">
        <v>269</v>
      </c>
      <c r="D166" t="s">
        <v>34</v>
      </c>
      <c r="E166" t="s">
        <v>35</v>
      </c>
      <c r="F166" t="s">
        <v>14</v>
      </c>
      <c r="G166">
        <v>152.44</v>
      </c>
      <c r="H166" t="s">
        <v>21</v>
      </c>
      <c r="I166" t="s">
        <v>47</v>
      </c>
      <c r="J166" t="s">
        <v>123</v>
      </c>
    </row>
    <row r="167" spans="1:10" x14ac:dyDescent="0.35">
      <c r="A167" t="s">
        <v>319</v>
      </c>
      <c r="B167" s="10">
        <v>45689</v>
      </c>
      <c r="C167" t="s">
        <v>172</v>
      </c>
      <c r="D167" t="s">
        <v>101</v>
      </c>
      <c r="E167" t="s">
        <v>102</v>
      </c>
      <c r="F167" t="s">
        <v>14</v>
      </c>
      <c r="G167">
        <v>45.53</v>
      </c>
      <c r="H167" t="s">
        <v>15</v>
      </c>
      <c r="I167" t="s">
        <v>47</v>
      </c>
      <c r="J167" t="s">
        <v>102</v>
      </c>
    </row>
    <row r="168" spans="1:10" x14ac:dyDescent="0.35">
      <c r="A168" t="s">
        <v>320</v>
      </c>
      <c r="B168" s="10">
        <v>45689</v>
      </c>
      <c r="C168" t="s">
        <v>177</v>
      </c>
      <c r="D168" t="s">
        <v>54</v>
      </c>
      <c r="E168" t="s">
        <v>74</v>
      </c>
      <c r="F168" t="s">
        <v>54</v>
      </c>
      <c r="G168">
        <v>2479.37</v>
      </c>
      <c r="H168" t="s">
        <v>15</v>
      </c>
      <c r="I168" t="s">
        <v>47</v>
      </c>
      <c r="J168" t="s">
        <v>56</v>
      </c>
    </row>
    <row r="169" spans="1:10" x14ac:dyDescent="0.35">
      <c r="A169" t="s">
        <v>321</v>
      </c>
      <c r="B169" s="10">
        <v>45690</v>
      </c>
      <c r="C169" t="s">
        <v>63</v>
      </c>
      <c r="D169" t="s">
        <v>54</v>
      </c>
      <c r="E169" t="s">
        <v>64</v>
      </c>
      <c r="F169" t="s">
        <v>54</v>
      </c>
      <c r="G169">
        <v>392.65</v>
      </c>
      <c r="H169" t="s">
        <v>21</v>
      </c>
      <c r="I169" t="s">
        <v>36</v>
      </c>
      <c r="J169" t="s">
        <v>65</v>
      </c>
    </row>
    <row r="170" spans="1:10" x14ac:dyDescent="0.35">
      <c r="A170" t="s">
        <v>322</v>
      </c>
      <c r="B170" s="10">
        <v>45690</v>
      </c>
      <c r="C170" t="s">
        <v>109</v>
      </c>
      <c r="D170" t="s">
        <v>34</v>
      </c>
      <c r="E170" t="s">
        <v>35</v>
      </c>
      <c r="F170" t="s">
        <v>14</v>
      </c>
      <c r="G170">
        <v>421.2</v>
      </c>
      <c r="H170" t="s">
        <v>15</v>
      </c>
      <c r="I170" t="s">
        <v>47</v>
      </c>
      <c r="J170" t="s">
        <v>41</v>
      </c>
    </row>
    <row r="171" spans="1:10" x14ac:dyDescent="0.35">
      <c r="A171" t="s">
        <v>323</v>
      </c>
      <c r="B171" s="10">
        <v>45690</v>
      </c>
      <c r="C171" t="s">
        <v>324</v>
      </c>
      <c r="D171" t="s">
        <v>80</v>
      </c>
      <c r="E171" t="s">
        <v>92</v>
      </c>
      <c r="F171" t="s">
        <v>14</v>
      </c>
      <c r="G171">
        <v>42.93</v>
      </c>
      <c r="H171" t="s">
        <v>15</v>
      </c>
      <c r="I171" t="s">
        <v>22</v>
      </c>
      <c r="J171" t="s">
        <v>161</v>
      </c>
    </row>
    <row r="172" spans="1:10" x14ac:dyDescent="0.35">
      <c r="A172" t="s">
        <v>325</v>
      </c>
      <c r="B172" s="10">
        <v>45690</v>
      </c>
      <c r="C172" t="s">
        <v>11</v>
      </c>
      <c r="D172" t="s">
        <v>12</v>
      </c>
      <c r="E172" t="s">
        <v>13</v>
      </c>
      <c r="F172" t="s">
        <v>14</v>
      </c>
      <c r="G172">
        <v>52.2</v>
      </c>
      <c r="H172" t="s">
        <v>15</v>
      </c>
      <c r="I172" t="s">
        <v>47</v>
      </c>
      <c r="J172" t="s">
        <v>17</v>
      </c>
    </row>
    <row r="173" spans="1:10" x14ac:dyDescent="0.35">
      <c r="A173" t="s">
        <v>326</v>
      </c>
      <c r="B173" s="10">
        <v>45690</v>
      </c>
      <c r="C173" t="s">
        <v>229</v>
      </c>
      <c r="D173" t="s">
        <v>54</v>
      </c>
      <c r="E173" t="s">
        <v>64</v>
      </c>
      <c r="F173" t="s">
        <v>54</v>
      </c>
      <c r="G173">
        <v>355.83</v>
      </c>
      <c r="H173" t="s">
        <v>15</v>
      </c>
      <c r="I173" t="s">
        <v>16</v>
      </c>
      <c r="J173" t="s">
        <v>56</v>
      </c>
    </row>
    <row r="174" spans="1:10" x14ac:dyDescent="0.35">
      <c r="A174" t="s">
        <v>327</v>
      </c>
      <c r="B174" s="10">
        <v>45690</v>
      </c>
      <c r="C174" t="s">
        <v>227</v>
      </c>
      <c r="D174" t="s">
        <v>12</v>
      </c>
      <c r="E174" t="s">
        <v>51</v>
      </c>
      <c r="F174" t="s">
        <v>14</v>
      </c>
      <c r="G174">
        <v>32.659999999999997</v>
      </c>
      <c r="H174" t="s">
        <v>15</v>
      </c>
      <c r="I174" t="s">
        <v>47</v>
      </c>
      <c r="J174" t="s">
        <v>17</v>
      </c>
    </row>
    <row r="175" spans="1:10" x14ac:dyDescent="0.35">
      <c r="A175" t="s">
        <v>328</v>
      </c>
      <c r="B175" s="10">
        <v>45691</v>
      </c>
      <c r="C175" t="s">
        <v>262</v>
      </c>
      <c r="D175" t="s">
        <v>101</v>
      </c>
      <c r="E175" t="s">
        <v>244</v>
      </c>
      <c r="F175" t="s">
        <v>14</v>
      </c>
      <c r="G175">
        <v>109.5</v>
      </c>
      <c r="H175" t="s">
        <v>15</v>
      </c>
      <c r="I175" t="s">
        <v>22</v>
      </c>
      <c r="J175" t="s">
        <v>136</v>
      </c>
    </row>
    <row r="176" spans="1:10" x14ac:dyDescent="0.35">
      <c r="A176" t="s">
        <v>329</v>
      </c>
      <c r="B176" s="10">
        <v>45691</v>
      </c>
      <c r="C176" t="s">
        <v>248</v>
      </c>
      <c r="D176" t="s">
        <v>80</v>
      </c>
      <c r="E176" t="s">
        <v>81</v>
      </c>
      <c r="F176" t="s">
        <v>14</v>
      </c>
      <c r="G176">
        <v>47.11</v>
      </c>
      <c r="H176" t="s">
        <v>15</v>
      </c>
      <c r="I176" t="s">
        <v>47</v>
      </c>
      <c r="J176" t="s">
        <v>161</v>
      </c>
    </row>
    <row r="177" spans="1:10" x14ac:dyDescent="0.35">
      <c r="A177" t="s">
        <v>330</v>
      </c>
      <c r="B177" s="10">
        <v>45691</v>
      </c>
      <c r="C177" t="s">
        <v>331</v>
      </c>
      <c r="D177" t="s">
        <v>29</v>
      </c>
      <c r="E177" t="s">
        <v>95</v>
      </c>
      <c r="F177" t="s">
        <v>14</v>
      </c>
      <c r="G177">
        <v>25.78</v>
      </c>
      <c r="H177" t="s">
        <v>15</v>
      </c>
      <c r="I177" t="s">
        <v>22</v>
      </c>
      <c r="J177" t="s">
        <v>151</v>
      </c>
    </row>
    <row r="178" spans="1:10" x14ac:dyDescent="0.35">
      <c r="A178" t="s">
        <v>332</v>
      </c>
      <c r="B178" s="10">
        <v>45691</v>
      </c>
      <c r="C178" t="s">
        <v>259</v>
      </c>
      <c r="D178" t="s">
        <v>59</v>
      </c>
      <c r="E178" t="s">
        <v>199</v>
      </c>
      <c r="F178" t="s">
        <v>14</v>
      </c>
      <c r="G178">
        <v>157.02000000000001</v>
      </c>
      <c r="H178" t="s">
        <v>98</v>
      </c>
      <c r="I178" t="s">
        <v>36</v>
      </c>
      <c r="J178" t="s">
        <v>170</v>
      </c>
    </row>
    <row r="179" spans="1:10" x14ac:dyDescent="0.35">
      <c r="A179" t="s">
        <v>333</v>
      </c>
      <c r="B179" s="10">
        <v>45691</v>
      </c>
      <c r="C179" t="s">
        <v>217</v>
      </c>
      <c r="D179" t="s">
        <v>80</v>
      </c>
      <c r="E179" t="s">
        <v>81</v>
      </c>
      <c r="F179" t="s">
        <v>14</v>
      </c>
      <c r="G179">
        <v>40.68</v>
      </c>
      <c r="H179" t="s">
        <v>15</v>
      </c>
      <c r="I179" t="s">
        <v>47</v>
      </c>
      <c r="J179" t="s">
        <v>180</v>
      </c>
    </row>
    <row r="180" spans="1:10" x14ac:dyDescent="0.35">
      <c r="A180" t="s">
        <v>334</v>
      </c>
      <c r="B180" s="10">
        <v>45691</v>
      </c>
      <c r="C180" t="s">
        <v>272</v>
      </c>
      <c r="D180" t="s">
        <v>54</v>
      </c>
      <c r="E180" t="s">
        <v>55</v>
      </c>
      <c r="F180" t="s">
        <v>54</v>
      </c>
      <c r="G180">
        <v>753.44</v>
      </c>
      <c r="H180" t="s">
        <v>15</v>
      </c>
      <c r="I180" t="s">
        <v>22</v>
      </c>
      <c r="J180" t="s">
        <v>65</v>
      </c>
    </row>
    <row r="181" spans="1:10" x14ac:dyDescent="0.35">
      <c r="A181" t="s">
        <v>335</v>
      </c>
      <c r="B181" s="10">
        <v>45691</v>
      </c>
      <c r="C181" t="s">
        <v>220</v>
      </c>
      <c r="D181" t="s">
        <v>59</v>
      </c>
      <c r="E181" t="s">
        <v>199</v>
      </c>
      <c r="F181" t="s">
        <v>14</v>
      </c>
      <c r="G181">
        <v>81.650000000000006</v>
      </c>
      <c r="H181" t="s">
        <v>15</v>
      </c>
      <c r="I181" t="s">
        <v>47</v>
      </c>
      <c r="J181" t="s">
        <v>211</v>
      </c>
    </row>
    <row r="182" spans="1:10" x14ac:dyDescent="0.35">
      <c r="A182" t="s">
        <v>336</v>
      </c>
      <c r="B182" s="10">
        <v>45691</v>
      </c>
      <c r="C182" t="s">
        <v>192</v>
      </c>
      <c r="D182" t="s">
        <v>80</v>
      </c>
      <c r="E182" t="s">
        <v>92</v>
      </c>
      <c r="F182" t="s">
        <v>14</v>
      </c>
      <c r="G182">
        <v>107.93</v>
      </c>
      <c r="H182" t="s">
        <v>98</v>
      </c>
      <c r="I182" t="s">
        <v>84</v>
      </c>
      <c r="J182" t="s">
        <v>180</v>
      </c>
    </row>
    <row r="183" spans="1:10" x14ac:dyDescent="0.35">
      <c r="A183" t="s">
        <v>337</v>
      </c>
      <c r="B183" s="10">
        <v>45691</v>
      </c>
      <c r="C183" t="s">
        <v>194</v>
      </c>
      <c r="D183" t="s">
        <v>101</v>
      </c>
      <c r="E183" t="s">
        <v>136</v>
      </c>
      <c r="F183" t="s">
        <v>14</v>
      </c>
      <c r="G183">
        <v>57.96</v>
      </c>
      <c r="H183" t="s">
        <v>21</v>
      </c>
      <c r="I183" t="s">
        <v>22</v>
      </c>
      <c r="J183" t="s">
        <v>103</v>
      </c>
    </row>
    <row r="184" spans="1:10" x14ac:dyDescent="0.35">
      <c r="A184" t="s">
        <v>338</v>
      </c>
      <c r="B184" s="10">
        <v>45692</v>
      </c>
      <c r="C184" t="s">
        <v>138</v>
      </c>
      <c r="D184" t="s">
        <v>12</v>
      </c>
      <c r="E184" t="s">
        <v>26</v>
      </c>
      <c r="F184" t="s">
        <v>14</v>
      </c>
      <c r="G184">
        <v>63.59</v>
      </c>
      <c r="H184" t="s">
        <v>21</v>
      </c>
      <c r="I184" t="s">
        <v>22</v>
      </c>
      <c r="J184" t="s">
        <v>77</v>
      </c>
    </row>
    <row r="185" spans="1:10" x14ac:dyDescent="0.35">
      <c r="A185" t="s">
        <v>339</v>
      </c>
      <c r="B185" s="10">
        <v>45692</v>
      </c>
      <c r="C185" t="s">
        <v>177</v>
      </c>
      <c r="D185" t="s">
        <v>54</v>
      </c>
      <c r="E185" t="s">
        <v>74</v>
      </c>
      <c r="F185" t="s">
        <v>54</v>
      </c>
      <c r="G185">
        <v>2944.13</v>
      </c>
      <c r="H185" t="s">
        <v>15</v>
      </c>
      <c r="I185" t="s">
        <v>84</v>
      </c>
      <c r="J185" t="s">
        <v>56</v>
      </c>
    </row>
    <row r="186" spans="1:10" x14ac:dyDescent="0.35">
      <c r="A186" t="s">
        <v>340</v>
      </c>
      <c r="B186" s="10">
        <v>45692</v>
      </c>
      <c r="C186" t="s">
        <v>143</v>
      </c>
      <c r="D186" t="s">
        <v>54</v>
      </c>
      <c r="E186" t="s">
        <v>55</v>
      </c>
      <c r="F186" t="s">
        <v>54</v>
      </c>
      <c r="G186">
        <v>736.05</v>
      </c>
      <c r="H186" t="s">
        <v>15</v>
      </c>
      <c r="I186" t="s">
        <v>47</v>
      </c>
      <c r="J186" t="s">
        <v>89</v>
      </c>
    </row>
    <row r="187" spans="1:10" x14ac:dyDescent="0.35">
      <c r="A187" t="s">
        <v>341</v>
      </c>
      <c r="B187" s="10">
        <v>45693</v>
      </c>
      <c r="C187" t="s">
        <v>168</v>
      </c>
      <c r="D187" t="s">
        <v>59</v>
      </c>
      <c r="E187" t="s">
        <v>60</v>
      </c>
      <c r="F187" t="s">
        <v>14</v>
      </c>
      <c r="G187">
        <v>450.59</v>
      </c>
      <c r="H187" t="s">
        <v>21</v>
      </c>
      <c r="I187" t="s">
        <v>22</v>
      </c>
      <c r="J187" t="s">
        <v>170</v>
      </c>
    </row>
    <row r="188" spans="1:10" x14ac:dyDescent="0.35">
      <c r="A188" t="s">
        <v>342</v>
      </c>
      <c r="B188" s="10">
        <v>45693</v>
      </c>
      <c r="C188" t="s">
        <v>272</v>
      </c>
      <c r="D188" t="s">
        <v>54</v>
      </c>
      <c r="E188" t="s">
        <v>55</v>
      </c>
      <c r="F188" t="s">
        <v>54</v>
      </c>
      <c r="G188">
        <v>874.32</v>
      </c>
      <c r="H188" t="s">
        <v>15</v>
      </c>
      <c r="I188" t="s">
        <v>36</v>
      </c>
      <c r="J188" t="s">
        <v>65</v>
      </c>
    </row>
    <row r="189" spans="1:10" x14ac:dyDescent="0.35">
      <c r="A189" t="s">
        <v>343</v>
      </c>
      <c r="B189" s="10">
        <v>45693</v>
      </c>
      <c r="C189" t="s">
        <v>140</v>
      </c>
      <c r="D189" t="s">
        <v>80</v>
      </c>
      <c r="E189" t="s">
        <v>81</v>
      </c>
      <c r="F189" t="s">
        <v>14</v>
      </c>
      <c r="G189">
        <v>48.81</v>
      </c>
      <c r="H189" t="s">
        <v>15</v>
      </c>
      <c r="I189" t="s">
        <v>84</v>
      </c>
      <c r="J189" t="s">
        <v>141</v>
      </c>
    </row>
    <row r="190" spans="1:10" x14ac:dyDescent="0.35">
      <c r="A190" t="s">
        <v>344</v>
      </c>
      <c r="B190" s="10">
        <v>45694</v>
      </c>
      <c r="C190" t="s">
        <v>345</v>
      </c>
      <c r="D190" t="s">
        <v>59</v>
      </c>
      <c r="E190" t="s">
        <v>60</v>
      </c>
      <c r="F190" t="s">
        <v>14</v>
      </c>
      <c r="G190">
        <v>203.8</v>
      </c>
      <c r="H190" t="s">
        <v>21</v>
      </c>
      <c r="I190" t="s">
        <v>47</v>
      </c>
      <c r="J190" t="s">
        <v>211</v>
      </c>
    </row>
    <row r="191" spans="1:10" x14ac:dyDescent="0.35">
      <c r="A191" t="s">
        <v>346</v>
      </c>
      <c r="B191" s="10">
        <v>45695</v>
      </c>
      <c r="C191" t="s">
        <v>347</v>
      </c>
      <c r="D191" t="s">
        <v>29</v>
      </c>
      <c r="E191" t="s">
        <v>151</v>
      </c>
      <c r="F191" t="s">
        <v>14</v>
      </c>
      <c r="G191">
        <v>36.86</v>
      </c>
      <c r="H191" t="s">
        <v>15</v>
      </c>
      <c r="I191" t="s">
        <v>47</v>
      </c>
      <c r="J191" t="s">
        <v>96</v>
      </c>
    </row>
    <row r="192" spans="1:10" x14ac:dyDescent="0.35">
      <c r="A192" t="s">
        <v>348</v>
      </c>
      <c r="B192" s="10">
        <v>45695</v>
      </c>
      <c r="C192" t="s">
        <v>168</v>
      </c>
      <c r="D192" t="s">
        <v>59</v>
      </c>
      <c r="E192" t="s">
        <v>60</v>
      </c>
      <c r="F192" t="s">
        <v>14</v>
      </c>
      <c r="G192">
        <v>288.74</v>
      </c>
      <c r="H192" t="s">
        <v>15</v>
      </c>
      <c r="I192" t="s">
        <v>22</v>
      </c>
      <c r="J192" t="s">
        <v>170</v>
      </c>
    </row>
    <row r="193" spans="1:10" x14ac:dyDescent="0.35">
      <c r="A193" t="s">
        <v>349</v>
      </c>
      <c r="B193" s="10">
        <v>45695</v>
      </c>
      <c r="C193" t="s">
        <v>350</v>
      </c>
      <c r="D193" t="s">
        <v>29</v>
      </c>
      <c r="E193" t="s">
        <v>151</v>
      </c>
      <c r="F193" t="s">
        <v>14</v>
      </c>
      <c r="G193">
        <v>110.12</v>
      </c>
      <c r="H193" t="s">
        <v>15</v>
      </c>
      <c r="I193" t="s">
        <v>22</v>
      </c>
      <c r="J193" t="s">
        <v>158</v>
      </c>
    </row>
    <row r="194" spans="1:10" x14ac:dyDescent="0.35">
      <c r="A194" t="s">
        <v>351</v>
      </c>
      <c r="B194" s="10">
        <v>45695</v>
      </c>
      <c r="C194" t="s">
        <v>177</v>
      </c>
      <c r="D194" t="s">
        <v>54</v>
      </c>
      <c r="E194" t="s">
        <v>74</v>
      </c>
      <c r="F194" t="s">
        <v>54</v>
      </c>
      <c r="G194">
        <v>2624.62</v>
      </c>
      <c r="H194" t="s">
        <v>21</v>
      </c>
      <c r="I194" t="s">
        <v>47</v>
      </c>
      <c r="J194" t="s">
        <v>56</v>
      </c>
    </row>
    <row r="195" spans="1:10" x14ac:dyDescent="0.35">
      <c r="A195" t="s">
        <v>352</v>
      </c>
      <c r="B195" s="10">
        <v>45695</v>
      </c>
      <c r="C195" t="s">
        <v>217</v>
      </c>
      <c r="D195" t="s">
        <v>80</v>
      </c>
      <c r="E195" t="s">
        <v>81</v>
      </c>
      <c r="F195" t="s">
        <v>14</v>
      </c>
      <c r="G195">
        <v>44.1</v>
      </c>
      <c r="H195" t="s">
        <v>21</v>
      </c>
      <c r="I195" t="s">
        <v>47</v>
      </c>
      <c r="J195" t="s">
        <v>180</v>
      </c>
    </row>
    <row r="196" spans="1:10" x14ac:dyDescent="0.35">
      <c r="A196" t="s">
        <v>353</v>
      </c>
      <c r="B196" s="10">
        <v>45695</v>
      </c>
      <c r="C196" t="s">
        <v>177</v>
      </c>
      <c r="D196" t="s">
        <v>54</v>
      </c>
      <c r="E196" t="s">
        <v>74</v>
      </c>
      <c r="F196" t="s">
        <v>54</v>
      </c>
      <c r="G196">
        <v>2950.89</v>
      </c>
      <c r="H196" t="s">
        <v>21</v>
      </c>
      <c r="I196" t="s">
        <v>22</v>
      </c>
      <c r="J196" t="s">
        <v>56</v>
      </c>
    </row>
    <row r="197" spans="1:10" x14ac:dyDescent="0.35">
      <c r="A197" t="s">
        <v>354</v>
      </c>
      <c r="B197" s="10">
        <v>45695</v>
      </c>
      <c r="C197" t="s">
        <v>63</v>
      </c>
      <c r="D197" t="s">
        <v>54</v>
      </c>
      <c r="E197" t="s">
        <v>64</v>
      </c>
      <c r="F197" t="s">
        <v>54</v>
      </c>
      <c r="G197">
        <v>388.97</v>
      </c>
      <c r="H197" t="s">
        <v>15</v>
      </c>
      <c r="I197" t="s">
        <v>36</v>
      </c>
      <c r="J197" t="s">
        <v>65</v>
      </c>
    </row>
    <row r="198" spans="1:10" x14ac:dyDescent="0.35">
      <c r="A198" t="s">
        <v>355</v>
      </c>
      <c r="B198" s="10">
        <v>45696</v>
      </c>
      <c r="C198" t="s">
        <v>153</v>
      </c>
      <c r="D198" t="s">
        <v>34</v>
      </c>
      <c r="E198" t="s">
        <v>122</v>
      </c>
      <c r="F198" t="s">
        <v>14</v>
      </c>
      <c r="G198">
        <v>86.74</v>
      </c>
      <c r="H198" t="s">
        <v>15</v>
      </c>
      <c r="I198" t="s">
        <v>84</v>
      </c>
      <c r="J198" t="s">
        <v>41</v>
      </c>
    </row>
    <row r="199" spans="1:10" x14ac:dyDescent="0.35">
      <c r="A199" t="s">
        <v>356</v>
      </c>
      <c r="B199" s="10">
        <v>45696</v>
      </c>
      <c r="C199" t="s">
        <v>63</v>
      </c>
      <c r="D199" t="s">
        <v>54</v>
      </c>
      <c r="E199" t="s">
        <v>64</v>
      </c>
      <c r="F199" t="s">
        <v>54</v>
      </c>
      <c r="G199">
        <v>328.63</v>
      </c>
      <c r="H199" t="s">
        <v>21</v>
      </c>
      <c r="I199" t="s">
        <v>22</v>
      </c>
      <c r="J199" t="s">
        <v>65</v>
      </c>
    </row>
    <row r="200" spans="1:10" x14ac:dyDescent="0.35">
      <c r="A200" t="s">
        <v>357</v>
      </c>
      <c r="B200" s="10">
        <v>45697</v>
      </c>
      <c r="C200" t="s">
        <v>296</v>
      </c>
      <c r="D200" t="s">
        <v>101</v>
      </c>
      <c r="E200" t="s">
        <v>136</v>
      </c>
      <c r="F200" t="s">
        <v>14</v>
      </c>
      <c r="G200">
        <v>57.12</v>
      </c>
      <c r="H200" t="s">
        <v>21</v>
      </c>
      <c r="I200" t="s">
        <v>36</v>
      </c>
      <c r="J200" t="s">
        <v>136</v>
      </c>
    </row>
    <row r="201" spans="1:10" x14ac:dyDescent="0.35">
      <c r="A201" t="s">
        <v>358</v>
      </c>
      <c r="B201" s="10">
        <v>45697</v>
      </c>
      <c r="C201" t="s">
        <v>121</v>
      </c>
      <c r="D201" t="s">
        <v>34</v>
      </c>
      <c r="E201" t="s">
        <v>122</v>
      </c>
      <c r="F201" t="s">
        <v>14</v>
      </c>
      <c r="G201">
        <v>175.26</v>
      </c>
      <c r="H201" t="s">
        <v>15</v>
      </c>
      <c r="I201" t="s">
        <v>22</v>
      </c>
      <c r="J201" t="s">
        <v>123</v>
      </c>
    </row>
    <row r="202" spans="1:10" x14ac:dyDescent="0.35">
      <c r="A202" t="s">
        <v>359</v>
      </c>
      <c r="B202" s="10">
        <v>45697</v>
      </c>
      <c r="C202" t="s">
        <v>130</v>
      </c>
      <c r="D202" t="s">
        <v>12</v>
      </c>
      <c r="E202" t="s">
        <v>26</v>
      </c>
      <c r="F202" t="s">
        <v>14</v>
      </c>
      <c r="G202">
        <v>146.75</v>
      </c>
      <c r="H202" t="s">
        <v>15</v>
      </c>
      <c r="I202" t="s">
        <v>47</v>
      </c>
      <c r="J202" t="s">
        <v>48</v>
      </c>
    </row>
    <row r="203" spans="1:10" x14ac:dyDescent="0.35">
      <c r="A203" t="s">
        <v>360</v>
      </c>
      <c r="B203" s="10">
        <v>45698</v>
      </c>
      <c r="C203" t="s">
        <v>220</v>
      </c>
      <c r="D203" t="s">
        <v>59</v>
      </c>
      <c r="E203" t="s">
        <v>199</v>
      </c>
      <c r="F203" t="s">
        <v>14</v>
      </c>
      <c r="G203">
        <v>247.8</v>
      </c>
      <c r="H203" t="s">
        <v>98</v>
      </c>
      <c r="I203" t="s">
        <v>36</v>
      </c>
      <c r="J203" t="s">
        <v>211</v>
      </c>
    </row>
    <row r="204" spans="1:10" x14ac:dyDescent="0.35">
      <c r="A204" t="s">
        <v>361</v>
      </c>
      <c r="B204" s="10">
        <v>45698</v>
      </c>
      <c r="C204" t="s">
        <v>125</v>
      </c>
      <c r="D204" t="s">
        <v>12</v>
      </c>
      <c r="E204" t="s">
        <v>13</v>
      </c>
      <c r="F204" t="s">
        <v>14</v>
      </c>
      <c r="G204">
        <v>10.17</v>
      </c>
      <c r="H204" t="s">
        <v>15</v>
      </c>
      <c r="I204" t="s">
        <v>22</v>
      </c>
      <c r="J204" t="s">
        <v>44</v>
      </c>
    </row>
    <row r="205" spans="1:10" x14ac:dyDescent="0.35">
      <c r="A205" t="s">
        <v>362</v>
      </c>
      <c r="B205" s="10">
        <v>45698</v>
      </c>
      <c r="C205" t="s">
        <v>63</v>
      </c>
      <c r="D205" t="s">
        <v>54</v>
      </c>
      <c r="E205" t="s">
        <v>64</v>
      </c>
      <c r="F205" t="s">
        <v>54</v>
      </c>
      <c r="G205">
        <v>367.04</v>
      </c>
      <c r="H205" t="s">
        <v>21</v>
      </c>
      <c r="I205" t="s">
        <v>47</v>
      </c>
      <c r="J205" t="s">
        <v>65</v>
      </c>
    </row>
    <row r="206" spans="1:10" x14ac:dyDescent="0.35">
      <c r="A206" t="s">
        <v>363</v>
      </c>
      <c r="B206" s="10">
        <v>45698</v>
      </c>
      <c r="C206" t="s">
        <v>175</v>
      </c>
      <c r="D206" t="s">
        <v>80</v>
      </c>
      <c r="E206" t="s">
        <v>92</v>
      </c>
      <c r="F206" t="s">
        <v>14</v>
      </c>
      <c r="G206">
        <v>68.14</v>
      </c>
      <c r="H206" t="s">
        <v>15</v>
      </c>
      <c r="I206" t="s">
        <v>22</v>
      </c>
      <c r="J206" t="s">
        <v>141</v>
      </c>
    </row>
    <row r="207" spans="1:10" x14ac:dyDescent="0.35">
      <c r="A207" t="s">
        <v>364</v>
      </c>
      <c r="B207" s="10">
        <v>45698</v>
      </c>
      <c r="C207" t="s">
        <v>269</v>
      </c>
      <c r="D207" t="s">
        <v>34</v>
      </c>
      <c r="E207" t="s">
        <v>35</v>
      </c>
      <c r="F207" t="s">
        <v>14</v>
      </c>
      <c r="G207">
        <v>203.1</v>
      </c>
      <c r="H207" t="s">
        <v>21</v>
      </c>
      <c r="I207" t="s">
        <v>16</v>
      </c>
      <c r="J207" t="s">
        <v>123</v>
      </c>
    </row>
    <row r="208" spans="1:10" x14ac:dyDescent="0.35">
      <c r="A208" t="s">
        <v>365</v>
      </c>
      <c r="B208" s="10">
        <v>45699</v>
      </c>
      <c r="C208" t="s">
        <v>25</v>
      </c>
      <c r="D208" t="s">
        <v>12</v>
      </c>
      <c r="E208" t="s">
        <v>26</v>
      </c>
      <c r="F208" t="s">
        <v>14</v>
      </c>
      <c r="G208">
        <v>32.65</v>
      </c>
      <c r="H208" t="s">
        <v>15</v>
      </c>
      <c r="I208" t="s">
        <v>36</v>
      </c>
      <c r="J208" t="s">
        <v>17</v>
      </c>
    </row>
    <row r="209" spans="1:10" x14ac:dyDescent="0.35">
      <c r="A209" t="s">
        <v>366</v>
      </c>
      <c r="B209" s="10">
        <v>45699</v>
      </c>
      <c r="C209" t="s">
        <v>262</v>
      </c>
      <c r="D209" t="s">
        <v>101</v>
      </c>
      <c r="E209" t="s">
        <v>244</v>
      </c>
      <c r="F209" t="s">
        <v>14</v>
      </c>
      <c r="G209">
        <v>148.1</v>
      </c>
      <c r="H209" t="s">
        <v>98</v>
      </c>
      <c r="I209" t="s">
        <v>22</v>
      </c>
      <c r="J209" t="s">
        <v>136</v>
      </c>
    </row>
    <row r="210" spans="1:10" x14ac:dyDescent="0.35">
      <c r="A210" t="s">
        <v>367</v>
      </c>
      <c r="B210" s="10">
        <v>45699</v>
      </c>
      <c r="C210" t="s">
        <v>138</v>
      </c>
      <c r="D210" t="s">
        <v>12</v>
      </c>
      <c r="E210" t="s">
        <v>26</v>
      </c>
      <c r="F210" t="s">
        <v>14</v>
      </c>
      <c r="G210">
        <v>59.09</v>
      </c>
      <c r="H210" t="s">
        <v>21</v>
      </c>
      <c r="I210" t="s">
        <v>47</v>
      </c>
      <c r="J210" t="s">
        <v>77</v>
      </c>
    </row>
    <row r="211" spans="1:10" x14ac:dyDescent="0.35">
      <c r="A211" t="s">
        <v>368</v>
      </c>
      <c r="B211" s="10">
        <v>45699</v>
      </c>
      <c r="C211" t="s">
        <v>73</v>
      </c>
      <c r="D211" t="s">
        <v>54</v>
      </c>
      <c r="E211" t="s">
        <v>74</v>
      </c>
      <c r="F211" t="s">
        <v>54</v>
      </c>
      <c r="G211">
        <v>2835.12</v>
      </c>
      <c r="H211" t="s">
        <v>21</v>
      </c>
      <c r="I211" t="s">
        <v>16</v>
      </c>
      <c r="J211" t="s">
        <v>65</v>
      </c>
    </row>
    <row r="212" spans="1:10" x14ac:dyDescent="0.35">
      <c r="A212" t="s">
        <v>369</v>
      </c>
      <c r="B212" s="10">
        <v>45699</v>
      </c>
      <c r="C212" t="s">
        <v>19</v>
      </c>
      <c r="D212" t="s">
        <v>12</v>
      </c>
      <c r="E212" t="s">
        <v>13</v>
      </c>
      <c r="F212" t="s">
        <v>14</v>
      </c>
      <c r="G212">
        <v>74.650000000000006</v>
      </c>
      <c r="H212" t="s">
        <v>15</v>
      </c>
      <c r="I212" t="s">
        <v>16</v>
      </c>
      <c r="J212" t="s">
        <v>23</v>
      </c>
    </row>
    <row r="213" spans="1:10" x14ac:dyDescent="0.35">
      <c r="A213" t="s">
        <v>370</v>
      </c>
      <c r="B213" s="10">
        <v>45699</v>
      </c>
      <c r="C213" t="s">
        <v>256</v>
      </c>
      <c r="D213" t="s">
        <v>34</v>
      </c>
      <c r="E213" t="s">
        <v>40</v>
      </c>
      <c r="F213" t="s">
        <v>14</v>
      </c>
      <c r="G213">
        <v>60.22</v>
      </c>
      <c r="H213" t="s">
        <v>15</v>
      </c>
      <c r="I213" t="s">
        <v>22</v>
      </c>
      <c r="J213" t="s">
        <v>239</v>
      </c>
    </row>
    <row r="214" spans="1:10" x14ac:dyDescent="0.35">
      <c r="A214" t="s">
        <v>371</v>
      </c>
      <c r="B214" s="10">
        <v>45700</v>
      </c>
      <c r="C214" t="s">
        <v>298</v>
      </c>
      <c r="D214" t="s">
        <v>59</v>
      </c>
      <c r="E214" t="s">
        <v>185</v>
      </c>
      <c r="F214" t="s">
        <v>14</v>
      </c>
      <c r="G214">
        <v>583.47</v>
      </c>
      <c r="H214" t="s">
        <v>15</v>
      </c>
      <c r="I214" t="s">
        <v>16</v>
      </c>
      <c r="J214" t="s">
        <v>170</v>
      </c>
    </row>
    <row r="215" spans="1:10" x14ac:dyDescent="0.35">
      <c r="A215" t="s">
        <v>372</v>
      </c>
      <c r="B215" s="10">
        <v>45700</v>
      </c>
      <c r="C215" t="s">
        <v>345</v>
      </c>
      <c r="D215" t="s">
        <v>59</v>
      </c>
      <c r="E215" t="s">
        <v>60</v>
      </c>
      <c r="F215" t="s">
        <v>14</v>
      </c>
      <c r="G215">
        <v>113.67</v>
      </c>
      <c r="H215" t="s">
        <v>15</v>
      </c>
      <c r="I215" t="s">
        <v>36</v>
      </c>
      <c r="J215" t="s">
        <v>211</v>
      </c>
    </row>
    <row r="216" spans="1:10" x14ac:dyDescent="0.35">
      <c r="A216" t="s">
        <v>373</v>
      </c>
      <c r="B216" s="10">
        <v>45700</v>
      </c>
      <c r="C216" t="s">
        <v>130</v>
      </c>
      <c r="D216" t="s">
        <v>12</v>
      </c>
      <c r="E216" t="s">
        <v>26</v>
      </c>
      <c r="F216" t="s">
        <v>14</v>
      </c>
      <c r="G216">
        <v>68.63</v>
      </c>
      <c r="H216" t="s">
        <v>15</v>
      </c>
      <c r="I216" t="s">
        <v>47</v>
      </c>
      <c r="J216" t="s">
        <v>48</v>
      </c>
    </row>
    <row r="217" spans="1:10" x14ac:dyDescent="0.35">
      <c r="A217" t="s">
        <v>374</v>
      </c>
      <c r="B217" s="10">
        <v>45700</v>
      </c>
      <c r="C217" t="s">
        <v>28</v>
      </c>
      <c r="D217" t="s">
        <v>29</v>
      </c>
      <c r="E217" t="s">
        <v>30</v>
      </c>
      <c r="F217" t="s">
        <v>14</v>
      </c>
      <c r="G217">
        <v>20.54</v>
      </c>
      <c r="H217" t="s">
        <v>21</v>
      </c>
      <c r="I217" t="s">
        <v>36</v>
      </c>
      <c r="J217" t="s">
        <v>31</v>
      </c>
    </row>
    <row r="218" spans="1:10" x14ac:dyDescent="0.35">
      <c r="A218" t="s">
        <v>375</v>
      </c>
      <c r="B218" s="10">
        <v>45700</v>
      </c>
      <c r="C218" t="s">
        <v>376</v>
      </c>
      <c r="D218" t="s">
        <v>80</v>
      </c>
      <c r="E218" t="s">
        <v>117</v>
      </c>
      <c r="F218" t="s">
        <v>14</v>
      </c>
      <c r="G218">
        <v>92.02</v>
      </c>
      <c r="H218" t="s">
        <v>15</v>
      </c>
      <c r="I218" t="s">
        <v>22</v>
      </c>
      <c r="J218" t="s">
        <v>82</v>
      </c>
    </row>
    <row r="219" spans="1:10" x14ac:dyDescent="0.35">
      <c r="A219" t="s">
        <v>377</v>
      </c>
      <c r="B219" s="10">
        <v>45700</v>
      </c>
      <c r="C219" t="s">
        <v>88</v>
      </c>
      <c r="D219" t="s">
        <v>54</v>
      </c>
      <c r="E219" t="s">
        <v>74</v>
      </c>
      <c r="F219" t="s">
        <v>54</v>
      </c>
      <c r="G219">
        <v>2659.71</v>
      </c>
      <c r="H219" t="s">
        <v>21</v>
      </c>
      <c r="I219" t="s">
        <v>36</v>
      </c>
      <c r="J219" t="s">
        <v>89</v>
      </c>
    </row>
    <row r="220" spans="1:10" x14ac:dyDescent="0.35">
      <c r="A220" t="s">
        <v>378</v>
      </c>
      <c r="B220" s="10">
        <v>45701</v>
      </c>
      <c r="C220" t="s">
        <v>269</v>
      </c>
      <c r="D220" t="s">
        <v>34</v>
      </c>
      <c r="E220" t="s">
        <v>35</v>
      </c>
      <c r="F220" t="s">
        <v>14</v>
      </c>
      <c r="G220">
        <v>157.99</v>
      </c>
      <c r="H220" t="s">
        <v>15</v>
      </c>
      <c r="I220" t="s">
        <v>22</v>
      </c>
      <c r="J220" t="s">
        <v>123</v>
      </c>
    </row>
    <row r="221" spans="1:10" x14ac:dyDescent="0.35">
      <c r="A221" t="s">
        <v>379</v>
      </c>
      <c r="B221" s="10">
        <v>45701</v>
      </c>
      <c r="C221" t="s">
        <v>155</v>
      </c>
      <c r="D221" t="s">
        <v>12</v>
      </c>
      <c r="E221" t="s">
        <v>51</v>
      </c>
      <c r="F221" t="s">
        <v>14</v>
      </c>
      <c r="G221">
        <v>72.930000000000007</v>
      </c>
      <c r="H221" t="s">
        <v>15</v>
      </c>
      <c r="I221" t="s">
        <v>36</v>
      </c>
      <c r="J221" t="s">
        <v>48</v>
      </c>
    </row>
    <row r="222" spans="1:10" x14ac:dyDescent="0.35">
      <c r="A222" t="s">
        <v>380</v>
      </c>
      <c r="B222" s="10">
        <v>45701</v>
      </c>
      <c r="C222" t="s">
        <v>155</v>
      </c>
      <c r="D222" t="s">
        <v>12</v>
      </c>
      <c r="E222" t="s">
        <v>51</v>
      </c>
      <c r="F222" t="s">
        <v>14</v>
      </c>
      <c r="G222">
        <v>87.38</v>
      </c>
      <c r="H222" t="s">
        <v>21</v>
      </c>
      <c r="I222" t="s">
        <v>16</v>
      </c>
      <c r="J222" t="s">
        <v>48</v>
      </c>
    </row>
    <row r="223" spans="1:10" x14ac:dyDescent="0.35">
      <c r="A223" t="s">
        <v>381</v>
      </c>
      <c r="B223" s="10">
        <v>45701</v>
      </c>
      <c r="C223" t="s">
        <v>111</v>
      </c>
      <c r="D223" t="s">
        <v>12</v>
      </c>
      <c r="E223" t="s">
        <v>26</v>
      </c>
      <c r="F223" t="s">
        <v>14</v>
      </c>
      <c r="G223">
        <v>80.540000000000006</v>
      </c>
      <c r="H223" t="s">
        <v>15</v>
      </c>
      <c r="I223" t="s">
        <v>22</v>
      </c>
      <c r="J223" t="s">
        <v>23</v>
      </c>
    </row>
    <row r="224" spans="1:10" x14ac:dyDescent="0.35">
      <c r="A224" t="s">
        <v>382</v>
      </c>
      <c r="B224" s="10">
        <v>45701</v>
      </c>
      <c r="C224" t="s">
        <v>324</v>
      </c>
      <c r="D224" t="s">
        <v>80</v>
      </c>
      <c r="E224" t="s">
        <v>92</v>
      </c>
      <c r="F224" t="s">
        <v>14</v>
      </c>
      <c r="G224">
        <v>160.82</v>
      </c>
      <c r="H224" t="s">
        <v>21</v>
      </c>
      <c r="I224" t="s">
        <v>22</v>
      </c>
      <c r="J224" t="s">
        <v>161</v>
      </c>
    </row>
    <row r="225" spans="1:10" x14ac:dyDescent="0.35">
      <c r="A225" t="s">
        <v>383</v>
      </c>
      <c r="B225" s="10">
        <v>45701</v>
      </c>
      <c r="C225" t="s">
        <v>259</v>
      </c>
      <c r="D225" t="s">
        <v>59</v>
      </c>
      <c r="E225" t="s">
        <v>199</v>
      </c>
      <c r="F225" t="s">
        <v>14</v>
      </c>
      <c r="G225">
        <v>147.80000000000001</v>
      </c>
      <c r="H225" t="s">
        <v>21</v>
      </c>
      <c r="I225" t="s">
        <v>16</v>
      </c>
      <c r="J225" t="s">
        <v>170</v>
      </c>
    </row>
    <row r="226" spans="1:10" x14ac:dyDescent="0.35">
      <c r="A226" t="s">
        <v>384</v>
      </c>
      <c r="B226" s="10">
        <v>45701</v>
      </c>
      <c r="C226" t="s">
        <v>150</v>
      </c>
      <c r="D226" t="s">
        <v>29</v>
      </c>
      <c r="E226" t="s">
        <v>30</v>
      </c>
      <c r="F226" t="s">
        <v>14</v>
      </c>
      <c r="G226">
        <v>38.39</v>
      </c>
      <c r="H226" t="s">
        <v>15</v>
      </c>
      <c r="I226" t="s">
        <v>22</v>
      </c>
      <c r="J226" t="s">
        <v>151</v>
      </c>
    </row>
    <row r="227" spans="1:10" x14ac:dyDescent="0.35">
      <c r="A227" t="s">
        <v>385</v>
      </c>
      <c r="B227" s="10">
        <v>45701</v>
      </c>
      <c r="C227" t="s">
        <v>298</v>
      </c>
      <c r="D227" t="s">
        <v>59</v>
      </c>
      <c r="E227" t="s">
        <v>185</v>
      </c>
      <c r="F227" t="s">
        <v>14</v>
      </c>
      <c r="G227">
        <v>104.81</v>
      </c>
      <c r="H227" t="s">
        <v>21</v>
      </c>
      <c r="I227" t="s">
        <v>22</v>
      </c>
      <c r="J227" t="s">
        <v>170</v>
      </c>
    </row>
    <row r="228" spans="1:10" x14ac:dyDescent="0.35">
      <c r="A228" t="s">
        <v>386</v>
      </c>
      <c r="B228" s="10">
        <v>45702</v>
      </c>
      <c r="C228" t="s">
        <v>210</v>
      </c>
      <c r="D228" t="s">
        <v>59</v>
      </c>
      <c r="E228" t="s">
        <v>185</v>
      </c>
      <c r="F228" t="s">
        <v>14</v>
      </c>
      <c r="G228">
        <v>228.27</v>
      </c>
      <c r="H228" t="s">
        <v>15</v>
      </c>
      <c r="I228" t="s">
        <v>22</v>
      </c>
      <c r="J228" t="s">
        <v>211</v>
      </c>
    </row>
    <row r="229" spans="1:10" x14ac:dyDescent="0.35">
      <c r="A229" t="s">
        <v>387</v>
      </c>
      <c r="B229" s="10">
        <v>45702</v>
      </c>
      <c r="C229" t="s">
        <v>116</v>
      </c>
      <c r="D229" t="s">
        <v>80</v>
      </c>
      <c r="E229" t="s">
        <v>117</v>
      </c>
      <c r="F229" t="s">
        <v>14</v>
      </c>
      <c r="G229">
        <v>49.49</v>
      </c>
      <c r="H229" t="s">
        <v>21</v>
      </c>
      <c r="I229" t="s">
        <v>22</v>
      </c>
      <c r="J229" t="s">
        <v>118</v>
      </c>
    </row>
    <row r="230" spans="1:10" x14ac:dyDescent="0.35">
      <c r="A230" t="s">
        <v>388</v>
      </c>
      <c r="B230" s="10">
        <v>45702</v>
      </c>
      <c r="C230" t="s">
        <v>76</v>
      </c>
      <c r="D230" t="s">
        <v>12</v>
      </c>
      <c r="E230" t="s">
        <v>13</v>
      </c>
      <c r="F230" t="s">
        <v>14</v>
      </c>
      <c r="G230">
        <v>69.16</v>
      </c>
      <c r="H230" t="s">
        <v>98</v>
      </c>
      <c r="I230" t="s">
        <v>22</v>
      </c>
      <c r="J230" t="s">
        <v>77</v>
      </c>
    </row>
    <row r="231" spans="1:10" x14ac:dyDescent="0.35">
      <c r="A231" t="s">
        <v>389</v>
      </c>
      <c r="B231" s="10">
        <v>45703</v>
      </c>
      <c r="C231" t="s">
        <v>194</v>
      </c>
      <c r="D231" t="s">
        <v>101</v>
      </c>
      <c r="E231" t="s">
        <v>136</v>
      </c>
      <c r="F231" t="s">
        <v>14</v>
      </c>
      <c r="G231">
        <v>85.95</v>
      </c>
      <c r="H231" t="s">
        <v>98</v>
      </c>
      <c r="I231" t="s">
        <v>22</v>
      </c>
      <c r="J231" t="s">
        <v>103</v>
      </c>
    </row>
    <row r="232" spans="1:10" x14ac:dyDescent="0.35">
      <c r="A232" t="s">
        <v>390</v>
      </c>
      <c r="B232" s="10">
        <v>45703</v>
      </c>
      <c r="C232" t="s">
        <v>153</v>
      </c>
      <c r="D232" t="s">
        <v>34</v>
      </c>
      <c r="E232" t="s">
        <v>122</v>
      </c>
      <c r="F232" t="s">
        <v>14</v>
      </c>
      <c r="G232">
        <v>102.24</v>
      </c>
      <c r="H232" t="s">
        <v>21</v>
      </c>
      <c r="I232" t="s">
        <v>36</v>
      </c>
      <c r="J232" t="s">
        <v>41</v>
      </c>
    </row>
    <row r="233" spans="1:10" x14ac:dyDescent="0.35">
      <c r="A233" t="s">
        <v>391</v>
      </c>
      <c r="B233" s="10">
        <v>45703</v>
      </c>
      <c r="C233" t="s">
        <v>253</v>
      </c>
      <c r="D233" t="s">
        <v>29</v>
      </c>
      <c r="E233" t="s">
        <v>30</v>
      </c>
      <c r="F233" t="s">
        <v>14</v>
      </c>
      <c r="G233">
        <v>42.49</v>
      </c>
      <c r="H233" t="s">
        <v>21</v>
      </c>
      <c r="I233" t="s">
        <v>36</v>
      </c>
      <c r="J233" t="s">
        <v>158</v>
      </c>
    </row>
    <row r="234" spans="1:10" x14ac:dyDescent="0.35">
      <c r="A234" t="s">
        <v>392</v>
      </c>
      <c r="B234" s="10">
        <v>45703</v>
      </c>
      <c r="C234" t="s">
        <v>229</v>
      </c>
      <c r="D234" t="s">
        <v>54</v>
      </c>
      <c r="E234" t="s">
        <v>64</v>
      </c>
      <c r="F234" t="s">
        <v>54</v>
      </c>
      <c r="G234">
        <v>321.10000000000002</v>
      </c>
      <c r="H234" t="s">
        <v>98</v>
      </c>
      <c r="I234" t="s">
        <v>47</v>
      </c>
      <c r="J234" t="s">
        <v>56</v>
      </c>
    </row>
    <row r="235" spans="1:10" x14ac:dyDescent="0.35">
      <c r="A235" t="s">
        <v>393</v>
      </c>
      <c r="B235" s="10">
        <v>45703</v>
      </c>
      <c r="C235" t="s">
        <v>248</v>
      </c>
      <c r="D235" t="s">
        <v>80</v>
      </c>
      <c r="E235" t="s">
        <v>81</v>
      </c>
      <c r="F235" t="s">
        <v>14</v>
      </c>
      <c r="G235">
        <v>56.25</v>
      </c>
      <c r="H235" t="s">
        <v>21</v>
      </c>
      <c r="I235" t="s">
        <v>36</v>
      </c>
      <c r="J235" t="s">
        <v>161</v>
      </c>
    </row>
    <row r="236" spans="1:10" x14ac:dyDescent="0.35">
      <c r="A236" t="s">
        <v>394</v>
      </c>
      <c r="B236" s="10">
        <v>45703</v>
      </c>
      <c r="C236" t="s">
        <v>395</v>
      </c>
      <c r="D236" t="s">
        <v>69</v>
      </c>
      <c r="E236" t="s">
        <v>291</v>
      </c>
      <c r="F236" t="s">
        <v>14</v>
      </c>
      <c r="G236">
        <v>725.47</v>
      </c>
      <c r="H236" t="s">
        <v>21</v>
      </c>
      <c r="I236" t="s">
        <v>47</v>
      </c>
      <c r="J236" t="s">
        <v>396</v>
      </c>
    </row>
    <row r="237" spans="1:10" x14ac:dyDescent="0.35">
      <c r="A237" t="s">
        <v>397</v>
      </c>
      <c r="B237" s="10">
        <v>45704</v>
      </c>
      <c r="C237" t="s">
        <v>308</v>
      </c>
      <c r="D237" t="s">
        <v>54</v>
      </c>
      <c r="E237" t="s">
        <v>64</v>
      </c>
      <c r="F237" t="s">
        <v>54</v>
      </c>
      <c r="G237">
        <v>331.41</v>
      </c>
      <c r="H237" t="s">
        <v>15</v>
      </c>
      <c r="I237" t="s">
        <v>36</v>
      </c>
      <c r="J237" t="s">
        <v>89</v>
      </c>
    </row>
    <row r="238" spans="1:10" x14ac:dyDescent="0.35">
      <c r="A238" t="s">
        <v>398</v>
      </c>
      <c r="B238" s="10">
        <v>45704</v>
      </c>
      <c r="C238" t="s">
        <v>189</v>
      </c>
      <c r="D238" t="s">
        <v>34</v>
      </c>
      <c r="E238" t="s">
        <v>122</v>
      </c>
      <c r="F238" t="s">
        <v>14</v>
      </c>
      <c r="G238">
        <v>190.65</v>
      </c>
      <c r="H238" t="s">
        <v>15</v>
      </c>
      <c r="I238" t="s">
        <v>22</v>
      </c>
      <c r="J238" t="s">
        <v>37</v>
      </c>
    </row>
    <row r="239" spans="1:10" x14ac:dyDescent="0.35">
      <c r="A239" t="s">
        <v>399</v>
      </c>
      <c r="B239" s="10">
        <v>45704</v>
      </c>
      <c r="C239" t="s">
        <v>79</v>
      </c>
      <c r="D239" t="s">
        <v>80</v>
      </c>
      <c r="E239" t="s">
        <v>81</v>
      </c>
      <c r="F239" t="s">
        <v>14</v>
      </c>
      <c r="G239">
        <v>59.85</v>
      </c>
      <c r="H239" t="s">
        <v>98</v>
      </c>
      <c r="I239" t="s">
        <v>47</v>
      </c>
      <c r="J239" t="s">
        <v>82</v>
      </c>
    </row>
    <row r="240" spans="1:10" x14ac:dyDescent="0.35">
      <c r="A240" t="s">
        <v>400</v>
      </c>
      <c r="B240" s="10">
        <v>45704</v>
      </c>
      <c r="C240" t="s">
        <v>53</v>
      </c>
      <c r="D240" t="s">
        <v>54</v>
      </c>
      <c r="E240" t="s">
        <v>55</v>
      </c>
      <c r="F240" t="s">
        <v>54</v>
      </c>
      <c r="G240">
        <v>789.51</v>
      </c>
      <c r="H240" t="s">
        <v>98</v>
      </c>
      <c r="I240" t="s">
        <v>22</v>
      </c>
      <c r="J240" t="s">
        <v>56</v>
      </c>
    </row>
    <row r="241" spans="1:10" x14ac:dyDescent="0.35">
      <c r="A241" t="s">
        <v>401</v>
      </c>
      <c r="B241" s="10">
        <v>45705</v>
      </c>
      <c r="C241" t="s">
        <v>243</v>
      </c>
      <c r="D241" t="s">
        <v>101</v>
      </c>
      <c r="E241" t="s">
        <v>244</v>
      </c>
      <c r="F241" t="s">
        <v>14</v>
      </c>
      <c r="G241">
        <v>91.82</v>
      </c>
      <c r="H241" t="s">
        <v>15</v>
      </c>
      <c r="I241" t="s">
        <v>22</v>
      </c>
      <c r="J241" t="s">
        <v>102</v>
      </c>
    </row>
    <row r="242" spans="1:10" x14ac:dyDescent="0.35">
      <c r="A242" t="s">
        <v>402</v>
      </c>
      <c r="B242" s="10">
        <v>45705</v>
      </c>
      <c r="C242" t="s">
        <v>135</v>
      </c>
      <c r="D242" t="s">
        <v>101</v>
      </c>
      <c r="E242" t="s">
        <v>102</v>
      </c>
      <c r="F242" t="s">
        <v>14</v>
      </c>
      <c r="G242">
        <v>19.68</v>
      </c>
      <c r="H242" t="s">
        <v>98</v>
      </c>
      <c r="I242" t="s">
        <v>47</v>
      </c>
      <c r="J242" t="s">
        <v>136</v>
      </c>
    </row>
    <row r="243" spans="1:10" x14ac:dyDescent="0.35">
      <c r="A243" t="s">
        <v>403</v>
      </c>
      <c r="B243" s="10">
        <v>45705</v>
      </c>
      <c r="C243" t="s">
        <v>116</v>
      </c>
      <c r="D243" t="s">
        <v>80</v>
      </c>
      <c r="E243" t="s">
        <v>117</v>
      </c>
      <c r="F243" t="s">
        <v>14</v>
      </c>
      <c r="G243">
        <v>68.56</v>
      </c>
      <c r="H243" t="s">
        <v>15</v>
      </c>
      <c r="I243" t="s">
        <v>36</v>
      </c>
      <c r="J243" t="s">
        <v>118</v>
      </c>
    </row>
    <row r="244" spans="1:10" x14ac:dyDescent="0.35">
      <c r="A244" t="s">
        <v>404</v>
      </c>
      <c r="B244" s="10">
        <v>45705</v>
      </c>
      <c r="C244" t="s">
        <v>100</v>
      </c>
      <c r="D244" t="s">
        <v>101</v>
      </c>
      <c r="E244" t="s">
        <v>102</v>
      </c>
      <c r="F244" t="s">
        <v>14</v>
      </c>
      <c r="G244">
        <v>55.77</v>
      </c>
      <c r="H244" t="s">
        <v>15</v>
      </c>
      <c r="I244" t="s">
        <v>36</v>
      </c>
      <c r="J244" t="s">
        <v>103</v>
      </c>
    </row>
    <row r="245" spans="1:10" x14ac:dyDescent="0.35">
      <c r="A245" t="s">
        <v>405</v>
      </c>
      <c r="B245" s="10">
        <v>45705</v>
      </c>
      <c r="C245" t="s">
        <v>251</v>
      </c>
      <c r="D245" t="s">
        <v>29</v>
      </c>
      <c r="E245" t="s">
        <v>151</v>
      </c>
      <c r="F245" t="s">
        <v>14</v>
      </c>
      <c r="G245">
        <v>58.31</v>
      </c>
      <c r="H245" t="s">
        <v>21</v>
      </c>
      <c r="I245" t="s">
        <v>22</v>
      </c>
      <c r="J245" t="s">
        <v>31</v>
      </c>
    </row>
    <row r="246" spans="1:10" x14ac:dyDescent="0.35">
      <c r="A246" t="s">
        <v>406</v>
      </c>
      <c r="B246" s="10">
        <v>45705</v>
      </c>
      <c r="C246" t="s">
        <v>138</v>
      </c>
      <c r="D246" t="s">
        <v>12</v>
      </c>
      <c r="E246" t="s">
        <v>26</v>
      </c>
      <c r="F246" t="s">
        <v>14</v>
      </c>
      <c r="G246">
        <v>23.03</v>
      </c>
      <c r="H246" t="s">
        <v>15</v>
      </c>
      <c r="I246" t="s">
        <v>36</v>
      </c>
      <c r="J246" t="s">
        <v>77</v>
      </c>
    </row>
    <row r="247" spans="1:10" x14ac:dyDescent="0.35">
      <c r="A247" t="s">
        <v>407</v>
      </c>
      <c r="B247" s="10">
        <v>45706</v>
      </c>
      <c r="C247" t="s">
        <v>100</v>
      </c>
      <c r="D247" t="s">
        <v>101</v>
      </c>
      <c r="E247" t="s">
        <v>102</v>
      </c>
      <c r="F247" t="s">
        <v>14</v>
      </c>
      <c r="G247">
        <v>46.91</v>
      </c>
      <c r="H247" t="s">
        <v>21</v>
      </c>
      <c r="I247" t="s">
        <v>22</v>
      </c>
      <c r="J247" t="s">
        <v>103</v>
      </c>
    </row>
    <row r="248" spans="1:10" x14ac:dyDescent="0.35">
      <c r="A248" t="s">
        <v>408</v>
      </c>
      <c r="B248" s="10">
        <v>45706</v>
      </c>
      <c r="C248" t="s">
        <v>308</v>
      </c>
      <c r="D248" t="s">
        <v>54</v>
      </c>
      <c r="E248" t="s">
        <v>64</v>
      </c>
      <c r="F248" t="s">
        <v>54</v>
      </c>
      <c r="G248">
        <v>331.44</v>
      </c>
      <c r="H248" t="s">
        <v>98</v>
      </c>
      <c r="I248" t="s">
        <v>84</v>
      </c>
      <c r="J248" t="s">
        <v>89</v>
      </c>
    </row>
    <row r="249" spans="1:10" x14ac:dyDescent="0.35">
      <c r="A249" t="s">
        <v>409</v>
      </c>
      <c r="B249" s="10">
        <v>45706</v>
      </c>
      <c r="C249" t="s">
        <v>94</v>
      </c>
      <c r="D249" t="s">
        <v>29</v>
      </c>
      <c r="E249" t="s">
        <v>95</v>
      </c>
      <c r="F249" t="s">
        <v>14</v>
      </c>
      <c r="G249">
        <v>82.59</v>
      </c>
      <c r="H249" t="s">
        <v>15</v>
      </c>
      <c r="I249" t="s">
        <v>22</v>
      </c>
      <c r="J249" t="s">
        <v>96</v>
      </c>
    </row>
    <row r="250" spans="1:10" x14ac:dyDescent="0.35">
      <c r="A250" t="s">
        <v>410</v>
      </c>
      <c r="B250" s="10">
        <v>45706</v>
      </c>
      <c r="C250" t="s">
        <v>411</v>
      </c>
      <c r="D250" t="s">
        <v>29</v>
      </c>
      <c r="E250" t="s">
        <v>151</v>
      </c>
      <c r="F250" t="s">
        <v>14</v>
      </c>
      <c r="G250">
        <v>46.06</v>
      </c>
      <c r="H250" t="s">
        <v>98</v>
      </c>
      <c r="I250" t="s">
        <v>47</v>
      </c>
      <c r="J250" t="s">
        <v>151</v>
      </c>
    </row>
    <row r="251" spans="1:10" x14ac:dyDescent="0.35">
      <c r="A251" t="s">
        <v>412</v>
      </c>
      <c r="B251" s="10">
        <v>45706</v>
      </c>
      <c r="C251" t="s">
        <v>79</v>
      </c>
      <c r="D251" t="s">
        <v>80</v>
      </c>
      <c r="E251" t="s">
        <v>81</v>
      </c>
      <c r="F251" t="s">
        <v>14</v>
      </c>
      <c r="G251">
        <v>84.89</v>
      </c>
      <c r="H251" t="s">
        <v>15</v>
      </c>
      <c r="I251" t="s">
        <v>47</v>
      </c>
      <c r="J251" t="s">
        <v>82</v>
      </c>
    </row>
    <row r="252" spans="1:10" x14ac:dyDescent="0.35">
      <c r="A252" t="s">
        <v>413</v>
      </c>
      <c r="B252" s="10">
        <v>45706</v>
      </c>
      <c r="C252" t="s">
        <v>155</v>
      </c>
      <c r="D252" t="s">
        <v>12</v>
      </c>
      <c r="E252" t="s">
        <v>51</v>
      </c>
      <c r="F252" t="s">
        <v>14</v>
      </c>
      <c r="G252">
        <v>11.62</v>
      </c>
      <c r="H252" t="s">
        <v>15</v>
      </c>
      <c r="I252" t="s">
        <v>22</v>
      </c>
      <c r="J252" t="s">
        <v>48</v>
      </c>
    </row>
    <row r="253" spans="1:10" x14ac:dyDescent="0.35">
      <c r="A253" t="s">
        <v>414</v>
      </c>
      <c r="B253" s="10">
        <v>45706</v>
      </c>
      <c r="C253" t="s">
        <v>415</v>
      </c>
      <c r="D253" t="s">
        <v>12</v>
      </c>
      <c r="E253" t="s">
        <v>51</v>
      </c>
      <c r="F253" t="s">
        <v>14</v>
      </c>
      <c r="G253">
        <v>27.48</v>
      </c>
      <c r="H253" t="s">
        <v>98</v>
      </c>
      <c r="I253" t="s">
        <v>47</v>
      </c>
      <c r="J253" t="s">
        <v>77</v>
      </c>
    </row>
    <row r="254" spans="1:10" x14ac:dyDescent="0.35">
      <c r="A254" t="s">
        <v>416</v>
      </c>
      <c r="B254" s="10">
        <v>45707</v>
      </c>
      <c r="C254" t="s">
        <v>331</v>
      </c>
      <c r="D254" t="s">
        <v>29</v>
      </c>
      <c r="E254" t="s">
        <v>95</v>
      </c>
      <c r="F254" t="s">
        <v>14</v>
      </c>
      <c r="G254">
        <v>115.38</v>
      </c>
      <c r="H254" t="s">
        <v>15</v>
      </c>
      <c r="I254" t="s">
        <v>22</v>
      </c>
      <c r="J254" t="s">
        <v>151</v>
      </c>
    </row>
    <row r="255" spans="1:10" x14ac:dyDescent="0.35">
      <c r="A255" t="s">
        <v>417</v>
      </c>
      <c r="B255" s="10">
        <v>45707</v>
      </c>
      <c r="C255" t="s">
        <v>194</v>
      </c>
      <c r="D255" t="s">
        <v>101</v>
      </c>
      <c r="E255" t="s">
        <v>136</v>
      </c>
      <c r="F255" t="s">
        <v>14</v>
      </c>
      <c r="G255">
        <v>47.01</v>
      </c>
      <c r="H255" t="s">
        <v>15</v>
      </c>
      <c r="I255" t="s">
        <v>22</v>
      </c>
      <c r="J255" t="s">
        <v>103</v>
      </c>
    </row>
    <row r="256" spans="1:10" x14ac:dyDescent="0.35">
      <c r="A256" t="s">
        <v>418</v>
      </c>
      <c r="B256" s="10">
        <v>45707</v>
      </c>
      <c r="C256" t="s">
        <v>11</v>
      </c>
      <c r="D256" t="s">
        <v>12</v>
      </c>
      <c r="E256" t="s">
        <v>13</v>
      </c>
      <c r="F256" t="s">
        <v>14</v>
      </c>
      <c r="G256">
        <v>12.79</v>
      </c>
      <c r="H256" t="s">
        <v>15</v>
      </c>
      <c r="I256" t="s">
        <v>16</v>
      </c>
      <c r="J256" t="s">
        <v>17</v>
      </c>
    </row>
    <row r="257" spans="1:10" x14ac:dyDescent="0.35">
      <c r="A257" t="s">
        <v>419</v>
      </c>
      <c r="B257" s="10">
        <v>45707</v>
      </c>
      <c r="C257" t="s">
        <v>308</v>
      </c>
      <c r="D257" t="s">
        <v>54</v>
      </c>
      <c r="E257" t="s">
        <v>64</v>
      </c>
      <c r="F257" t="s">
        <v>54</v>
      </c>
      <c r="G257">
        <v>351.73</v>
      </c>
      <c r="H257" t="s">
        <v>21</v>
      </c>
      <c r="I257" t="s">
        <v>47</v>
      </c>
      <c r="J257" t="s">
        <v>89</v>
      </c>
    </row>
    <row r="258" spans="1:10" x14ac:dyDescent="0.35">
      <c r="A258" t="s">
        <v>420</v>
      </c>
      <c r="B258" s="10">
        <v>45707</v>
      </c>
      <c r="C258" t="s">
        <v>157</v>
      </c>
      <c r="D258" t="s">
        <v>29</v>
      </c>
      <c r="E258" t="s">
        <v>95</v>
      </c>
      <c r="F258" t="s">
        <v>14</v>
      </c>
      <c r="G258">
        <v>29.57</v>
      </c>
      <c r="H258" t="s">
        <v>15</v>
      </c>
      <c r="I258" t="s">
        <v>22</v>
      </c>
      <c r="J258" t="s">
        <v>158</v>
      </c>
    </row>
    <row r="259" spans="1:10" x14ac:dyDescent="0.35">
      <c r="A259" t="s">
        <v>421</v>
      </c>
      <c r="B259" s="10">
        <v>45707</v>
      </c>
      <c r="C259" t="s">
        <v>259</v>
      </c>
      <c r="D259" t="s">
        <v>59</v>
      </c>
      <c r="E259" t="s">
        <v>199</v>
      </c>
      <c r="F259" t="s">
        <v>14</v>
      </c>
      <c r="G259">
        <v>909.73</v>
      </c>
      <c r="H259" t="s">
        <v>15</v>
      </c>
      <c r="I259" t="s">
        <v>47</v>
      </c>
      <c r="J259" t="s">
        <v>170</v>
      </c>
    </row>
    <row r="260" spans="1:10" x14ac:dyDescent="0.35">
      <c r="A260" t="s">
        <v>422</v>
      </c>
      <c r="B260" s="10">
        <v>45708</v>
      </c>
      <c r="C260" t="s">
        <v>163</v>
      </c>
      <c r="D260" t="s">
        <v>80</v>
      </c>
      <c r="E260" t="s">
        <v>92</v>
      </c>
      <c r="F260" t="s">
        <v>14</v>
      </c>
      <c r="G260">
        <v>65</v>
      </c>
      <c r="H260" t="s">
        <v>21</v>
      </c>
      <c r="I260" t="s">
        <v>47</v>
      </c>
      <c r="J260" t="s">
        <v>118</v>
      </c>
    </row>
    <row r="261" spans="1:10" x14ac:dyDescent="0.35">
      <c r="A261" t="s">
        <v>423</v>
      </c>
      <c r="B261" s="10">
        <v>45708</v>
      </c>
      <c r="C261" t="s">
        <v>424</v>
      </c>
      <c r="D261" t="s">
        <v>101</v>
      </c>
      <c r="E261" t="s">
        <v>136</v>
      </c>
      <c r="F261" t="s">
        <v>14</v>
      </c>
      <c r="G261">
        <v>87.16</v>
      </c>
      <c r="H261" t="s">
        <v>21</v>
      </c>
      <c r="I261" t="s">
        <v>22</v>
      </c>
      <c r="J261" t="s">
        <v>102</v>
      </c>
    </row>
    <row r="262" spans="1:10" x14ac:dyDescent="0.35">
      <c r="A262" t="s">
        <v>425</v>
      </c>
      <c r="B262" s="10">
        <v>45708</v>
      </c>
      <c r="C262" t="s">
        <v>426</v>
      </c>
      <c r="D262" t="s">
        <v>69</v>
      </c>
      <c r="E262" t="s">
        <v>70</v>
      </c>
      <c r="F262" t="s">
        <v>14</v>
      </c>
      <c r="G262">
        <v>346.45</v>
      </c>
      <c r="H262" t="s">
        <v>15</v>
      </c>
      <c r="I262" t="s">
        <v>16</v>
      </c>
      <c r="J262" t="s">
        <v>396</v>
      </c>
    </row>
    <row r="263" spans="1:10" x14ac:dyDescent="0.35">
      <c r="A263" t="s">
        <v>427</v>
      </c>
      <c r="B263" s="10">
        <v>45708</v>
      </c>
      <c r="C263" t="s">
        <v>33</v>
      </c>
      <c r="D263" t="s">
        <v>34</v>
      </c>
      <c r="E263" t="s">
        <v>35</v>
      </c>
      <c r="F263" t="s">
        <v>14</v>
      </c>
      <c r="G263">
        <v>46.67</v>
      </c>
      <c r="H263" t="s">
        <v>15</v>
      </c>
      <c r="I263" t="s">
        <v>22</v>
      </c>
      <c r="J263" t="s">
        <v>37</v>
      </c>
    </row>
    <row r="264" spans="1:10" x14ac:dyDescent="0.35">
      <c r="A264" t="s">
        <v>428</v>
      </c>
      <c r="B264" s="10">
        <v>45708</v>
      </c>
      <c r="C264" t="s">
        <v>163</v>
      </c>
      <c r="D264" t="s">
        <v>80</v>
      </c>
      <c r="E264" t="s">
        <v>92</v>
      </c>
      <c r="F264" t="s">
        <v>14</v>
      </c>
      <c r="G264">
        <v>32.28</v>
      </c>
      <c r="H264" t="s">
        <v>21</v>
      </c>
      <c r="I264" t="s">
        <v>36</v>
      </c>
      <c r="J264" t="s">
        <v>118</v>
      </c>
    </row>
    <row r="265" spans="1:10" x14ac:dyDescent="0.35">
      <c r="A265" t="s">
        <v>429</v>
      </c>
      <c r="B265" s="10">
        <v>45709</v>
      </c>
      <c r="C265" t="s">
        <v>58</v>
      </c>
      <c r="D265" t="s">
        <v>59</v>
      </c>
      <c r="E265" t="s">
        <v>60</v>
      </c>
      <c r="F265" t="s">
        <v>14</v>
      </c>
      <c r="G265">
        <v>134.76</v>
      </c>
      <c r="H265" t="s">
        <v>15</v>
      </c>
      <c r="I265" t="s">
        <v>47</v>
      </c>
      <c r="J265" t="s">
        <v>61</v>
      </c>
    </row>
    <row r="266" spans="1:10" x14ac:dyDescent="0.35">
      <c r="A266" t="s">
        <v>430</v>
      </c>
      <c r="B266" s="10">
        <v>45709</v>
      </c>
      <c r="C266" t="s">
        <v>94</v>
      </c>
      <c r="D266" t="s">
        <v>29</v>
      </c>
      <c r="E266" t="s">
        <v>95</v>
      </c>
      <c r="F266" t="s">
        <v>14</v>
      </c>
      <c r="G266">
        <v>8.33</v>
      </c>
      <c r="H266" t="s">
        <v>15</v>
      </c>
      <c r="I266" t="s">
        <v>47</v>
      </c>
      <c r="J266" t="s">
        <v>96</v>
      </c>
    </row>
    <row r="267" spans="1:10" x14ac:dyDescent="0.35">
      <c r="A267" t="s">
        <v>431</v>
      </c>
      <c r="B267" s="10">
        <v>45709</v>
      </c>
      <c r="C267" t="s">
        <v>220</v>
      </c>
      <c r="D267" t="s">
        <v>59</v>
      </c>
      <c r="E267" t="s">
        <v>199</v>
      </c>
      <c r="F267" t="s">
        <v>14</v>
      </c>
      <c r="G267">
        <v>151.09</v>
      </c>
      <c r="H267" t="s">
        <v>15</v>
      </c>
      <c r="I267" t="s">
        <v>36</v>
      </c>
      <c r="J267" t="s">
        <v>211</v>
      </c>
    </row>
    <row r="268" spans="1:10" x14ac:dyDescent="0.35">
      <c r="A268" t="s">
        <v>432</v>
      </c>
      <c r="B268" s="10">
        <v>45709</v>
      </c>
      <c r="C268" t="s">
        <v>232</v>
      </c>
      <c r="D268" t="s">
        <v>69</v>
      </c>
      <c r="E268" t="s">
        <v>233</v>
      </c>
      <c r="F268" t="s">
        <v>14</v>
      </c>
      <c r="G268">
        <v>215.51</v>
      </c>
      <c r="H268" t="s">
        <v>15</v>
      </c>
      <c r="I268" t="s">
        <v>22</v>
      </c>
      <c r="J268" t="s">
        <v>71</v>
      </c>
    </row>
    <row r="269" spans="1:10" x14ac:dyDescent="0.35">
      <c r="A269" t="s">
        <v>433</v>
      </c>
      <c r="B269" s="10">
        <v>45709</v>
      </c>
      <c r="C269" t="s">
        <v>177</v>
      </c>
      <c r="D269" t="s">
        <v>54</v>
      </c>
      <c r="E269" t="s">
        <v>74</v>
      </c>
      <c r="F269" t="s">
        <v>54</v>
      </c>
      <c r="G269">
        <v>2223.73</v>
      </c>
      <c r="H269" t="s">
        <v>15</v>
      </c>
      <c r="I269" t="s">
        <v>36</v>
      </c>
      <c r="J269" t="s">
        <v>56</v>
      </c>
    </row>
    <row r="270" spans="1:10" x14ac:dyDescent="0.35">
      <c r="A270" t="s">
        <v>434</v>
      </c>
      <c r="B270" s="10">
        <v>45709</v>
      </c>
      <c r="C270" t="s">
        <v>160</v>
      </c>
      <c r="D270" t="s">
        <v>80</v>
      </c>
      <c r="E270" t="s">
        <v>117</v>
      </c>
      <c r="F270" t="s">
        <v>14</v>
      </c>
      <c r="G270">
        <v>69.36</v>
      </c>
      <c r="H270" t="s">
        <v>21</v>
      </c>
      <c r="I270" t="s">
        <v>22</v>
      </c>
      <c r="J270" t="s">
        <v>161</v>
      </c>
    </row>
    <row r="271" spans="1:10" x14ac:dyDescent="0.35">
      <c r="A271" t="s">
        <v>435</v>
      </c>
      <c r="B271" s="10">
        <v>45709</v>
      </c>
      <c r="C271" t="s">
        <v>298</v>
      </c>
      <c r="D271" t="s">
        <v>59</v>
      </c>
      <c r="E271" t="s">
        <v>185</v>
      </c>
      <c r="F271" t="s">
        <v>14</v>
      </c>
      <c r="G271">
        <v>840.52</v>
      </c>
      <c r="H271" t="s">
        <v>98</v>
      </c>
      <c r="I271" t="s">
        <v>22</v>
      </c>
      <c r="J271" t="s">
        <v>170</v>
      </c>
    </row>
    <row r="272" spans="1:10" x14ac:dyDescent="0.35">
      <c r="A272" t="s">
        <v>436</v>
      </c>
      <c r="B272" s="10">
        <v>45710</v>
      </c>
      <c r="C272" t="s">
        <v>88</v>
      </c>
      <c r="D272" t="s">
        <v>54</v>
      </c>
      <c r="E272" t="s">
        <v>74</v>
      </c>
      <c r="F272" t="s">
        <v>54</v>
      </c>
      <c r="G272">
        <v>2070.9699999999998</v>
      </c>
      <c r="H272" t="s">
        <v>15</v>
      </c>
      <c r="I272" t="s">
        <v>22</v>
      </c>
      <c r="J272" t="s">
        <v>89</v>
      </c>
    </row>
    <row r="273" spans="1:10" x14ac:dyDescent="0.35">
      <c r="A273" t="s">
        <v>437</v>
      </c>
      <c r="B273" s="10">
        <v>45710</v>
      </c>
      <c r="C273" t="s">
        <v>210</v>
      </c>
      <c r="D273" t="s">
        <v>59</v>
      </c>
      <c r="E273" t="s">
        <v>185</v>
      </c>
      <c r="F273" t="s">
        <v>14</v>
      </c>
      <c r="G273">
        <v>367.8</v>
      </c>
      <c r="H273" t="s">
        <v>15</v>
      </c>
      <c r="I273" t="s">
        <v>36</v>
      </c>
      <c r="J273" t="s">
        <v>211</v>
      </c>
    </row>
    <row r="274" spans="1:10" x14ac:dyDescent="0.35">
      <c r="A274" t="s">
        <v>438</v>
      </c>
      <c r="B274" s="10">
        <v>45710</v>
      </c>
      <c r="C274" t="s">
        <v>345</v>
      </c>
      <c r="D274" t="s">
        <v>59</v>
      </c>
      <c r="E274" t="s">
        <v>60</v>
      </c>
      <c r="F274" t="s">
        <v>14</v>
      </c>
      <c r="G274">
        <v>187.25</v>
      </c>
      <c r="H274" t="s">
        <v>21</v>
      </c>
      <c r="I274" t="s">
        <v>22</v>
      </c>
      <c r="J274" t="s">
        <v>211</v>
      </c>
    </row>
    <row r="275" spans="1:10" x14ac:dyDescent="0.35">
      <c r="A275" t="s">
        <v>439</v>
      </c>
      <c r="B275" s="10">
        <v>45710</v>
      </c>
      <c r="C275" t="s">
        <v>220</v>
      </c>
      <c r="D275" t="s">
        <v>59</v>
      </c>
      <c r="E275" t="s">
        <v>199</v>
      </c>
      <c r="F275" t="s">
        <v>14</v>
      </c>
      <c r="G275">
        <v>223.2</v>
      </c>
      <c r="H275" t="s">
        <v>15</v>
      </c>
      <c r="I275" t="s">
        <v>22</v>
      </c>
      <c r="J275" t="s">
        <v>211</v>
      </c>
    </row>
    <row r="276" spans="1:10" x14ac:dyDescent="0.35">
      <c r="A276" t="s">
        <v>440</v>
      </c>
      <c r="B276" s="10">
        <v>45710</v>
      </c>
      <c r="C276" t="s">
        <v>204</v>
      </c>
      <c r="D276" t="s">
        <v>12</v>
      </c>
      <c r="E276" t="s">
        <v>51</v>
      </c>
      <c r="F276" t="s">
        <v>14</v>
      </c>
      <c r="G276">
        <v>10.79</v>
      </c>
      <c r="H276" t="s">
        <v>15</v>
      </c>
      <c r="I276" t="s">
        <v>47</v>
      </c>
      <c r="J276" t="s">
        <v>23</v>
      </c>
    </row>
    <row r="277" spans="1:10" x14ac:dyDescent="0.35">
      <c r="A277" t="s">
        <v>441</v>
      </c>
      <c r="B277" s="10">
        <v>45710</v>
      </c>
      <c r="C277" t="s">
        <v>324</v>
      </c>
      <c r="D277" t="s">
        <v>80</v>
      </c>
      <c r="E277" t="s">
        <v>92</v>
      </c>
      <c r="F277" t="s">
        <v>14</v>
      </c>
      <c r="G277">
        <v>177.06</v>
      </c>
      <c r="H277" t="s">
        <v>21</v>
      </c>
      <c r="I277" t="s">
        <v>22</v>
      </c>
      <c r="J277" t="s">
        <v>161</v>
      </c>
    </row>
    <row r="278" spans="1:10" x14ac:dyDescent="0.35">
      <c r="A278" t="s">
        <v>442</v>
      </c>
      <c r="B278" s="10">
        <v>45710</v>
      </c>
      <c r="C278" t="s">
        <v>39</v>
      </c>
      <c r="D278" t="s">
        <v>34</v>
      </c>
      <c r="E278" t="s">
        <v>40</v>
      </c>
      <c r="F278" t="s">
        <v>14</v>
      </c>
      <c r="G278">
        <v>66.19</v>
      </c>
      <c r="H278" t="s">
        <v>15</v>
      </c>
      <c r="I278" t="s">
        <v>84</v>
      </c>
      <c r="J278" t="s">
        <v>41</v>
      </c>
    </row>
    <row r="279" spans="1:10" x14ac:dyDescent="0.35">
      <c r="A279" t="s">
        <v>443</v>
      </c>
      <c r="B279" s="10">
        <v>45711</v>
      </c>
      <c r="C279" t="s">
        <v>28</v>
      </c>
      <c r="D279" t="s">
        <v>29</v>
      </c>
      <c r="E279" t="s">
        <v>30</v>
      </c>
      <c r="F279" t="s">
        <v>14</v>
      </c>
      <c r="G279">
        <v>56.02</v>
      </c>
      <c r="H279" t="s">
        <v>15</v>
      </c>
      <c r="I279" t="s">
        <v>47</v>
      </c>
      <c r="J279" t="s">
        <v>31</v>
      </c>
    </row>
    <row r="280" spans="1:10" x14ac:dyDescent="0.35">
      <c r="A280" t="s">
        <v>444</v>
      </c>
      <c r="B280" s="10">
        <v>45711</v>
      </c>
      <c r="C280" t="s">
        <v>445</v>
      </c>
      <c r="D280" t="s">
        <v>101</v>
      </c>
      <c r="E280" t="s">
        <v>244</v>
      </c>
      <c r="F280" t="s">
        <v>14</v>
      </c>
      <c r="G280">
        <v>85.27</v>
      </c>
      <c r="H280" t="s">
        <v>98</v>
      </c>
      <c r="I280" t="s">
        <v>36</v>
      </c>
      <c r="J280" t="s">
        <v>103</v>
      </c>
    </row>
    <row r="281" spans="1:10" x14ac:dyDescent="0.35">
      <c r="A281" t="s">
        <v>446</v>
      </c>
      <c r="B281" s="10">
        <v>45711</v>
      </c>
      <c r="C281" t="s">
        <v>76</v>
      </c>
      <c r="D281" t="s">
        <v>12</v>
      </c>
      <c r="E281" t="s">
        <v>13</v>
      </c>
      <c r="F281" t="s">
        <v>14</v>
      </c>
      <c r="G281">
        <v>49.34</v>
      </c>
      <c r="H281" t="s">
        <v>21</v>
      </c>
      <c r="I281" t="s">
        <v>22</v>
      </c>
      <c r="J281" t="s">
        <v>77</v>
      </c>
    </row>
    <row r="282" spans="1:10" x14ac:dyDescent="0.35">
      <c r="A282" t="s">
        <v>447</v>
      </c>
      <c r="B282" s="10">
        <v>45711</v>
      </c>
      <c r="C282" t="s">
        <v>269</v>
      </c>
      <c r="D282" t="s">
        <v>34</v>
      </c>
      <c r="E282" t="s">
        <v>35</v>
      </c>
      <c r="F282" t="s">
        <v>14</v>
      </c>
      <c r="G282">
        <v>80.23</v>
      </c>
      <c r="H282" t="s">
        <v>15</v>
      </c>
      <c r="I282" t="s">
        <v>36</v>
      </c>
      <c r="J282" t="s">
        <v>123</v>
      </c>
    </row>
    <row r="283" spans="1:10" x14ac:dyDescent="0.35">
      <c r="A283" t="s">
        <v>448</v>
      </c>
      <c r="B283" s="10">
        <v>45712</v>
      </c>
      <c r="C283" t="s">
        <v>39</v>
      </c>
      <c r="D283" t="s">
        <v>34</v>
      </c>
      <c r="E283" t="s">
        <v>40</v>
      </c>
      <c r="F283" t="s">
        <v>14</v>
      </c>
      <c r="G283">
        <v>257.32</v>
      </c>
      <c r="H283" t="s">
        <v>15</v>
      </c>
      <c r="I283" t="s">
        <v>16</v>
      </c>
      <c r="J283" t="s">
        <v>41</v>
      </c>
    </row>
    <row r="284" spans="1:10" x14ac:dyDescent="0.35">
      <c r="A284" t="s">
        <v>449</v>
      </c>
      <c r="B284" s="10">
        <v>45712</v>
      </c>
      <c r="C284" t="s">
        <v>100</v>
      </c>
      <c r="D284" t="s">
        <v>101</v>
      </c>
      <c r="E284" t="s">
        <v>102</v>
      </c>
      <c r="F284" t="s">
        <v>14</v>
      </c>
      <c r="G284">
        <v>59.12</v>
      </c>
      <c r="H284" t="s">
        <v>15</v>
      </c>
      <c r="I284" t="s">
        <v>16</v>
      </c>
      <c r="J284" t="s">
        <v>103</v>
      </c>
    </row>
    <row r="285" spans="1:10" x14ac:dyDescent="0.35">
      <c r="A285" t="s">
        <v>450</v>
      </c>
      <c r="B285" s="10">
        <v>45712</v>
      </c>
      <c r="C285" t="s">
        <v>111</v>
      </c>
      <c r="D285" t="s">
        <v>12</v>
      </c>
      <c r="E285" t="s">
        <v>26</v>
      </c>
      <c r="F285" t="s">
        <v>14</v>
      </c>
      <c r="G285">
        <v>49.2</v>
      </c>
      <c r="H285" t="s">
        <v>98</v>
      </c>
      <c r="I285" t="s">
        <v>47</v>
      </c>
      <c r="J285" t="s">
        <v>23</v>
      </c>
    </row>
    <row r="286" spans="1:10" x14ac:dyDescent="0.35">
      <c r="A286" t="s">
        <v>451</v>
      </c>
      <c r="B286" s="10">
        <v>45712</v>
      </c>
      <c r="C286" t="s">
        <v>296</v>
      </c>
      <c r="D286" t="s">
        <v>101</v>
      </c>
      <c r="E286" t="s">
        <v>136</v>
      </c>
      <c r="F286" t="s">
        <v>14</v>
      </c>
      <c r="G286">
        <v>71.91</v>
      </c>
      <c r="H286" t="s">
        <v>15</v>
      </c>
      <c r="I286" t="s">
        <v>36</v>
      </c>
      <c r="J286" t="s">
        <v>136</v>
      </c>
    </row>
    <row r="287" spans="1:10" x14ac:dyDescent="0.35">
      <c r="A287" t="s">
        <v>452</v>
      </c>
      <c r="B287" s="10">
        <v>45713</v>
      </c>
      <c r="C287" t="s">
        <v>168</v>
      </c>
      <c r="D287" t="s">
        <v>59</v>
      </c>
      <c r="E287" t="s">
        <v>60</v>
      </c>
      <c r="F287" t="s">
        <v>14</v>
      </c>
      <c r="G287">
        <v>254.84</v>
      </c>
      <c r="H287" t="s">
        <v>15</v>
      </c>
      <c r="I287" t="s">
        <v>47</v>
      </c>
      <c r="J287" t="s">
        <v>170</v>
      </c>
    </row>
    <row r="288" spans="1:10" x14ac:dyDescent="0.35">
      <c r="A288" t="s">
        <v>453</v>
      </c>
      <c r="B288" s="10">
        <v>45713</v>
      </c>
      <c r="C288" t="s">
        <v>88</v>
      </c>
      <c r="D288" t="s">
        <v>54</v>
      </c>
      <c r="E288" t="s">
        <v>74</v>
      </c>
      <c r="F288" t="s">
        <v>54</v>
      </c>
      <c r="G288">
        <v>2640.52</v>
      </c>
      <c r="H288" t="s">
        <v>15</v>
      </c>
      <c r="I288" t="s">
        <v>84</v>
      </c>
      <c r="J288" t="s">
        <v>89</v>
      </c>
    </row>
    <row r="289" spans="1:10" x14ac:dyDescent="0.35">
      <c r="A289" t="s">
        <v>454</v>
      </c>
      <c r="B289" s="10">
        <v>45713</v>
      </c>
      <c r="C289" t="s">
        <v>88</v>
      </c>
      <c r="D289" t="s">
        <v>54</v>
      </c>
      <c r="E289" t="s">
        <v>74</v>
      </c>
      <c r="F289" t="s">
        <v>54</v>
      </c>
      <c r="G289">
        <v>2852.98</v>
      </c>
      <c r="H289" t="s">
        <v>21</v>
      </c>
      <c r="I289" t="s">
        <v>22</v>
      </c>
      <c r="J289" t="s">
        <v>89</v>
      </c>
    </row>
    <row r="290" spans="1:10" x14ac:dyDescent="0.35">
      <c r="A290" t="s">
        <v>455</v>
      </c>
      <c r="B290" s="10">
        <v>45713</v>
      </c>
      <c r="C290" t="s">
        <v>11</v>
      </c>
      <c r="D290" t="s">
        <v>12</v>
      </c>
      <c r="E290" t="s">
        <v>13</v>
      </c>
      <c r="F290" t="s">
        <v>14</v>
      </c>
      <c r="G290">
        <v>25.57</v>
      </c>
      <c r="H290" t="s">
        <v>15</v>
      </c>
      <c r="I290" t="s">
        <v>22</v>
      </c>
      <c r="J290" t="s">
        <v>17</v>
      </c>
    </row>
    <row r="291" spans="1:10" x14ac:dyDescent="0.35">
      <c r="A291" t="s">
        <v>456</v>
      </c>
      <c r="B291" s="10">
        <v>45714</v>
      </c>
      <c r="C291" t="s">
        <v>269</v>
      </c>
      <c r="D291" t="s">
        <v>34</v>
      </c>
      <c r="E291" t="s">
        <v>35</v>
      </c>
      <c r="F291" t="s">
        <v>14</v>
      </c>
      <c r="G291">
        <v>114.34</v>
      </c>
      <c r="H291" t="s">
        <v>15</v>
      </c>
      <c r="I291" t="s">
        <v>84</v>
      </c>
      <c r="J291" t="s">
        <v>123</v>
      </c>
    </row>
    <row r="292" spans="1:10" x14ac:dyDescent="0.35">
      <c r="A292" t="s">
        <v>457</v>
      </c>
      <c r="B292" s="10">
        <v>45714</v>
      </c>
      <c r="C292" t="s">
        <v>227</v>
      </c>
      <c r="D292" t="s">
        <v>12</v>
      </c>
      <c r="E292" t="s">
        <v>51</v>
      </c>
      <c r="F292" t="s">
        <v>14</v>
      </c>
      <c r="G292">
        <v>48.96</v>
      </c>
      <c r="H292" t="s">
        <v>21</v>
      </c>
      <c r="I292" t="s">
        <v>22</v>
      </c>
      <c r="J292" t="s">
        <v>17</v>
      </c>
    </row>
    <row r="293" spans="1:10" x14ac:dyDescent="0.35">
      <c r="A293" t="s">
        <v>458</v>
      </c>
      <c r="B293" s="10">
        <v>45714</v>
      </c>
      <c r="C293" t="s">
        <v>248</v>
      </c>
      <c r="D293" t="s">
        <v>80</v>
      </c>
      <c r="E293" t="s">
        <v>81</v>
      </c>
      <c r="F293" t="s">
        <v>14</v>
      </c>
      <c r="G293">
        <v>75.11</v>
      </c>
      <c r="H293" t="s">
        <v>15</v>
      </c>
      <c r="I293" t="s">
        <v>22</v>
      </c>
      <c r="J293" t="s">
        <v>161</v>
      </c>
    </row>
    <row r="294" spans="1:10" x14ac:dyDescent="0.35">
      <c r="A294" t="s">
        <v>459</v>
      </c>
      <c r="B294" s="10">
        <v>45714</v>
      </c>
      <c r="C294" t="s">
        <v>143</v>
      </c>
      <c r="D294" t="s">
        <v>54</v>
      </c>
      <c r="E294" t="s">
        <v>55</v>
      </c>
      <c r="F294" t="s">
        <v>54</v>
      </c>
      <c r="G294">
        <v>703.42</v>
      </c>
      <c r="H294" t="s">
        <v>15</v>
      </c>
      <c r="I294" t="s">
        <v>36</v>
      </c>
      <c r="J294" t="s">
        <v>89</v>
      </c>
    </row>
    <row r="295" spans="1:10" x14ac:dyDescent="0.35">
      <c r="A295" t="s">
        <v>460</v>
      </c>
      <c r="B295" s="10">
        <v>45715</v>
      </c>
      <c r="C295" t="s">
        <v>215</v>
      </c>
      <c r="D295" t="s">
        <v>80</v>
      </c>
      <c r="E295" t="s">
        <v>117</v>
      </c>
      <c r="F295" t="s">
        <v>14</v>
      </c>
      <c r="G295">
        <v>47.13</v>
      </c>
      <c r="H295" t="s">
        <v>98</v>
      </c>
      <c r="I295" t="s">
        <v>47</v>
      </c>
      <c r="J295" t="s">
        <v>141</v>
      </c>
    </row>
    <row r="296" spans="1:10" x14ac:dyDescent="0.35">
      <c r="A296" t="s">
        <v>461</v>
      </c>
      <c r="B296" s="10">
        <v>45715</v>
      </c>
      <c r="C296" t="s">
        <v>25</v>
      </c>
      <c r="D296" t="s">
        <v>12</v>
      </c>
      <c r="E296" t="s">
        <v>26</v>
      </c>
      <c r="F296" t="s">
        <v>14</v>
      </c>
      <c r="G296">
        <v>40.92</v>
      </c>
      <c r="H296" t="s">
        <v>21</v>
      </c>
      <c r="I296" t="s">
        <v>36</v>
      </c>
      <c r="J296" t="s">
        <v>17</v>
      </c>
    </row>
    <row r="297" spans="1:10" x14ac:dyDescent="0.35">
      <c r="A297" t="s">
        <v>462</v>
      </c>
      <c r="B297" s="10">
        <v>45715</v>
      </c>
      <c r="C297" t="s">
        <v>192</v>
      </c>
      <c r="D297" t="s">
        <v>80</v>
      </c>
      <c r="E297" t="s">
        <v>92</v>
      </c>
      <c r="F297" t="s">
        <v>14</v>
      </c>
      <c r="G297">
        <v>91.83</v>
      </c>
      <c r="H297" t="s">
        <v>15</v>
      </c>
      <c r="I297" t="s">
        <v>47</v>
      </c>
      <c r="J297" t="s">
        <v>180</v>
      </c>
    </row>
    <row r="298" spans="1:10" x14ac:dyDescent="0.35">
      <c r="A298" t="s">
        <v>463</v>
      </c>
      <c r="B298" s="10">
        <v>45715</v>
      </c>
      <c r="C298" t="s">
        <v>464</v>
      </c>
      <c r="D298" t="s">
        <v>34</v>
      </c>
      <c r="E298" t="s">
        <v>122</v>
      </c>
      <c r="F298" t="s">
        <v>14</v>
      </c>
      <c r="G298">
        <v>111.05</v>
      </c>
      <c r="H298" t="s">
        <v>15</v>
      </c>
      <c r="I298" t="s">
        <v>36</v>
      </c>
      <c r="J298" t="s">
        <v>239</v>
      </c>
    </row>
    <row r="299" spans="1:10" x14ac:dyDescent="0.35">
      <c r="A299" t="s">
        <v>465</v>
      </c>
      <c r="B299" s="10">
        <v>45715</v>
      </c>
      <c r="C299" t="s">
        <v>220</v>
      </c>
      <c r="D299" t="s">
        <v>59</v>
      </c>
      <c r="E299" t="s">
        <v>199</v>
      </c>
      <c r="F299" t="s">
        <v>14</v>
      </c>
      <c r="G299">
        <v>215.91</v>
      </c>
      <c r="H299" t="s">
        <v>15</v>
      </c>
      <c r="I299" t="s">
        <v>36</v>
      </c>
      <c r="J299" t="s">
        <v>211</v>
      </c>
    </row>
    <row r="300" spans="1:10" x14ac:dyDescent="0.35">
      <c r="A300" t="s">
        <v>466</v>
      </c>
      <c r="B300" s="10">
        <v>45715</v>
      </c>
      <c r="C300" t="s">
        <v>53</v>
      </c>
      <c r="D300" t="s">
        <v>54</v>
      </c>
      <c r="E300" t="s">
        <v>55</v>
      </c>
      <c r="F300" t="s">
        <v>54</v>
      </c>
      <c r="G300">
        <v>640.29999999999995</v>
      </c>
      <c r="H300" t="s">
        <v>15</v>
      </c>
      <c r="I300" t="s">
        <v>22</v>
      </c>
      <c r="J300" t="s">
        <v>56</v>
      </c>
    </row>
    <row r="301" spans="1:10" x14ac:dyDescent="0.35">
      <c r="A301" t="s">
        <v>467</v>
      </c>
      <c r="B301" s="10">
        <v>45716</v>
      </c>
      <c r="C301" t="s">
        <v>138</v>
      </c>
      <c r="D301" t="s">
        <v>12</v>
      </c>
      <c r="E301" t="s">
        <v>26</v>
      </c>
      <c r="F301" t="s">
        <v>14</v>
      </c>
      <c r="G301">
        <v>71.239999999999995</v>
      </c>
      <c r="H301" t="s">
        <v>15</v>
      </c>
      <c r="I301" t="s">
        <v>47</v>
      </c>
      <c r="J301" t="s">
        <v>77</v>
      </c>
    </row>
    <row r="302" spans="1:10" x14ac:dyDescent="0.35">
      <c r="A302" t="s">
        <v>468</v>
      </c>
      <c r="B302" s="10">
        <v>45716</v>
      </c>
      <c r="C302" t="s">
        <v>251</v>
      </c>
      <c r="D302" t="s">
        <v>29</v>
      </c>
      <c r="E302" t="s">
        <v>151</v>
      </c>
      <c r="F302" t="s">
        <v>14</v>
      </c>
      <c r="G302">
        <v>26.82</v>
      </c>
      <c r="H302" t="s">
        <v>15</v>
      </c>
      <c r="I302" t="s">
        <v>36</v>
      </c>
      <c r="J302" t="s">
        <v>31</v>
      </c>
    </row>
    <row r="303" spans="1:10" x14ac:dyDescent="0.35">
      <c r="A303" t="s">
        <v>469</v>
      </c>
      <c r="B303" s="10">
        <v>45716</v>
      </c>
      <c r="C303" t="s">
        <v>88</v>
      </c>
      <c r="D303" t="s">
        <v>54</v>
      </c>
      <c r="E303" t="s">
        <v>74</v>
      </c>
      <c r="F303" t="s">
        <v>54</v>
      </c>
      <c r="G303">
        <v>2671.2</v>
      </c>
      <c r="H303" t="s">
        <v>15</v>
      </c>
      <c r="I303" t="s">
        <v>84</v>
      </c>
      <c r="J303" t="s">
        <v>89</v>
      </c>
    </row>
    <row r="304" spans="1:10" x14ac:dyDescent="0.35">
      <c r="A304" t="s">
        <v>470</v>
      </c>
      <c r="B304" s="10">
        <v>45716</v>
      </c>
      <c r="C304" t="s">
        <v>79</v>
      </c>
      <c r="D304" t="s">
        <v>80</v>
      </c>
      <c r="E304" t="s">
        <v>81</v>
      </c>
      <c r="F304" t="s">
        <v>14</v>
      </c>
      <c r="G304">
        <v>76.959999999999994</v>
      </c>
      <c r="H304" t="s">
        <v>21</v>
      </c>
      <c r="I304" t="s">
        <v>84</v>
      </c>
      <c r="J304" t="s">
        <v>82</v>
      </c>
    </row>
    <row r="305" spans="1:10" x14ac:dyDescent="0.35">
      <c r="A305" t="s">
        <v>471</v>
      </c>
      <c r="B305" s="10">
        <v>45717</v>
      </c>
      <c r="C305" t="s">
        <v>113</v>
      </c>
      <c r="D305" t="s">
        <v>34</v>
      </c>
      <c r="E305" t="s">
        <v>40</v>
      </c>
      <c r="F305" t="s">
        <v>14</v>
      </c>
      <c r="G305">
        <v>130.96</v>
      </c>
      <c r="H305" t="s">
        <v>15</v>
      </c>
      <c r="I305" t="s">
        <v>16</v>
      </c>
      <c r="J305" t="s">
        <v>37</v>
      </c>
    </row>
    <row r="306" spans="1:10" x14ac:dyDescent="0.35">
      <c r="A306" t="s">
        <v>472</v>
      </c>
      <c r="B306" s="10">
        <v>45717</v>
      </c>
      <c r="C306" t="s">
        <v>143</v>
      </c>
      <c r="D306" t="s">
        <v>54</v>
      </c>
      <c r="E306" t="s">
        <v>55</v>
      </c>
      <c r="F306" t="s">
        <v>54</v>
      </c>
      <c r="G306">
        <v>667.65</v>
      </c>
      <c r="H306" t="s">
        <v>21</v>
      </c>
      <c r="I306" t="s">
        <v>36</v>
      </c>
      <c r="J306" t="s">
        <v>89</v>
      </c>
    </row>
    <row r="307" spans="1:10" x14ac:dyDescent="0.35">
      <c r="A307" t="s">
        <v>473</v>
      </c>
      <c r="B307" s="10">
        <v>45717</v>
      </c>
      <c r="C307" t="s">
        <v>73</v>
      </c>
      <c r="D307" t="s">
        <v>54</v>
      </c>
      <c r="E307" t="s">
        <v>74</v>
      </c>
      <c r="F307" t="s">
        <v>54</v>
      </c>
      <c r="G307">
        <v>2490.71</v>
      </c>
      <c r="H307" t="s">
        <v>98</v>
      </c>
      <c r="I307" t="s">
        <v>47</v>
      </c>
      <c r="J307" t="s">
        <v>65</v>
      </c>
    </row>
    <row r="308" spans="1:10" x14ac:dyDescent="0.35">
      <c r="A308" t="s">
        <v>474</v>
      </c>
      <c r="B308" s="10">
        <v>45717</v>
      </c>
      <c r="C308" t="s">
        <v>331</v>
      </c>
      <c r="D308" t="s">
        <v>29</v>
      </c>
      <c r="E308" t="s">
        <v>95</v>
      </c>
      <c r="F308" t="s">
        <v>14</v>
      </c>
      <c r="G308">
        <v>33.950000000000003</v>
      </c>
      <c r="H308" t="s">
        <v>15</v>
      </c>
      <c r="I308" t="s">
        <v>47</v>
      </c>
      <c r="J308" t="s">
        <v>151</v>
      </c>
    </row>
    <row r="309" spans="1:10" x14ac:dyDescent="0.35">
      <c r="A309" t="s">
        <v>475</v>
      </c>
      <c r="B309" s="10">
        <v>45717</v>
      </c>
      <c r="C309" t="s">
        <v>426</v>
      </c>
      <c r="D309" t="s">
        <v>69</v>
      </c>
      <c r="E309" t="s">
        <v>70</v>
      </c>
      <c r="F309" t="s">
        <v>14</v>
      </c>
      <c r="G309">
        <v>928.88</v>
      </c>
      <c r="H309" t="s">
        <v>15</v>
      </c>
      <c r="I309" t="s">
        <v>22</v>
      </c>
      <c r="J309" t="s">
        <v>396</v>
      </c>
    </row>
    <row r="310" spans="1:10" x14ac:dyDescent="0.35">
      <c r="A310" t="s">
        <v>476</v>
      </c>
      <c r="B310" s="10">
        <v>45717</v>
      </c>
      <c r="C310" t="s">
        <v>415</v>
      </c>
      <c r="D310" t="s">
        <v>12</v>
      </c>
      <c r="E310" t="s">
        <v>51</v>
      </c>
      <c r="F310" t="s">
        <v>14</v>
      </c>
      <c r="G310">
        <v>45.95</v>
      </c>
      <c r="H310" t="s">
        <v>21</v>
      </c>
      <c r="I310" t="s">
        <v>47</v>
      </c>
      <c r="J310" t="s">
        <v>77</v>
      </c>
    </row>
    <row r="311" spans="1:10" x14ac:dyDescent="0.35">
      <c r="A311" t="s">
        <v>477</v>
      </c>
      <c r="B311" s="10">
        <v>45717</v>
      </c>
      <c r="C311" t="s">
        <v>238</v>
      </c>
      <c r="D311" t="s">
        <v>34</v>
      </c>
      <c r="E311" t="s">
        <v>35</v>
      </c>
      <c r="F311" t="s">
        <v>14</v>
      </c>
      <c r="G311">
        <v>172.35</v>
      </c>
      <c r="H311" t="s">
        <v>15</v>
      </c>
      <c r="I311" t="s">
        <v>47</v>
      </c>
      <c r="J311" t="s">
        <v>239</v>
      </c>
    </row>
    <row r="312" spans="1:10" x14ac:dyDescent="0.35">
      <c r="A312" t="s">
        <v>478</v>
      </c>
      <c r="B312" s="10">
        <v>45717</v>
      </c>
      <c r="C312" t="s">
        <v>269</v>
      </c>
      <c r="D312" t="s">
        <v>34</v>
      </c>
      <c r="E312" t="s">
        <v>35</v>
      </c>
      <c r="F312" t="s">
        <v>14</v>
      </c>
      <c r="G312">
        <v>88.01</v>
      </c>
      <c r="H312" t="s">
        <v>98</v>
      </c>
      <c r="I312" t="s">
        <v>22</v>
      </c>
      <c r="J312" t="s">
        <v>123</v>
      </c>
    </row>
    <row r="313" spans="1:10" x14ac:dyDescent="0.35">
      <c r="A313" t="s">
        <v>479</v>
      </c>
      <c r="B313" s="10">
        <v>45718</v>
      </c>
      <c r="C313" t="s">
        <v>415</v>
      </c>
      <c r="D313" t="s">
        <v>12</v>
      </c>
      <c r="E313" t="s">
        <v>51</v>
      </c>
      <c r="F313" t="s">
        <v>14</v>
      </c>
      <c r="G313">
        <v>62.16</v>
      </c>
      <c r="H313" t="s">
        <v>15</v>
      </c>
      <c r="I313" t="s">
        <v>22</v>
      </c>
      <c r="J313" t="s">
        <v>77</v>
      </c>
    </row>
    <row r="314" spans="1:10" x14ac:dyDescent="0.35">
      <c r="A314" t="s">
        <v>480</v>
      </c>
      <c r="B314" s="10">
        <v>45718</v>
      </c>
      <c r="C314" t="s">
        <v>11</v>
      </c>
      <c r="D314" t="s">
        <v>12</v>
      </c>
      <c r="E314" t="s">
        <v>13</v>
      </c>
      <c r="F314" t="s">
        <v>14</v>
      </c>
      <c r="G314">
        <v>16.670000000000002</v>
      </c>
      <c r="H314" t="s">
        <v>21</v>
      </c>
      <c r="I314" t="s">
        <v>36</v>
      </c>
      <c r="J314" t="s">
        <v>17</v>
      </c>
    </row>
    <row r="315" spans="1:10" x14ac:dyDescent="0.35">
      <c r="A315" t="s">
        <v>481</v>
      </c>
      <c r="B315" s="10">
        <v>45718</v>
      </c>
      <c r="C315" t="s">
        <v>43</v>
      </c>
      <c r="D315" t="s">
        <v>12</v>
      </c>
      <c r="E315" t="s">
        <v>26</v>
      </c>
      <c r="F315" t="s">
        <v>14</v>
      </c>
      <c r="G315">
        <v>85.62</v>
      </c>
      <c r="H315" t="s">
        <v>15</v>
      </c>
      <c r="I315" t="s">
        <v>22</v>
      </c>
      <c r="J315" t="s">
        <v>44</v>
      </c>
    </row>
    <row r="316" spans="1:10" x14ac:dyDescent="0.35">
      <c r="A316" t="s">
        <v>482</v>
      </c>
      <c r="B316" s="10">
        <v>45718</v>
      </c>
      <c r="C316" t="s">
        <v>138</v>
      </c>
      <c r="D316" t="s">
        <v>12</v>
      </c>
      <c r="E316" t="s">
        <v>26</v>
      </c>
      <c r="F316" t="s">
        <v>14</v>
      </c>
      <c r="G316">
        <v>52.3</v>
      </c>
      <c r="H316" t="s">
        <v>15</v>
      </c>
      <c r="I316" t="s">
        <v>16</v>
      </c>
      <c r="J316" t="s">
        <v>77</v>
      </c>
    </row>
    <row r="317" spans="1:10" x14ac:dyDescent="0.35">
      <c r="A317" t="s">
        <v>483</v>
      </c>
      <c r="B317" s="10">
        <v>45719</v>
      </c>
      <c r="C317" t="s">
        <v>130</v>
      </c>
      <c r="D317" t="s">
        <v>12</v>
      </c>
      <c r="E317" t="s">
        <v>26</v>
      </c>
      <c r="F317" t="s">
        <v>14</v>
      </c>
      <c r="G317">
        <v>53.36</v>
      </c>
      <c r="H317" t="s">
        <v>21</v>
      </c>
      <c r="I317" t="s">
        <v>47</v>
      </c>
      <c r="J317" t="s">
        <v>48</v>
      </c>
    </row>
    <row r="318" spans="1:10" x14ac:dyDescent="0.35">
      <c r="A318" t="s">
        <v>484</v>
      </c>
      <c r="B318" s="10">
        <v>45719</v>
      </c>
      <c r="C318" t="s">
        <v>58</v>
      </c>
      <c r="D318" t="s">
        <v>59</v>
      </c>
      <c r="E318" t="s">
        <v>60</v>
      </c>
      <c r="F318" t="s">
        <v>14</v>
      </c>
      <c r="G318">
        <v>354.89</v>
      </c>
      <c r="H318" t="s">
        <v>15</v>
      </c>
      <c r="I318" t="s">
        <v>36</v>
      </c>
      <c r="J318" t="s">
        <v>61</v>
      </c>
    </row>
    <row r="319" spans="1:10" x14ac:dyDescent="0.35">
      <c r="A319" t="s">
        <v>485</v>
      </c>
      <c r="B319" s="10">
        <v>45719</v>
      </c>
      <c r="C319" t="s">
        <v>184</v>
      </c>
      <c r="D319" t="s">
        <v>59</v>
      </c>
      <c r="E319" t="s">
        <v>185</v>
      </c>
      <c r="F319" t="s">
        <v>14</v>
      </c>
      <c r="G319">
        <v>468.01</v>
      </c>
      <c r="H319" t="s">
        <v>21</v>
      </c>
      <c r="I319" t="s">
        <v>36</v>
      </c>
      <c r="J319" t="s">
        <v>61</v>
      </c>
    </row>
    <row r="320" spans="1:10" x14ac:dyDescent="0.35">
      <c r="A320" t="s">
        <v>486</v>
      </c>
      <c r="B320" s="10">
        <v>45719</v>
      </c>
      <c r="C320" t="s">
        <v>220</v>
      </c>
      <c r="D320" t="s">
        <v>59</v>
      </c>
      <c r="E320" t="s">
        <v>199</v>
      </c>
      <c r="F320" t="s">
        <v>14</v>
      </c>
      <c r="G320">
        <v>361.27</v>
      </c>
      <c r="H320" t="s">
        <v>21</v>
      </c>
      <c r="I320" t="s">
        <v>22</v>
      </c>
      <c r="J320" t="s">
        <v>211</v>
      </c>
    </row>
    <row r="321" spans="1:10" x14ac:dyDescent="0.35">
      <c r="A321" t="s">
        <v>487</v>
      </c>
      <c r="B321" s="10">
        <v>45719</v>
      </c>
      <c r="C321" t="s">
        <v>308</v>
      </c>
      <c r="D321" t="s">
        <v>54</v>
      </c>
      <c r="E321" t="s">
        <v>64</v>
      </c>
      <c r="F321" t="s">
        <v>54</v>
      </c>
      <c r="G321">
        <v>319.49</v>
      </c>
      <c r="H321" t="s">
        <v>15</v>
      </c>
      <c r="I321" t="s">
        <v>36</v>
      </c>
      <c r="J321" t="s">
        <v>89</v>
      </c>
    </row>
    <row r="322" spans="1:10" x14ac:dyDescent="0.35">
      <c r="A322" t="s">
        <v>488</v>
      </c>
      <c r="B322" s="10">
        <v>45719</v>
      </c>
      <c r="C322" t="s">
        <v>111</v>
      </c>
      <c r="D322" t="s">
        <v>12</v>
      </c>
      <c r="E322" t="s">
        <v>26</v>
      </c>
      <c r="F322" t="s">
        <v>14</v>
      </c>
      <c r="G322">
        <v>144.47999999999999</v>
      </c>
      <c r="H322" t="s">
        <v>15</v>
      </c>
      <c r="I322" t="s">
        <v>22</v>
      </c>
      <c r="J322" t="s">
        <v>23</v>
      </c>
    </row>
    <row r="323" spans="1:10" x14ac:dyDescent="0.35">
      <c r="A323" t="s">
        <v>489</v>
      </c>
      <c r="B323" s="10">
        <v>45720</v>
      </c>
      <c r="C323" t="s">
        <v>445</v>
      </c>
      <c r="D323" t="s">
        <v>101</v>
      </c>
      <c r="E323" t="s">
        <v>244</v>
      </c>
      <c r="F323" t="s">
        <v>14</v>
      </c>
      <c r="G323">
        <v>27.24</v>
      </c>
      <c r="H323" t="s">
        <v>15</v>
      </c>
      <c r="I323" t="s">
        <v>47</v>
      </c>
      <c r="J323" t="s">
        <v>103</v>
      </c>
    </row>
    <row r="324" spans="1:10" x14ac:dyDescent="0.35">
      <c r="A324" t="s">
        <v>490</v>
      </c>
      <c r="B324" s="10">
        <v>45720</v>
      </c>
      <c r="C324" t="s">
        <v>163</v>
      </c>
      <c r="D324" t="s">
        <v>80</v>
      </c>
      <c r="E324" t="s">
        <v>92</v>
      </c>
      <c r="F324" t="s">
        <v>14</v>
      </c>
      <c r="G324">
        <v>78.28</v>
      </c>
      <c r="H324" t="s">
        <v>21</v>
      </c>
      <c r="I324" t="s">
        <v>36</v>
      </c>
      <c r="J324" t="s">
        <v>118</v>
      </c>
    </row>
    <row r="325" spans="1:10" x14ac:dyDescent="0.35">
      <c r="A325" t="s">
        <v>491</v>
      </c>
      <c r="B325" s="10">
        <v>45720</v>
      </c>
      <c r="C325" t="s">
        <v>73</v>
      </c>
      <c r="D325" t="s">
        <v>54</v>
      </c>
      <c r="E325" t="s">
        <v>74</v>
      </c>
      <c r="F325" t="s">
        <v>54</v>
      </c>
      <c r="G325">
        <v>2294.36</v>
      </c>
      <c r="H325" t="s">
        <v>21</v>
      </c>
      <c r="I325" t="s">
        <v>36</v>
      </c>
      <c r="J325" t="s">
        <v>65</v>
      </c>
    </row>
    <row r="326" spans="1:10" x14ac:dyDescent="0.35">
      <c r="A326" t="s">
        <v>492</v>
      </c>
      <c r="B326" s="10">
        <v>45720</v>
      </c>
      <c r="C326" t="s">
        <v>138</v>
      </c>
      <c r="D326" t="s">
        <v>12</v>
      </c>
      <c r="E326" t="s">
        <v>26</v>
      </c>
      <c r="F326" t="s">
        <v>14</v>
      </c>
      <c r="G326">
        <v>52.42</v>
      </c>
      <c r="H326" t="s">
        <v>15</v>
      </c>
      <c r="I326" t="s">
        <v>22</v>
      </c>
      <c r="J326" t="s">
        <v>77</v>
      </c>
    </row>
    <row r="327" spans="1:10" x14ac:dyDescent="0.35">
      <c r="A327" t="s">
        <v>493</v>
      </c>
      <c r="B327" s="10">
        <v>45720</v>
      </c>
      <c r="C327" t="s">
        <v>376</v>
      </c>
      <c r="D327" t="s">
        <v>80</v>
      </c>
      <c r="E327" t="s">
        <v>117</v>
      </c>
      <c r="F327" t="s">
        <v>14</v>
      </c>
      <c r="G327">
        <v>47.67</v>
      </c>
      <c r="H327" t="s">
        <v>15</v>
      </c>
      <c r="I327" t="s">
        <v>22</v>
      </c>
      <c r="J327" t="s">
        <v>82</v>
      </c>
    </row>
    <row r="328" spans="1:10" x14ac:dyDescent="0.35">
      <c r="A328" t="s">
        <v>494</v>
      </c>
      <c r="B328" s="10">
        <v>45720</v>
      </c>
      <c r="C328" t="s">
        <v>175</v>
      </c>
      <c r="D328" t="s">
        <v>80</v>
      </c>
      <c r="E328" t="s">
        <v>92</v>
      </c>
      <c r="F328" t="s">
        <v>14</v>
      </c>
      <c r="G328">
        <v>54.99</v>
      </c>
      <c r="H328" t="s">
        <v>21</v>
      </c>
      <c r="I328" t="s">
        <v>22</v>
      </c>
      <c r="J328" t="s">
        <v>141</v>
      </c>
    </row>
    <row r="329" spans="1:10" x14ac:dyDescent="0.35">
      <c r="A329" t="s">
        <v>495</v>
      </c>
      <c r="B329" s="10">
        <v>45720</v>
      </c>
      <c r="C329" t="s">
        <v>198</v>
      </c>
      <c r="D329" t="s">
        <v>59</v>
      </c>
      <c r="E329" t="s">
        <v>199</v>
      </c>
      <c r="F329" t="s">
        <v>14</v>
      </c>
      <c r="G329">
        <v>269.99</v>
      </c>
      <c r="H329" t="s">
        <v>15</v>
      </c>
      <c r="I329" t="s">
        <v>84</v>
      </c>
      <c r="J329" t="s">
        <v>61</v>
      </c>
    </row>
    <row r="330" spans="1:10" x14ac:dyDescent="0.35">
      <c r="A330" t="s">
        <v>496</v>
      </c>
      <c r="B330" s="10">
        <v>45720</v>
      </c>
      <c r="C330" t="s">
        <v>272</v>
      </c>
      <c r="D330" t="s">
        <v>54</v>
      </c>
      <c r="E330" t="s">
        <v>55</v>
      </c>
      <c r="F330" t="s">
        <v>54</v>
      </c>
      <c r="G330">
        <v>695.88</v>
      </c>
      <c r="H330" t="s">
        <v>21</v>
      </c>
      <c r="I330" t="s">
        <v>16</v>
      </c>
      <c r="J330" t="s">
        <v>65</v>
      </c>
    </row>
    <row r="331" spans="1:10" x14ac:dyDescent="0.35">
      <c r="A331" t="s">
        <v>497</v>
      </c>
      <c r="B331" s="10">
        <v>45721</v>
      </c>
      <c r="C331" t="s">
        <v>11</v>
      </c>
      <c r="D331" t="s">
        <v>12</v>
      </c>
      <c r="E331" t="s">
        <v>13</v>
      </c>
      <c r="F331" t="s">
        <v>14</v>
      </c>
      <c r="G331">
        <v>51.92</v>
      </c>
      <c r="H331" t="s">
        <v>15</v>
      </c>
      <c r="I331" t="s">
        <v>22</v>
      </c>
      <c r="J331" t="s">
        <v>17</v>
      </c>
    </row>
    <row r="332" spans="1:10" x14ac:dyDescent="0.35">
      <c r="A332" t="s">
        <v>498</v>
      </c>
      <c r="B332" s="10">
        <v>45721</v>
      </c>
      <c r="C332" t="s">
        <v>19</v>
      </c>
      <c r="D332" t="s">
        <v>12</v>
      </c>
      <c r="E332" t="s">
        <v>13</v>
      </c>
      <c r="F332" t="s">
        <v>14</v>
      </c>
      <c r="G332">
        <v>23.23</v>
      </c>
      <c r="H332" t="s">
        <v>98</v>
      </c>
      <c r="I332" t="s">
        <v>47</v>
      </c>
      <c r="J332" t="s">
        <v>23</v>
      </c>
    </row>
    <row r="333" spans="1:10" x14ac:dyDescent="0.35">
      <c r="A333" t="s">
        <v>499</v>
      </c>
      <c r="B333" s="10">
        <v>45721</v>
      </c>
      <c r="C333" t="s">
        <v>50</v>
      </c>
      <c r="D333" t="s">
        <v>12</v>
      </c>
      <c r="E333" t="s">
        <v>51</v>
      </c>
      <c r="F333" t="s">
        <v>14</v>
      </c>
      <c r="G333">
        <v>39.42</v>
      </c>
      <c r="H333" t="s">
        <v>98</v>
      </c>
      <c r="I333" t="s">
        <v>84</v>
      </c>
      <c r="J333" t="s">
        <v>44</v>
      </c>
    </row>
    <row r="334" spans="1:10" x14ac:dyDescent="0.35">
      <c r="A334" t="s">
        <v>500</v>
      </c>
      <c r="B334" s="10">
        <v>45721</v>
      </c>
      <c r="C334" t="s">
        <v>140</v>
      </c>
      <c r="D334" t="s">
        <v>80</v>
      </c>
      <c r="E334" t="s">
        <v>81</v>
      </c>
      <c r="F334" t="s">
        <v>14</v>
      </c>
      <c r="G334">
        <v>184.02</v>
      </c>
      <c r="H334" t="s">
        <v>15</v>
      </c>
      <c r="I334" t="s">
        <v>22</v>
      </c>
      <c r="J334" t="s">
        <v>141</v>
      </c>
    </row>
    <row r="335" spans="1:10" x14ac:dyDescent="0.35">
      <c r="A335" t="s">
        <v>501</v>
      </c>
      <c r="B335" s="10">
        <v>45721</v>
      </c>
      <c r="C335" t="s">
        <v>350</v>
      </c>
      <c r="D335" t="s">
        <v>29</v>
      </c>
      <c r="E335" t="s">
        <v>151</v>
      </c>
      <c r="F335" t="s">
        <v>14</v>
      </c>
      <c r="G335">
        <v>29.14</v>
      </c>
      <c r="H335" t="s">
        <v>15</v>
      </c>
      <c r="I335" t="s">
        <v>36</v>
      </c>
      <c r="J335" t="s">
        <v>158</v>
      </c>
    </row>
    <row r="336" spans="1:10" x14ac:dyDescent="0.35">
      <c r="A336" t="s">
        <v>502</v>
      </c>
      <c r="B336" s="10">
        <v>45721</v>
      </c>
      <c r="C336" t="s">
        <v>63</v>
      </c>
      <c r="D336" t="s">
        <v>54</v>
      </c>
      <c r="E336" t="s">
        <v>64</v>
      </c>
      <c r="F336" t="s">
        <v>54</v>
      </c>
      <c r="G336">
        <v>369.85</v>
      </c>
      <c r="H336" t="s">
        <v>15</v>
      </c>
      <c r="I336" t="s">
        <v>22</v>
      </c>
      <c r="J336" t="s">
        <v>65</v>
      </c>
    </row>
    <row r="337" spans="1:10" x14ac:dyDescent="0.35">
      <c r="A337" t="s">
        <v>503</v>
      </c>
      <c r="B337" s="10">
        <v>45722</v>
      </c>
      <c r="C337" t="s">
        <v>198</v>
      </c>
      <c r="D337" t="s">
        <v>59</v>
      </c>
      <c r="E337" t="s">
        <v>199</v>
      </c>
      <c r="F337" t="s">
        <v>14</v>
      </c>
      <c r="G337">
        <v>479.88</v>
      </c>
      <c r="H337" t="s">
        <v>15</v>
      </c>
      <c r="I337" t="s">
        <v>16</v>
      </c>
      <c r="J337" t="s">
        <v>61</v>
      </c>
    </row>
    <row r="338" spans="1:10" x14ac:dyDescent="0.35">
      <c r="A338" t="s">
        <v>504</v>
      </c>
      <c r="B338" s="10">
        <v>45722</v>
      </c>
      <c r="C338" t="s">
        <v>415</v>
      </c>
      <c r="D338" t="s">
        <v>12</v>
      </c>
      <c r="E338" t="s">
        <v>51</v>
      </c>
      <c r="F338" t="s">
        <v>14</v>
      </c>
      <c r="G338">
        <v>79.260000000000005</v>
      </c>
      <c r="H338" t="s">
        <v>21</v>
      </c>
      <c r="I338" t="s">
        <v>47</v>
      </c>
      <c r="J338" t="s">
        <v>77</v>
      </c>
    </row>
    <row r="339" spans="1:10" x14ac:dyDescent="0.35">
      <c r="A339" t="s">
        <v>505</v>
      </c>
      <c r="B339" s="10">
        <v>45722</v>
      </c>
      <c r="C339" t="s">
        <v>210</v>
      </c>
      <c r="D339" t="s">
        <v>59</v>
      </c>
      <c r="E339" t="s">
        <v>185</v>
      </c>
      <c r="F339" t="s">
        <v>14</v>
      </c>
      <c r="G339">
        <v>287.11</v>
      </c>
      <c r="H339" t="s">
        <v>15</v>
      </c>
      <c r="I339" t="s">
        <v>47</v>
      </c>
      <c r="J339" t="s">
        <v>211</v>
      </c>
    </row>
    <row r="340" spans="1:10" x14ac:dyDescent="0.35">
      <c r="A340" t="s">
        <v>506</v>
      </c>
      <c r="B340" s="10">
        <v>45722</v>
      </c>
      <c r="C340" t="s">
        <v>76</v>
      </c>
      <c r="D340" t="s">
        <v>12</v>
      </c>
      <c r="E340" t="s">
        <v>13</v>
      </c>
      <c r="F340" t="s">
        <v>14</v>
      </c>
      <c r="G340">
        <v>70.75</v>
      </c>
      <c r="H340" t="s">
        <v>21</v>
      </c>
      <c r="I340" t="s">
        <v>16</v>
      </c>
      <c r="J340" t="s">
        <v>77</v>
      </c>
    </row>
    <row r="341" spans="1:10" x14ac:dyDescent="0.35">
      <c r="A341" t="s">
        <v>507</v>
      </c>
      <c r="B341" s="10">
        <v>45722</v>
      </c>
      <c r="C341" t="s">
        <v>135</v>
      </c>
      <c r="D341" t="s">
        <v>101</v>
      </c>
      <c r="E341" t="s">
        <v>102</v>
      </c>
      <c r="F341" t="s">
        <v>14</v>
      </c>
      <c r="G341">
        <v>49.55</v>
      </c>
      <c r="H341" t="s">
        <v>21</v>
      </c>
      <c r="I341" t="s">
        <v>84</v>
      </c>
      <c r="J341" t="s">
        <v>136</v>
      </c>
    </row>
    <row r="342" spans="1:10" x14ac:dyDescent="0.35">
      <c r="A342" t="s">
        <v>508</v>
      </c>
      <c r="B342" s="10">
        <v>45722</v>
      </c>
      <c r="C342" t="s">
        <v>204</v>
      </c>
      <c r="D342" t="s">
        <v>12</v>
      </c>
      <c r="E342" t="s">
        <v>51</v>
      </c>
      <c r="F342" t="s">
        <v>14</v>
      </c>
      <c r="G342">
        <v>18.79</v>
      </c>
      <c r="H342" t="s">
        <v>15</v>
      </c>
      <c r="I342" t="s">
        <v>36</v>
      </c>
      <c r="J342" t="s">
        <v>23</v>
      </c>
    </row>
    <row r="343" spans="1:10" x14ac:dyDescent="0.35">
      <c r="A343" t="s">
        <v>509</v>
      </c>
      <c r="B343" s="10">
        <v>45722</v>
      </c>
      <c r="C343" t="s">
        <v>150</v>
      </c>
      <c r="D343" t="s">
        <v>29</v>
      </c>
      <c r="E343" t="s">
        <v>30</v>
      </c>
      <c r="F343" t="s">
        <v>14</v>
      </c>
      <c r="G343">
        <v>41.56</v>
      </c>
      <c r="H343" t="s">
        <v>15</v>
      </c>
      <c r="I343" t="s">
        <v>22</v>
      </c>
      <c r="J343" t="s">
        <v>151</v>
      </c>
    </row>
    <row r="344" spans="1:10" x14ac:dyDescent="0.35">
      <c r="A344" t="s">
        <v>510</v>
      </c>
      <c r="B344" s="10">
        <v>45722</v>
      </c>
      <c r="C344" t="s">
        <v>296</v>
      </c>
      <c r="D344" t="s">
        <v>101</v>
      </c>
      <c r="E344" t="s">
        <v>136</v>
      </c>
      <c r="F344" t="s">
        <v>14</v>
      </c>
      <c r="G344">
        <v>76.599999999999994</v>
      </c>
      <c r="H344" t="s">
        <v>21</v>
      </c>
      <c r="I344" t="s">
        <v>22</v>
      </c>
      <c r="J344" t="s">
        <v>136</v>
      </c>
    </row>
    <row r="345" spans="1:10" x14ac:dyDescent="0.35">
      <c r="A345" t="s">
        <v>511</v>
      </c>
      <c r="B345" s="10">
        <v>45722</v>
      </c>
      <c r="C345" t="s">
        <v>308</v>
      </c>
      <c r="D345" t="s">
        <v>54</v>
      </c>
      <c r="E345" t="s">
        <v>64</v>
      </c>
      <c r="F345" t="s">
        <v>54</v>
      </c>
      <c r="G345">
        <v>322.26</v>
      </c>
      <c r="H345" t="s">
        <v>15</v>
      </c>
      <c r="I345" t="s">
        <v>22</v>
      </c>
      <c r="J345" t="s">
        <v>89</v>
      </c>
    </row>
    <row r="346" spans="1:10" x14ac:dyDescent="0.35">
      <c r="A346" t="s">
        <v>512</v>
      </c>
      <c r="B346" s="10">
        <v>45723</v>
      </c>
      <c r="C346" t="s">
        <v>79</v>
      </c>
      <c r="D346" t="s">
        <v>80</v>
      </c>
      <c r="E346" t="s">
        <v>81</v>
      </c>
      <c r="F346" t="s">
        <v>14</v>
      </c>
      <c r="G346">
        <v>62.56</v>
      </c>
      <c r="H346" t="s">
        <v>15</v>
      </c>
      <c r="I346" t="s">
        <v>36</v>
      </c>
      <c r="J346" t="s">
        <v>82</v>
      </c>
    </row>
    <row r="347" spans="1:10" x14ac:dyDescent="0.35">
      <c r="A347" t="s">
        <v>513</v>
      </c>
      <c r="B347" s="10">
        <v>45723</v>
      </c>
      <c r="C347" t="s">
        <v>189</v>
      </c>
      <c r="D347" t="s">
        <v>34</v>
      </c>
      <c r="E347" t="s">
        <v>122</v>
      </c>
      <c r="F347" t="s">
        <v>14</v>
      </c>
      <c r="G347">
        <v>194.54</v>
      </c>
      <c r="H347" t="s">
        <v>98</v>
      </c>
      <c r="I347" t="s">
        <v>22</v>
      </c>
      <c r="J347" t="s">
        <v>37</v>
      </c>
    </row>
    <row r="348" spans="1:10" x14ac:dyDescent="0.35">
      <c r="A348" t="s">
        <v>514</v>
      </c>
      <c r="B348" s="10">
        <v>45723</v>
      </c>
      <c r="C348" t="s">
        <v>217</v>
      </c>
      <c r="D348" t="s">
        <v>80</v>
      </c>
      <c r="E348" t="s">
        <v>81</v>
      </c>
      <c r="F348" t="s">
        <v>14</v>
      </c>
      <c r="G348">
        <v>119.89</v>
      </c>
      <c r="H348" t="s">
        <v>15</v>
      </c>
      <c r="I348" t="s">
        <v>22</v>
      </c>
      <c r="J348" t="s">
        <v>180</v>
      </c>
    </row>
    <row r="349" spans="1:10" x14ac:dyDescent="0.35">
      <c r="A349" t="s">
        <v>515</v>
      </c>
      <c r="B349" s="10">
        <v>45723</v>
      </c>
      <c r="C349" t="s">
        <v>177</v>
      </c>
      <c r="D349" t="s">
        <v>54</v>
      </c>
      <c r="E349" t="s">
        <v>74</v>
      </c>
      <c r="F349" t="s">
        <v>54</v>
      </c>
      <c r="G349">
        <v>2438.39</v>
      </c>
      <c r="H349" t="s">
        <v>15</v>
      </c>
      <c r="I349" t="s">
        <v>22</v>
      </c>
      <c r="J349" t="s">
        <v>56</v>
      </c>
    </row>
    <row r="350" spans="1:10" x14ac:dyDescent="0.35">
      <c r="A350" t="s">
        <v>516</v>
      </c>
      <c r="B350" s="10">
        <v>45723</v>
      </c>
      <c r="C350" t="s">
        <v>206</v>
      </c>
      <c r="D350" t="s">
        <v>29</v>
      </c>
      <c r="E350" t="s">
        <v>95</v>
      </c>
      <c r="F350" t="s">
        <v>14</v>
      </c>
      <c r="G350">
        <v>42.66</v>
      </c>
      <c r="H350" t="s">
        <v>15</v>
      </c>
      <c r="I350" t="s">
        <v>47</v>
      </c>
      <c r="J350" t="s">
        <v>31</v>
      </c>
    </row>
    <row r="351" spans="1:10" x14ac:dyDescent="0.35">
      <c r="A351" t="s">
        <v>517</v>
      </c>
      <c r="B351" s="10">
        <v>45723</v>
      </c>
      <c r="C351" t="s">
        <v>331</v>
      </c>
      <c r="D351" t="s">
        <v>29</v>
      </c>
      <c r="E351" t="s">
        <v>95</v>
      </c>
      <c r="F351" t="s">
        <v>14</v>
      </c>
      <c r="G351">
        <v>108.96</v>
      </c>
      <c r="H351" t="s">
        <v>21</v>
      </c>
      <c r="I351" t="s">
        <v>36</v>
      </c>
      <c r="J351" t="s">
        <v>151</v>
      </c>
    </row>
    <row r="352" spans="1:10" x14ac:dyDescent="0.35">
      <c r="A352" t="s">
        <v>518</v>
      </c>
      <c r="B352" s="10">
        <v>45723</v>
      </c>
      <c r="C352" t="s">
        <v>281</v>
      </c>
      <c r="D352" t="s">
        <v>34</v>
      </c>
      <c r="E352" t="s">
        <v>40</v>
      </c>
      <c r="F352" t="s">
        <v>14</v>
      </c>
      <c r="G352">
        <v>51.9</v>
      </c>
      <c r="H352" t="s">
        <v>15</v>
      </c>
      <c r="I352" t="s">
        <v>22</v>
      </c>
      <c r="J352" t="s">
        <v>123</v>
      </c>
    </row>
    <row r="353" spans="1:10" x14ac:dyDescent="0.35">
      <c r="A353" t="s">
        <v>519</v>
      </c>
      <c r="B353" s="10">
        <v>45723</v>
      </c>
      <c r="C353" t="s">
        <v>256</v>
      </c>
      <c r="D353" t="s">
        <v>34</v>
      </c>
      <c r="E353" t="s">
        <v>40</v>
      </c>
      <c r="F353" t="s">
        <v>14</v>
      </c>
      <c r="G353">
        <v>133.34</v>
      </c>
      <c r="H353" t="s">
        <v>98</v>
      </c>
      <c r="I353" t="s">
        <v>22</v>
      </c>
      <c r="J353" t="s">
        <v>239</v>
      </c>
    </row>
    <row r="354" spans="1:10" x14ac:dyDescent="0.35">
      <c r="A354" t="s">
        <v>520</v>
      </c>
      <c r="B354" s="10">
        <v>45724</v>
      </c>
      <c r="C354" t="s">
        <v>194</v>
      </c>
      <c r="D354" t="s">
        <v>101</v>
      </c>
      <c r="E354" t="s">
        <v>136</v>
      </c>
      <c r="F354" t="s">
        <v>14</v>
      </c>
      <c r="G354">
        <v>134.72999999999999</v>
      </c>
      <c r="H354" t="s">
        <v>15</v>
      </c>
      <c r="I354" t="s">
        <v>84</v>
      </c>
      <c r="J354" t="s">
        <v>103</v>
      </c>
    </row>
    <row r="355" spans="1:10" x14ac:dyDescent="0.35">
      <c r="A355" t="s">
        <v>521</v>
      </c>
      <c r="B355" s="10">
        <v>45724</v>
      </c>
      <c r="C355" t="s">
        <v>220</v>
      </c>
      <c r="D355" t="s">
        <v>59</v>
      </c>
      <c r="E355" t="s">
        <v>199</v>
      </c>
      <c r="F355" t="s">
        <v>14</v>
      </c>
      <c r="G355">
        <v>130.74</v>
      </c>
      <c r="H355" t="s">
        <v>21</v>
      </c>
      <c r="I355" t="s">
        <v>36</v>
      </c>
      <c r="J355" t="s">
        <v>211</v>
      </c>
    </row>
    <row r="356" spans="1:10" x14ac:dyDescent="0.35">
      <c r="A356" t="s">
        <v>522</v>
      </c>
      <c r="B356" s="10">
        <v>45724</v>
      </c>
      <c r="C356" t="s">
        <v>204</v>
      </c>
      <c r="D356" t="s">
        <v>12</v>
      </c>
      <c r="E356" t="s">
        <v>51</v>
      </c>
      <c r="F356" t="s">
        <v>14</v>
      </c>
      <c r="G356">
        <v>40.380000000000003</v>
      </c>
      <c r="H356" t="s">
        <v>15</v>
      </c>
      <c r="I356" t="s">
        <v>22</v>
      </c>
      <c r="J356" t="s">
        <v>23</v>
      </c>
    </row>
    <row r="357" spans="1:10" x14ac:dyDescent="0.35">
      <c r="A357" t="s">
        <v>523</v>
      </c>
      <c r="B357" s="10">
        <v>45724</v>
      </c>
      <c r="C357" t="s">
        <v>426</v>
      </c>
      <c r="D357" t="s">
        <v>69</v>
      </c>
      <c r="E357" t="s">
        <v>70</v>
      </c>
      <c r="F357" t="s">
        <v>14</v>
      </c>
      <c r="G357">
        <v>99.35</v>
      </c>
      <c r="H357" t="s">
        <v>15</v>
      </c>
      <c r="I357" t="s">
        <v>36</v>
      </c>
      <c r="J357" t="s">
        <v>396</v>
      </c>
    </row>
    <row r="358" spans="1:10" x14ac:dyDescent="0.35">
      <c r="A358" t="s">
        <v>524</v>
      </c>
      <c r="B358" s="10">
        <v>45724</v>
      </c>
      <c r="C358" t="s">
        <v>28</v>
      </c>
      <c r="D358" t="s">
        <v>29</v>
      </c>
      <c r="E358" t="s">
        <v>30</v>
      </c>
      <c r="F358" t="s">
        <v>14</v>
      </c>
      <c r="G358">
        <v>27.47</v>
      </c>
      <c r="H358" t="s">
        <v>15</v>
      </c>
      <c r="I358" t="s">
        <v>84</v>
      </c>
      <c r="J358" t="s">
        <v>31</v>
      </c>
    </row>
    <row r="359" spans="1:10" x14ac:dyDescent="0.35">
      <c r="A359" t="s">
        <v>525</v>
      </c>
      <c r="B359" s="10">
        <v>45724</v>
      </c>
      <c r="C359" t="s">
        <v>46</v>
      </c>
      <c r="D359" t="s">
        <v>12</v>
      </c>
      <c r="E359" t="s">
        <v>13</v>
      </c>
      <c r="F359" t="s">
        <v>14</v>
      </c>
      <c r="G359">
        <v>25.83</v>
      </c>
      <c r="H359" t="s">
        <v>15</v>
      </c>
      <c r="I359" t="s">
        <v>36</v>
      </c>
      <c r="J359" t="s">
        <v>48</v>
      </c>
    </row>
    <row r="360" spans="1:10" x14ac:dyDescent="0.35">
      <c r="A360" t="s">
        <v>526</v>
      </c>
      <c r="B360" s="10">
        <v>45724</v>
      </c>
      <c r="C360" t="s">
        <v>138</v>
      </c>
      <c r="D360" t="s">
        <v>12</v>
      </c>
      <c r="E360" t="s">
        <v>26</v>
      </c>
      <c r="F360" t="s">
        <v>14</v>
      </c>
      <c r="G360">
        <v>39.89</v>
      </c>
      <c r="H360" t="s">
        <v>21</v>
      </c>
      <c r="I360" t="s">
        <v>22</v>
      </c>
      <c r="J360" t="s">
        <v>77</v>
      </c>
    </row>
    <row r="361" spans="1:10" x14ac:dyDescent="0.35">
      <c r="A361" t="s">
        <v>527</v>
      </c>
      <c r="B361" s="10">
        <v>45724</v>
      </c>
      <c r="C361" t="s">
        <v>220</v>
      </c>
      <c r="D361" t="s">
        <v>59</v>
      </c>
      <c r="E361" t="s">
        <v>199</v>
      </c>
      <c r="F361" t="s">
        <v>14</v>
      </c>
      <c r="G361">
        <v>314.60000000000002</v>
      </c>
      <c r="H361" t="s">
        <v>15</v>
      </c>
      <c r="I361" t="s">
        <v>22</v>
      </c>
      <c r="J361" t="s">
        <v>211</v>
      </c>
    </row>
    <row r="362" spans="1:10" x14ac:dyDescent="0.35">
      <c r="A362" t="s">
        <v>528</v>
      </c>
      <c r="B362" s="10">
        <v>45724</v>
      </c>
      <c r="C362" t="s">
        <v>25</v>
      </c>
      <c r="D362" t="s">
        <v>12</v>
      </c>
      <c r="E362" t="s">
        <v>26</v>
      </c>
      <c r="F362" t="s">
        <v>14</v>
      </c>
      <c r="G362">
        <v>47.37</v>
      </c>
      <c r="H362" t="s">
        <v>15</v>
      </c>
      <c r="I362" t="s">
        <v>47</v>
      </c>
      <c r="J362" t="s">
        <v>17</v>
      </c>
    </row>
    <row r="363" spans="1:10" x14ac:dyDescent="0.35">
      <c r="A363" t="s">
        <v>529</v>
      </c>
      <c r="B363" s="10">
        <v>45725</v>
      </c>
      <c r="C363" t="s">
        <v>11</v>
      </c>
      <c r="D363" t="s">
        <v>12</v>
      </c>
      <c r="E363" t="s">
        <v>13</v>
      </c>
      <c r="F363" t="s">
        <v>14</v>
      </c>
      <c r="G363">
        <v>70.680000000000007</v>
      </c>
      <c r="H363" t="s">
        <v>21</v>
      </c>
      <c r="I363" t="s">
        <v>22</v>
      </c>
      <c r="J363" t="s">
        <v>17</v>
      </c>
    </row>
    <row r="364" spans="1:10" x14ac:dyDescent="0.35">
      <c r="A364" t="s">
        <v>530</v>
      </c>
      <c r="B364" s="10">
        <v>45725</v>
      </c>
      <c r="C364" t="s">
        <v>53</v>
      </c>
      <c r="D364" t="s">
        <v>54</v>
      </c>
      <c r="E364" t="s">
        <v>55</v>
      </c>
      <c r="F364" t="s">
        <v>54</v>
      </c>
      <c r="G364">
        <v>764.19</v>
      </c>
      <c r="H364" t="s">
        <v>15</v>
      </c>
      <c r="I364" t="s">
        <v>16</v>
      </c>
      <c r="J364" t="s">
        <v>56</v>
      </c>
    </row>
    <row r="365" spans="1:10" x14ac:dyDescent="0.35">
      <c r="A365" t="s">
        <v>531</v>
      </c>
      <c r="B365" s="10">
        <v>45725</v>
      </c>
      <c r="C365" t="s">
        <v>46</v>
      </c>
      <c r="D365" t="s">
        <v>12</v>
      </c>
      <c r="E365" t="s">
        <v>13</v>
      </c>
      <c r="F365" t="s">
        <v>14</v>
      </c>
      <c r="G365">
        <v>18.73</v>
      </c>
      <c r="H365" t="s">
        <v>21</v>
      </c>
      <c r="I365" t="s">
        <v>47</v>
      </c>
      <c r="J365" t="s">
        <v>48</v>
      </c>
    </row>
    <row r="366" spans="1:10" x14ac:dyDescent="0.35">
      <c r="A366" t="s">
        <v>532</v>
      </c>
      <c r="B366" s="10">
        <v>45726</v>
      </c>
      <c r="C366" t="s">
        <v>76</v>
      </c>
      <c r="D366" t="s">
        <v>12</v>
      </c>
      <c r="E366" t="s">
        <v>13</v>
      </c>
      <c r="F366" t="s">
        <v>14</v>
      </c>
      <c r="G366">
        <v>12.6</v>
      </c>
      <c r="H366" t="s">
        <v>21</v>
      </c>
      <c r="I366" t="s">
        <v>22</v>
      </c>
      <c r="J366" t="s">
        <v>77</v>
      </c>
    </row>
    <row r="367" spans="1:10" x14ac:dyDescent="0.35">
      <c r="A367" t="s">
        <v>533</v>
      </c>
      <c r="B367" s="10">
        <v>45726</v>
      </c>
      <c r="C367" t="s">
        <v>43</v>
      </c>
      <c r="D367" t="s">
        <v>12</v>
      </c>
      <c r="E367" t="s">
        <v>26</v>
      </c>
      <c r="F367" t="s">
        <v>14</v>
      </c>
      <c r="G367">
        <v>45.73</v>
      </c>
      <c r="H367" t="s">
        <v>98</v>
      </c>
      <c r="I367" t="s">
        <v>22</v>
      </c>
      <c r="J367" t="s">
        <v>44</v>
      </c>
    </row>
    <row r="368" spans="1:10" x14ac:dyDescent="0.35">
      <c r="A368" t="s">
        <v>534</v>
      </c>
      <c r="B368" s="10">
        <v>45726</v>
      </c>
      <c r="C368" t="s">
        <v>445</v>
      </c>
      <c r="D368" t="s">
        <v>101</v>
      </c>
      <c r="E368" t="s">
        <v>244</v>
      </c>
      <c r="F368" t="s">
        <v>14</v>
      </c>
      <c r="G368">
        <v>47.53</v>
      </c>
      <c r="H368" t="s">
        <v>15</v>
      </c>
      <c r="I368" t="s">
        <v>16</v>
      </c>
      <c r="J368" t="s">
        <v>103</v>
      </c>
    </row>
    <row r="369" spans="1:10" x14ac:dyDescent="0.35">
      <c r="A369" t="s">
        <v>535</v>
      </c>
      <c r="B369" s="10">
        <v>45726</v>
      </c>
      <c r="C369" t="s">
        <v>33</v>
      </c>
      <c r="D369" t="s">
        <v>34</v>
      </c>
      <c r="E369" t="s">
        <v>35</v>
      </c>
      <c r="F369" t="s">
        <v>14</v>
      </c>
      <c r="G369">
        <v>125.34</v>
      </c>
      <c r="H369" t="s">
        <v>15</v>
      </c>
      <c r="I369" t="s">
        <v>22</v>
      </c>
      <c r="J369" t="s">
        <v>37</v>
      </c>
    </row>
    <row r="370" spans="1:10" x14ac:dyDescent="0.35">
      <c r="A370" t="s">
        <v>536</v>
      </c>
      <c r="B370" s="10">
        <v>45726</v>
      </c>
      <c r="C370" t="s">
        <v>411</v>
      </c>
      <c r="D370" t="s">
        <v>29</v>
      </c>
      <c r="E370" t="s">
        <v>151</v>
      </c>
      <c r="F370" t="s">
        <v>14</v>
      </c>
      <c r="G370">
        <v>18.25</v>
      </c>
      <c r="H370" t="s">
        <v>15</v>
      </c>
      <c r="I370" t="s">
        <v>22</v>
      </c>
      <c r="J370" t="s">
        <v>151</v>
      </c>
    </row>
    <row r="371" spans="1:10" x14ac:dyDescent="0.35">
      <c r="A371" t="s">
        <v>537</v>
      </c>
      <c r="B371" s="10">
        <v>45726</v>
      </c>
      <c r="C371" t="s">
        <v>177</v>
      </c>
      <c r="D371" t="s">
        <v>54</v>
      </c>
      <c r="E371" t="s">
        <v>74</v>
      </c>
      <c r="F371" t="s">
        <v>54</v>
      </c>
      <c r="G371">
        <v>2613.88</v>
      </c>
      <c r="H371" t="s">
        <v>21</v>
      </c>
      <c r="I371" t="s">
        <v>36</v>
      </c>
      <c r="J371" t="s">
        <v>56</v>
      </c>
    </row>
    <row r="372" spans="1:10" x14ac:dyDescent="0.35">
      <c r="A372" t="s">
        <v>538</v>
      </c>
      <c r="B372" s="10">
        <v>45727</v>
      </c>
      <c r="C372" t="s">
        <v>157</v>
      </c>
      <c r="D372" t="s">
        <v>29</v>
      </c>
      <c r="E372" t="s">
        <v>95</v>
      </c>
      <c r="F372" t="s">
        <v>14</v>
      </c>
      <c r="G372">
        <v>66.28</v>
      </c>
      <c r="H372" t="s">
        <v>15</v>
      </c>
      <c r="I372" t="s">
        <v>84</v>
      </c>
      <c r="J372" t="s">
        <v>158</v>
      </c>
    </row>
    <row r="373" spans="1:10" x14ac:dyDescent="0.35">
      <c r="A373" t="s">
        <v>539</v>
      </c>
      <c r="B373" s="10">
        <v>45727</v>
      </c>
      <c r="C373" t="s">
        <v>376</v>
      </c>
      <c r="D373" t="s">
        <v>80</v>
      </c>
      <c r="E373" t="s">
        <v>117</v>
      </c>
      <c r="F373" t="s">
        <v>14</v>
      </c>
      <c r="G373">
        <v>180.74</v>
      </c>
      <c r="H373" t="s">
        <v>15</v>
      </c>
      <c r="I373" t="s">
        <v>22</v>
      </c>
      <c r="J373" t="s">
        <v>82</v>
      </c>
    </row>
    <row r="374" spans="1:10" x14ac:dyDescent="0.35">
      <c r="A374" t="s">
        <v>540</v>
      </c>
      <c r="B374" s="10">
        <v>45727</v>
      </c>
      <c r="C374" t="s">
        <v>143</v>
      </c>
      <c r="D374" t="s">
        <v>54</v>
      </c>
      <c r="E374" t="s">
        <v>55</v>
      </c>
      <c r="F374" t="s">
        <v>54</v>
      </c>
      <c r="G374">
        <v>652.79999999999995</v>
      </c>
      <c r="H374" t="s">
        <v>98</v>
      </c>
      <c r="I374" t="s">
        <v>47</v>
      </c>
      <c r="J374" t="s">
        <v>89</v>
      </c>
    </row>
    <row r="375" spans="1:10" x14ac:dyDescent="0.35">
      <c r="A375" t="s">
        <v>541</v>
      </c>
      <c r="B375" s="10">
        <v>45728</v>
      </c>
      <c r="C375" t="s">
        <v>63</v>
      </c>
      <c r="D375" t="s">
        <v>54</v>
      </c>
      <c r="E375" t="s">
        <v>64</v>
      </c>
      <c r="F375" t="s">
        <v>54</v>
      </c>
      <c r="G375">
        <v>396.18</v>
      </c>
      <c r="H375" t="s">
        <v>15</v>
      </c>
      <c r="I375" t="s">
        <v>47</v>
      </c>
      <c r="J375" t="s">
        <v>65</v>
      </c>
    </row>
    <row r="376" spans="1:10" x14ac:dyDescent="0.35">
      <c r="A376" t="s">
        <v>542</v>
      </c>
      <c r="B376" s="10">
        <v>45728</v>
      </c>
      <c r="C376" t="s">
        <v>543</v>
      </c>
      <c r="D376" t="s">
        <v>69</v>
      </c>
      <c r="E376" t="s">
        <v>70</v>
      </c>
      <c r="F376" t="s">
        <v>14</v>
      </c>
      <c r="G376">
        <v>199.47</v>
      </c>
      <c r="H376" t="s">
        <v>15</v>
      </c>
      <c r="I376" t="s">
        <v>16</v>
      </c>
      <c r="J376" t="s">
        <v>292</v>
      </c>
    </row>
    <row r="377" spans="1:10" x14ac:dyDescent="0.35">
      <c r="A377" t="s">
        <v>544</v>
      </c>
      <c r="B377" s="10">
        <v>45728</v>
      </c>
      <c r="C377" t="s">
        <v>204</v>
      </c>
      <c r="D377" t="s">
        <v>12</v>
      </c>
      <c r="E377" t="s">
        <v>51</v>
      </c>
      <c r="F377" t="s">
        <v>14</v>
      </c>
      <c r="G377">
        <v>180</v>
      </c>
      <c r="H377" t="s">
        <v>15</v>
      </c>
      <c r="I377" t="s">
        <v>36</v>
      </c>
      <c r="J377" t="s">
        <v>23</v>
      </c>
    </row>
    <row r="378" spans="1:10" x14ac:dyDescent="0.35">
      <c r="A378" t="s">
        <v>545</v>
      </c>
      <c r="B378" s="10">
        <v>45728</v>
      </c>
      <c r="C378" t="s">
        <v>198</v>
      </c>
      <c r="D378" t="s">
        <v>59</v>
      </c>
      <c r="E378" t="s">
        <v>199</v>
      </c>
      <c r="F378" t="s">
        <v>14</v>
      </c>
      <c r="G378">
        <v>87.41</v>
      </c>
      <c r="H378" t="s">
        <v>15</v>
      </c>
      <c r="I378" t="s">
        <v>36</v>
      </c>
      <c r="J378" t="s">
        <v>61</v>
      </c>
    </row>
    <row r="379" spans="1:10" x14ac:dyDescent="0.35">
      <c r="A379" t="s">
        <v>546</v>
      </c>
      <c r="B379" s="10">
        <v>45728</v>
      </c>
      <c r="C379" t="s">
        <v>138</v>
      </c>
      <c r="D379" t="s">
        <v>12</v>
      </c>
      <c r="E379" t="s">
        <v>26</v>
      </c>
      <c r="F379" t="s">
        <v>14</v>
      </c>
      <c r="G379">
        <v>23.46</v>
      </c>
      <c r="H379" t="s">
        <v>15</v>
      </c>
      <c r="I379" t="s">
        <v>84</v>
      </c>
      <c r="J379" t="s">
        <v>77</v>
      </c>
    </row>
    <row r="380" spans="1:10" x14ac:dyDescent="0.35">
      <c r="A380" t="s">
        <v>547</v>
      </c>
      <c r="B380" s="10">
        <v>45728</v>
      </c>
      <c r="C380" t="s">
        <v>88</v>
      </c>
      <c r="D380" t="s">
        <v>54</v>
      </c>
      <c r="E380" t="s">
        <v>74</v>
      </c>
      <c r="F380" t="s">
        <v>54</v>
      </c>
      <c r="G380">
        <v>2165.9899999999998</v>
      </c>
      <c r="H380" t="s">
        <v>15</v>
      </c>
      <c r="I380" t="s">
        <v>16</v>
      </c>
      <c r="J380" t="s">
        <v>89</v>
      </c>
    </row>
    <row r="381" spans="1:10" x14ac:dyDescent="0.35">
      <c r="A381" t="s">
        <v>548</v>
      </c>
      <c r="B381" s="10">
        <v>45729</v>
      </c>
      <c r="C381" t="s">
        <v>184</v>
      </c>
      <c r="D381" t="s">
        <v>59</v>
      </c>
      <c r="E381" t="s">
        <v>185</v>
      </c>
      <c r="F381" t="s">
        <v>14</v>
      </c>
      <c r="G381">
        <v>209.53</v>
      </c>
      <c r="H381" t="s">
        <v>15</v>
      </c>
      <c r="I381" t="s">
        <v>22</v>
      </c>
      <c r="J381" t="s">
        <v>61</v>
      </c>
    </row>
    <row r="382" spans="1:10" x14ac:dyDescent="0.35">
      <c r="A382" t="s">
        <v>549</v>
      </c>
      <c r="B382" s="10">
        <v>45729</v>
      </c>
      <c r="C382" t="s">
        <v>220</v>
      </c>
      <c r="D382" t="s">
        <v>59</v>
      </c>
      <c r="E382" t="s">
        <v>199</v>
      </c>
      <c r="F382" t="s">
        <v>14</v>
      </c>
      <c r="G382">
        <v>87.94</v>
      </c>
      <c r="H382" t="s">
        <v>15</v>
      </c>
      <c r="I382" t="s">
        <v>22</v>
      </c>
      <c r="J382" t="s">
        <v>211</v>
      </c>
    </row>
    <row r="383" spans="1:10" x14ac:dyDescent="0.35">
      <c r="A383" t="s">
        <v>550</v>
      </c>
      <c r="B383" s="10">
        <v>45729</v>
      </c>
      <c r="C383" t="s">
        <v>194</v>
      </c>
      <c r="D383" t="s">
        <v>101</v>
      </c>
      <c r="E383" t="s">
        <v>136</v>
      </c>
      <c r="F383" t="s">
        <v>14</v>
      </c>
      <c r="G383">
        <v>71.98</v>
      </c>
      <c r="H383" t="s">
        <v>15</v>
      </c>
      <c r="I383" t="s">
        <v>22</v>
      </c>
      <c r="J383" t="s">
        <v>103</v>
      </c>
    </row>
    <row r="384" spans="1:10" x14ac:dyDescent="0.35">
      <c r="A384" t="s">
        <v>551</v>
      </c>
      <c r="B384" s="10">
        <v>45729</v>
      </c>
      <c r="C384" t="s">
        <v>94</v>
      </c>
      <c r="D384" t="s">
        <v>29</v>
      </c>
      <c r="E384" t="s">
        <v>95</v>
      </c>
      <c r="F384" t="s">
        <v>14</v>
      </c>
      <c r="G384">
        <v>19.649999999999999</v>
      </c>
      <c r="H384" t="s">
        <v>21</v>
      </c>
      <c r="I384" t="s">
        <v>36</v>
      </c>
      <c r="J384" t="s">
        <v>96</v>
      </c>
    </row>
    <row r="385" spans="1:10" x14ac:dyDescent="0.35">
      <c r="A385" t="s">
        <v>552</v>
      </c>
      <c r="B385" s="10">
        <v>45730</v>
      </c>
      <c r="C385" t="s">
        <v>204</v>
      </c>
      <c r="D385" t="s">
        <v>12</v>
      </c>
      <c r="E385" t="s">
        <v>51</v>
      </c>
      <c r="F385" t="s">
        <v>14</v>
      </c>
      <c r="G385">
        <v>15.87</v>
      </c>
      <c r="H385" t="s">
        <v>15</v>
      </c>
      <c r="I385" t="s">
        <v>16</v>
      </c>
      <c r="J385" t="s">
        <v>23</v>
      </c>
    </row>
    <row r="386" spans="1:10" x14ac:dyDescent="0.35">
      <c r="A386" t="s">
        <v>553</v>
      </c>
      <c r="B386" s="10">
        <v>45730</v>
      </c>
      <c r="C386" t="s">
        <v>11</v>
      </c>
      <c r="D386" t="s">
        <v>12</v>
      </c>
      <c r="E386" t="s">
        <v>13</v>
      </c>
      <c r="F386" t="s">
        <v>14</v>
      </c>
      <c r="G386">
        <v>50.54</v>
      </c>
      <c r="H386" t="s">
        <v>98</v>
      </c>
      <c r="I386" t="s">
        <v>16</v>
      </c>
      <c r="J386" t="s">
        <v>17</v>
      </c>
    </row>
    <row r="387" spans="1:10" x14ac:dyDescent="0.35">
      <c r="A387" t="s">
        <v>554</v>
      </c>
      <c r="B387" s="10">
        <v>45730</v>
      </c>
      <c r="C387" t="s">
        <v>125</v>
      </c>
      <c r="D387" t="s">
        <v>12</v>
      </c>
      <c r="E387" t="s">
        <v>13</v>
      </c>
      <c r="F387" t="s">
        <v>14</v>
      </c>
      <c r="G387">
        <v>56.99</v>
      </c>
      <c r="H387" t="s">
        <v>98</v>
      </c>
      <c r="I387" t="s">
        <v>36</v>
      </c>
      <c r="J387" t="s">
        <v>44</v>
      </c>
    </row>
    <row r="388" spans="1:10" x14ac:dyDescent="0.35">
      <c r="A388" t="s">
        <v>555</v>
      </c>
      <c r="B388" s="10">
        <v>45730</v>
      </c>
      <c r="C388" t="s">
        <v>347</v>
      </c>
      <c r="D388" t="s">
        <v>29</v>
      </c>
      <c r="E388" t="s">
        <v>151</v>
      </c>
      <c r="F388" t="s">
        <v>14</v>
      </c>
      <c r="G388">
        <v>32.29</v>
      </c>
      <c r="H388" t="s">
        <v>21</v>
      </c>
      <c r="I388" t="s">
        <v>36</v>
      </c>
      <c r="J388" t="s">
        <v>96</v>
      </c>
    </row>
    <row r="389" spans="1:10" x14ac:dyDescent="0.35">
      <c r="A389" t="s">
        <v>556</v>
      </c>
      <c r="B389" s="10">
        <v>45730</v>
      </c>
      <c r="C389" t="s">
        <v>43</v>
      </c>
      <c r="D389" t="s">
        <v>12</v>
      </c>
      <c r="E389" t="s">
        <v>26</v>
      </c>
      <c r="F389" t="s">
        <v>14</v>
      </c>
      <c r="G389">
        <v>31.71</v>
      </c>
      <c r="H389" t="s">
        <v>15</v>
      </c>
      <c r="I389" t="s">
        <v>22</v>
      </c>
      <c r="J389" t="s">
        <v>44</v>
      </c>
    </row>
    <row r="390" spans="1:10" x14ac:dyDescent="0.35">
      <c r="A390" t="s">
        <v>557</v>
      </c>
      <c r="B390" s="10">
        <v>45730</v>
      </c>
      <c r="C390" t="s">
        <v>464</v>
      </c>
      <c r="D390" t="s">
        <v>34</v>
      </c>
      <c r="E390" t="s">
        <v>122</v>
      </c>
      <c r="F390" t="s">
        <v>14</v>
      </c>
      <c r="G390">
        <v>241.35</v>
      </c>
      <c r="H390" t="s">
        <v>21</v>
      </c>
      <c r="I390" t="s">
        <v>22</v>
      </c>
      <c r="J390" t="s">
        <v>239</v>
      </c>
    </row>
    <row r="391" spans="1:10" x14ac:dyDescent="0.35">
      <c r="A391" t="s">
        <v>558</v>
      </c>
      <c r="B391" s="10">
        <v>45731</v>
      </c>
      <c r="C391" t="s">
        <v>143</v>
      </c>
      <c r="D391" t="s">
        <v>54</v>
      </c>
      <c r="E391" t="s">
        <v>55</v>
      </c>
      <c r="F391" t="s">
        <v>54</v>
      </c>
      <c r="G391">
        <v>597.79999999999995</v>
      </c>
      <c r="H391" t="s">
        <v>21</v>
      </c>
      <c r="I391" t="s">
        <v>47</v>
      </c>
      <c r="J391" t="s">
        <v>89</v>
      </c>
    </row>
    <row r="392" spans="1:10" x14ac:dyDescent="0.35">
      <c r="A392" t="s">
        <v>559</v>
      </c>
      <c r="B392" s="10">
        <v>45731</v>
      </c>
      <c r="C392" t="s">
        <v>130</v>
      </c>
      <c r="D392" t="s">
        <v>12</v>
      </c>
      <c r="E392" t="s">
        <v>26</v>
      </c>
      <c r="F392" t="s">
        <v>14</v>
      </c>
      <c r="G392">
        <v>19.87</v>
      </c>
      <c r="H392" t="s">
        <v>15</v>
      </c>
      <c r="I392" t="s">
        <v>36</v>
      </c>
      <c r="J392" t="s">
        <v>48</v>
      </c>
    </row>
    <row r="393" spans="1:10" x14ac:dyDescent="0.35">
      <c r="A393" t="s">
        <v>560</v>
      </c>
      <c r="B393" s="10">
        <v>45731</v>
      </c>
      <c r="C393" t="s">
        <v>267</v>
      </c>
      <c r="D393" t="s">
        <v>29</v>
      </c>
      <c r="E393" t="s">
        <v>30</v>
      </c>
      <c r="F393" t="s">
        <v>14</v>
      </c>
      <c r="G393">
        <v>58.97</v>
      </c>
      <c r="H393" t="s">
        <v>21</v>
      </c>
      <c r="I393" t="s">
        <v>22</v>
      </c>
      <c r="J393" t="s">
        <v>96</v>
      </c>
    </row>
    <row r="394" spans="1:10" x14ac:dyDescent="0.35">
      <c r="A394" t="s">
        <v>561</v>
      </c>
      <c r="B394" s="10">
        <v>45731</v>
      </c>
      <c r="C394" t="s">
        <v>168</v>
      </c>
      <c r="D394" t="s">
        <v>59</v>
      </c>
      <c r="E394" t="s">
        <v>60</v>
      </c>
      <c r="F394" t="s">
        <v>14</v>
      </c>
      <c r="G394">
        <v>161.6</v>
      </c>
      <c r="H394" t="s">
        <v>15</v>
      </c>
      <c r="I394" t="s">
        <v>22</v>
      </c>
      <c r="J394" t="s">
        <v>170</v>
      </c>
    </row>
    <row r="395" spans="1:10" x14ac:dyDescent="0.35">
      <c r="A395" t="s">
        <v>562</v>
      </c>
      <c r="B395" s="10">
        <v>45731</v>
      </c>
      <c r="C395" t="s">
        <v>251</v>
      </c>
      <c r="D395" t="s">
        <v>29</v>
      </c>
      <c r="E395" t="s">
        <v>151</v>
      </c>
      <c r="F395" t="s">
        <v>14</v>
      </c>
      <c r="G395">
        <v>40.15</v>
      </c>
      <c r="H395" t="s">
        <v>15</v>
      </c>
      <c r="I395" t="s">
        <v>22</v>
      </c>
      <c r="J395" t="s">
        <v>31</v>
      </c>
    </row>
    <row r="396" spans="1:10" x14ac:dyDescent="0.35">
      <c r="A396" t="s">
        <v>563</v>
      </c>
      <c r="B396" s="10">
        <v>45731</v>
      </c>
      <c r="C396" t="s">
        <v>324</v>
      </c>
      <c r="D396" t="s">
        <v>80</v>
      </c>
      <c r="E396" t="s">
        <v>92</v>
      </c>
      <c r="F396" t="s">
        <v>14</v>
      </c>
      <c r="G396">
        <v>60.24</v>
      </c>
      <c r="H396" t="s">
        <v>98</v>
      </c>
      <c r="I396" t="s">
        <v>22</v>
      </c>
      <c r="J396" t="s">
        <v>161</v>
      </c>
    </row>
    <row r="397" spans="1:10" x14ac:dyDescent="0.35">
      <c r="A397" t="s">
        <v>564</v>
      </c>
      <c r="B397" s="10">
        <v>45731</v>
      </c>
      <c r="C397" t="s">
        <v>269</v>
      </c>
      <c r="D397" t="s">
        <v>34</v>
      </c>
      <c r="E397" t="s">
        <v>35</v>
      </c>
      <c r="F397" t="s">
        <v>14</v>
      </c>
      <c r="G397">
        <v>277.58</v>
      </c>
      <c r="H397" t="s">
        <v>15</v>
      </c>
      <c r="I397" t="s">
        <v>22</v>
      </c>
      <c r="J397" t="s">
        <v>123</v>
      </c>
    </row>
    <row r="398" spans="1:10" x14ac:dyDescent="0.35">
      <c r="A398" t="s">
        <v>565</v>
      </c>
      <c r="B398" s="10">
        <v>45732</v>
      </c>
      <c r="C398" t="s">
        <v>76</v>
      </c>
      <c r="D398" t="s">
        <v>12</v>
      </c>
      <c r="E398" t="s">
        <v>13</v>
      </c>
      <c r="F398" t="s">
        <v>14</v>
      </c>
      <c r="G398">
        <v>43.51</v>
      </c>
      <c r="H398" t="s">
        <v>15</v>
      </c>
      <c r="I398" t="s">
        <v>22</v>
      </c>
      <c r="J398" t="s">
        <v>77</v>
      </c>
    </row>
    <row r="399" spans="1:10" x14ac:dyDescent="0.35">
      <c r="A399" t="s">
        <v>566</v>
      </c>
      <c r="B399" s="10">
        <v>45732</v>
      </c>
      <c r="C399" t="s">
        <v>11</v>
      </c>
      <c r="D399" t="s">
        <v>12</v>
      </c>
      <c r="E399" t="s">
        <v>13</v>
      </c>
      <c r="F399" t="s">
        <v>14</v>
      </c>
      <c r="G399">
        <v>65.55</v>
      </c>
      <c r="H399" t="s">
        <v>21</v>
      </c>
      <c r="I399" t="s">
        <v>22</v>
      </c>
      <c r="J399" t="s">
        <v>17</v>
      </c>
    </row>
    <row r="400" spans="1:10" x14ac:dyDescent="0.35">
      <c r="A400" t="s">
        <v>567</v>
      </c>
      <c r="B400" s="10">
        <v>45732</v>
      </c>
      <c r="C400" t="s">
        <v>177</v>
      </c>
      <c r="D400" t="s">
        <v>54</v>
      </c>
      <c r="E400" t="s">
        <v>74</v>
      </c>
      <c r="F400" t="s">
        <v>54</v>
      </c>
      <c r="G400">
        <v>1987.36</v>
      </c>
      <c r="H400" t="s">
        <v>21</v>
      </c>
      <c r="I400" t="s">
        <v>16</v>
      </c>
      <c r="J400" t="s">
        <v>56</v>
      </c>
    </row>
    <row r="401" spans="1:10" x14ac:dyDescent="0.35">
      <c r="A401" t="s">
        <v>568</v>
      </c>
      <c r="B401" s="10">
        <v>45732</v>
      </c>
      <c r="C401" t="s">
        <v>347</v>
      </c>
      <c r="D401" t="s">
        <v>29</v>
      </c>
      <c r="E401" t="s">
        <v>151</v>
      </c>
      <c r="F401" t="s">
        <v>14</v>
      </c>
      <c r="G401">
        <v>25.01</v>
      </c>
      <c r="H401" t="s">
        <v>15</v>
      </c>
      <c r="I401" t="s">
        <v>47</v>
      </c>
      <c r="J401" t="s">
        <v>96</v>
      </c>
    </row>
    <row r="402" spans="1:10" x14ac:dyDescent="0.35">
      <c r="A402" t="s">
        <v>569</v>
      </c>
      <c r="B402" s="10">
        <v>45732</v>
      </c>
      <c r="C402" t="s">
        <v>53</v>
      </c>
      <c r="D402" t="s">
        <v>54</v>
      </c>
      <c r="E402" t="s">
        <v>55</v>
      </c>
      <c r="F402" t="s">
        <v>54</v>
      </c>
      <c r="G402">
        <v>767.02</v>
      </c>
      <c r="H402" t="s">
        <v>98</v>
      </c>
      <c r="I402" t="s">
        <v>22</v>
      </c>
      <c r="J402" t="s">
        <v>56</v>
      </c>
    </row>
    <row r="403" spans="1:10" x14ac:dyDescent="0.35">
      <c r="A403" t="s">
        <v>570</v>
      </c>
      <c r="B403" s="10">
        <v>45732</v>
      </c>
      <c r="C403" t="s">
        <v>296</v>
      </c>
      <c r="D403" t="s">
        <v>101</v>
      </c>
      <c r="E403" t="s">
        <v>136</v>
      </c>
      <c r="F403" t="s">
        <v>14</v>
      </c>
      <c r="G403">
        <v>73.760000000000005</v>
      </c>
      <c r="H403" t="s">
        <v>15</v>
      </c>
      <c r="I403" t="s">
        <v>16</v>
      </c>
      <c r="J403" t="s">
        <v>136</v>
      </c>
    </row>
    <row r="404" spans="1:10" x14ac:dyDescent="0.35">
      <c r="A404" t="s">
        <v>571</v>
      </c>
      <c r="B404" s="10">
        <v>45732</v>
      </c>
      <c r="C404" t="s">
        <v>572</v>
      </c>
      <c r="D404" t="s">
        <v>69</v>
      </c>
      <c r="E404" t="s">
        <v>233</v>
      </c>
      <c r="F404" t="s">
        <v>14</v>
      </c>
      <c r="G404">
        <v>572.47</v>
      </c>
      <c r="H404" t="s">
        <v>15</v>
      </c>
      <c r="I404" t="s">
        <v>22</v>
      </c>
      <c r="J404" t="s">
        <v>292</v>
      </c>
    </row>
    <row r="405" spans="1:10" x14ac:dyDescent="0.35">
      <c r="A405" t="s">
        <v>573</v>
      </c>
      <c r="B405" s="10">
        <v>45733</v>
      </c>
      <c r="C405" t="s">
        <v>464</v>
      </c>
      <c r="D405" t="s">
        <v>34</v>
      </c>
      <c r="E405" t="s">
        <v>122</v>
      </c>
      <c r="F405" t="s">
        <v>14</v>
      </c>
      <c r="G405">
        <v>189.11</v>
      </c>
      <c r="H405" t="s">
        <v>21</v>
      </c>
      <c r="I405" t="s">
        <v>16</v>
      </c>
      <c r="J405" t="s">
        <v>239</v>
      </c>
    </row>
    <row r="406" spans="1:10" x14ac:dyDescent="0.35">
      <c r="A406" t="s">
        <v>574</v>
      </c>
      <c r="B406" s="10">
        <v>45733</v>
      </c>
      <c r="C406" t="s">
        <v>347</v>
      </c>
      <c r="D406" t="s">
        <v>29</v>
      </c>
      <c r="E406" t="s">
        <v>151</v>
      </c>
      <c r="F406" t="s">
        <v>14</v>
      </c>
      <c r="G406">
        <v>27.79</v>
      </c>
      <c r="H406" t="s">
        <v>15</v>
      </c>
      <c r="I406" t="s">
        <v>47</v>
      </c>
      <c r="J406" t="s">
        <v>96</v>
      </c>
    </row>
    <row r="407" spans="1:10" x14ac:dyDescent="0.35">
      <c r="A407" t="s">
        <v>575</v>
      </c>
      <c r="B407" s="10">
        <v>45733</v>
      </c>
      <c r="C407" t="s">
        <v>79</v>
      </c>
      <c r="D407" t="s">
        <v>80</v>
      </c>
      <c r="E407" t="s">
        <v>81</v>
      </c>
      <c r="F407" t="s">
        <v>14</v>
      </c>
      <c r="G407">
        <v>63.26</v>
      </c>
      <c r="H407" t="s">
        <v>15</v>
      </c>
      <c r="I407" t="s">
        <v>22</v>
      </c>
      <c r="J407" t="s">
        <v>82</v>
      </c>
    </row>
    <row r="408" spans="1:10" x14ac:dyDescent="0.35">
      <c r="A408" t="s">
        <v>576</v>
      </c>
      <c r="B408" s="10">
        <v>45733</v>
      </c>
      <c r="C408" t="s">
        <v>198</v>
      </c>
      <c r="D408" t="s">
        <v>59</v>
      </c>
      <c r="E408" t="s">
        <v>199</v>
      </c>
      <c r="F408" t="s">
        <v>14</v>
      </c>
      <c r="G408">
        <v>217.42</v>
      </c>
      <c r="H408" t="s">
        <v>15</v>
      </c>
      <c r="I408" t="s">
        <v>22</v>
      </c>
      <c r="J408" t="s">
        <v>61</v>
      </c>
    </row>
    <row r="409" spans="1:10" x14ac:dyDescent="0.35">
      <c r="A409" t="s">
        <v>577</v>
      </c>
      <c r="B409" s="10">
        <v>45733</v>
      </c>
      <c r="C409" t="s">
        <v>189</v>
      </c>
      <c r="D409" t="s">
        <v>34</v>
      </c>
      <c r="E409" t="s">
        <v>122</v>
      </c>
      <c r="F409" t="s">
        <v>14</v>
      </c>
      <c r="G409">
        <v>143.05000000000001</v>
      </c>
      <c r="H409" t="s">
        <v>15</v>
      </c>
      <c r="I409" t="s">
        <v>22</v>
      </c>
      <c r="J409" t="s">
        <v>37</v>
      </c>
    </row>
    <row r="410" spans="1:10" x14ac:dyDescent="0.35">
      <c r="A410" t="s">
        <v>578</v>
      </c>
      <c r="B410" s="10">
        <v>45733</v>
      </c>
      <c r="C410" t="s">
        <v>308</v>
      </c>
      <c r="D410" t="s">
        <v>54</v>
      </c>
      <c r="E410" t="s">
        <v>64</v>
      </c>
      <c r="F410" t="s">
        <v>54</v>
      </c>
      <c r="G410">
        <v>334.84</v>
      </c>
      <c r="H410" t="s">
        <v>21</v>
      </c>
      <c r="I410" t="s">
        <v>47</v>
      </c>
      <c r="J410" t="s">
        <v>89</v>
      </c>
    </row>
    <row r="411" spans="1:10" x14ac:dyDescent="0.35">
      <c r="A411" t="s">
        <v>579</v>
      </c>
      <c r="B411" s="10">
        <v>45733</v>
      </c>
      <c r="C411" t="s">
        <v>580</v>
      </c>
      <c r="D411" t="s">
        <v>80</v>
      </c>
      <c r="E411" t="s">
        <v>81</v>
      </c>
      <c r="F411" t="s">
        <v>14</v>
      </c>
      <c r="G411">
        <v>35.880000000000003</v>
      </c>
      <c r="H411" t="s">
        <v>21</v>
      </c>
      <c r="I411" t="s">
        <v>22</v>
      </c>
      <c r="J411" t="s">
        <v>118</v>
      </c>
    </row>
    <row r="412" spans="1:10" x14ac:dyDescent="0.35">
      <c r="A412" t="s">
        <v>581</v>
      </c>
      <c r="B412" s="10">
        <v>45734</v>
      </c>
      <c r="C412" t="s">
        <v>184</v>
      </c>
      <c r="D412" t="s">
        <v>59</v>
      </c>
      <c r="E412" t="s">
        <v>185</v>
      </c>
      <c r="F412" t="s">
        <v>14</v>
      </c>
      <c r="G412">
        <v>195.77</v>
      </c>
      <c r="H412" t="s">
        <v>15</v>
      </c>
      <c r="I412" t="s">
        <v>22</v>
      </c>
      <c r="J412" t="s">
        <v>61</v>
      </c>
    </row>
    <row r="413" spans="1:10" x14ac:dyDescent="0.35">
      <c r="A413" t="s">
        <v>582</v>
      </c>
      <c r="B413" s="10">
        <v>45734</v>
      </c>
      <c r="C413" t="s">
        <v>168</v>
      </c>
      <c r="D413" t="s">
        <v>59</v>
      </c>
      <c r="E413" t="s">
        <v>60</v>
      </c>
      <c r="F413" t="s">
        <v>14</v>
      </c>
      <c r="G413">
        <v>322.86</v>
      </c>
      <c r="H413" t="s">
        <v>98</v>
      </c>
      <c r="I413" t="s">
        <v>16</v>
      </c>
      <c r="J413" t="s">
        <v>170</v>
      </c>
    </row>
    <row r="414" spans="1:10" x14ac:dyDescent="0.35">
      <c r="A414" t="s">
        <v>583</v>
      </c>
      <c r="B414" s="10">
        <v>45734</v>
      </c>
      <c r="C414" t="s">
        <v>189</v>
      </c>
      <c r="D414" t="s">
        <v>34</v>
      </c>
      <c r="E414" t="s">
        <v>122</v>
      </c>
      <c r="F414" t="s">
        <v>14</v>
      </c>
      <c r="G414">
        <v>97.13</v>
      </c>
      <c r="H414" t="s">
        <v>15</v>
      </c>
      <c r="I414" t="s">
        <v>47</v>
      </c>
      <c r="J414" t="s">
        <v>37</v>
      </c>
    </row>
    <row r="415" spans="1:10" x14ac:dyDescent="0.35">
      <c r="A415" t="s">
        <v>584</v>
      </c>
      <c r="B415" s="10">
        <v>45734</v>
      </c>
      <c r="C415" t="s">
        <v>143</v>
      </c>
      <c r="D415" t="s">
        <v>54</v>
      </c>
      <c r="E415" t="s">
        <v>55</v>
      </c>
      <c r="F415" t="s">
        <v>54</v>
      </c>
      <c r="G415">
        <v>798.69</v>
      </c>
      <c r="H415" t="s">
        <v>15</v>
      </c>
      <c r="I415" t="s">
        <v>47</v>
      </c>
      <c r="J415" t="s">
        <v>89</v>
      </c>
    </row>
    <row r="416" spans="1:10" x14ac:dyDescent="0.35">
      <c r="A416" t="s">
        <v>585</v>
      </c>
      <c r="B416" s="10">
        <v>45734</v>
      </c>
      <c r="C416" t="s">
        <v>100</v>
      </c>
      <c r="D416" t="s">
        <v>101</v>
      </c>
      <c r="E416" t="s">
        <v>102</v>
      </c>
      <c r="F416" t="s">
        <v>14</v>
      </c>
      <c r="G416">
        <v>45.81</v>
      </c>
      <c r="H416" t="s">
        <v>21</v>
      </c>
      <c r="I416" t="s">
        <v>16</v>
      </c>
      <c r="J416" t="s">
        <v>103</v>
      </c>
    </row>
    <row r="417" spans="1:10" x14ac:dyDescent="0.35">
      <c r="A417" t="s">
        <v>586</v>
      </c>
      <c r="B417" s="10">
        <v>45734</v>
      </c>
      <c r="C417" t="s">
        <v>227</v>
      </c>
      <c r="D417" t="s">
        <v>12</v>
      </c>
      <c r="E417" t="s">
        <v>51</v>
      </c>
      <c r="F417" t="s">
        <v>14</v>
      </c>
      <c r="G417">
        <v>76.239999999999995</v>
      </c>
      <c r="H417" t="s">
        <v>15</v>
      </c>
      <c r="I417" t="s">
        <v>47</v>
      </c>
      <c r="J417" t="s">
        <v>17</v>
      </c>
    </row>
    <row r="418" spans="1:10" x14ac:dyDescent="0.35">
      <c r="A418" t="s">
        <v>587</v>
      </c>
      <c r="B418" s="10">
        <v>45734</v>
      </c>
      <c r="C418" t="s">
        <v>19</v>
      </c>
      <c r="D418" t="s">
        <v>12</v>
      </c>
      <c r="E418" t="s">
        <v>13</v>
      </c>
      <c r="F418" t="s">
        <v>14</v>
      </c>
      <c r="G418">
        <v>45.6</v>
      </c>
      <c r="H418" t="s">
        <v>15</v>
      </c>
      <c r="I418" t="s">
        <v>22</v>
      </c>
      <c r="J418" t="s">
        <v>23</v>
      </c>
    </row>
    <row r="419" spans="1:10" x14ac:dyDescent="0.35">
      <c r="A419" t="s">
        <v>588</v>
      </c>
      <c r="B419" s="10">
        <v>45734</v>
      </c>
      <c r="C419" t="s">
        <v>138</v>
      </c>
      <c r="D419" t="s">
        <v>12</v>
      </c>
      <c r="E419" t="s">
        <v>26</v>
      </c>
      <c r="F419" t="s">
        <v>14</v>
      </c>
      <c r="G419">
        <v>60.24</v>
      </c>
      <c r="H419" t="s">
        <v>21</v>
      </c>
      <c r="I419" t="s">
        <v>16</v>
      </c>
      <c r="J419" t="s">
        <v>77</v>
      </c>
    </row>
    <row r="420" spans="1:10" x14ac:dyDescent="0.35">
      <c r="A420" t="s">
        <v>589</v>
      </c>
      <c r="B420" s="10">
        <v>45734</v>
      </c>
      <c r="C420" t="s">
        <v>28</v>
      </c>
      <c r="D420" t="s">
        <v>29</v>
      </c>
      <c r="E420" t="s">
        <v>30</v>
      </c>
      <c r="F420" t="s">
        <v>14</v>
      </c>
      <c r="G420">
        <v>39.840000000000003</v>
      </c>
      <c r="H420" t="s">
        <v>21</v>
      </c>
      <c r="I420" t="s">
        <v>16</v>
      </c>
      <c r="J420" t="s">
        <v>31</v>
      </c>
    </row>
    <row r="421" spans="1:10" x14ac:dyDescent="0.35">
      <c r="A421" t="s">
        <v>590</v>
      </c>
      <c r="B421" s="10">
        <v>45734</v>
      </c>
      <c r="C421" t="s">
        <v>580</v>
      </c>
      <c r="D421" t="s">
        <v>80</v>
      </c>
      <c r="E421" t="s">
        <v>81</v>
      </c>
      <c r="F421" t="s">
        <v>14</v>
      </c>
      <c r="G421">
        <v>53.02</v>
      </c>
      <c r="H421" t="s">
        <v>21</v>
      </c>
      <c r="I421" t="s">
        <v>36</v>
      </c>
      <c r="J421" t="s">
        <v>118</v>
      </c>
    </row>
    <row r="422" spans="1:10" x14ac:dyDescent="0.35">
      <c r="A422" t="s">
        <v>591</v>
      </c>
      <c r="B422" s="10">
        <v>45734</v>
      </c>
      <c r="C422" t="s">
        <v>94</v>
      </c>
      <c r="D422" t="s">
        <v>29</v>
      </c>
      <c r="E422" t="s">
        <v>95</v>
      </c>
      <c r="F422" t="s">
        <v>14</v>
      </c>
      <c r="G422">
        <v>29.88</v>
      </c>
      <c r="H422" t="s">
        <v>15</v>
      </c>
      <c r="I422" t="s">
        <v>22</v>
      </c>
      <c r="J422" t="s">
        <v>96</v>
      </c>
    </row>
    <row r="423" spans="1:10" x14ac:dyDescent="0.35">
      <c r="A423" t="s">
        <v>592</v>
      </c>
      <c r="B423" s="10">
        <v>45735</v>
      </c>
      <c r="C423" t="s">
        <v>76</v>
      </c>
      <c r="D423" t="s">
        <v>12</v>
      </c>
      <c r="E423" t="s">
        <v>13</v>
      </c>
      <c r="F423" t="s">
        <v>14</v>
      </c>
      <c r="G423">
        <v>37.450000000000003</v>
      </c>
      <c r="H423" t="s">
        <v>15</v>
      </c>
      <c r="I423" t="s">
        <v>22</v>
      </c>
      <c r="J423" t="s">
        <v>77</v>
      </c>
    </row>
    <row r="424" spans="1:10" x14ac:dyDescent="0.35">
      <c r="A424" t="s">
        <v>593</v>
      </c>
      <c r="B424" s="10">
        <v>45735</v>
      </c>
      <c r="C424" t="s">
        <v>155</v>
      </c>
      <c r="D424" t="s">
        <v>12</v>
      </c>
      <c r="E424" t="s">
        <v>51</v>
      </c>
      <c r="F424" t="s">
        <v>14</v>
      </c>
      <c r="G424">
        <v>47.54</v>
      </c>
      <c r="H424" t="s">
        <v>15</v>
      </c>
      <c r="I424" t="s">
        <v>16</v>
      </c>
      <c r="J424" t="s">
        <v>48</v>
      </c>
    </row>
    <row r="425" spans="1:10" x14ac:dyDescent="0.35">
      <c r="A425" t="s">
        <v>594</v>
      </c>
      <c r="B425" s="10">
        <v>45735</v>
      </c>
      <c r="C425" t="s">
        <v>411</v>
      </c>
      <c r="D425" t="s">
        <v>29</v>
      </c>
      <c r="E425" t="s">
        <v>151</v>
      </c>
      <c r="F425" t="s">
        <v>14</v>
      </c>
      <c r="G425">
        <v>75.239999999999995</v>
      </c>
      <c r="H425" t="s">
        <v>21</v>
      </c>
      <c r="I425" t="s">
        <v>84</v>
      </c>
      <c r="J425" t="s">
        <v>151</v>
      </c>
    </row>
    <row r="426" spans="1:10" x14ac:dyDescent="0.35">
      <c r="A426" t="s">
        <v>595</v>
      </c>
      <c r="B426" s="10">
        <v>45735</v>
      </c>
      <c r="C426" t="s">
        <v>73</v>
      </c>
      <c r="D426" t="s">
        <v>54</v>
      </c>
      <c r="E426" t="s">
        <v>74</v>
      </c>
      <c r="F426" t="s">
        <v>54</v>
      </c>
      <c r="G426">
        <v>2109.34</v>
      </c>
      <c r="H426" t="s">
        <v>15</v>
      </c>
      <c r="I426" t="s">
        <v>47</v>
      </c>
      <c r="J426" t="s">
        <v>65</v>
      </c>
    </row>
    <row r="427" spans="1:10" x14ac:dyDescent="0.35">
      <c r="A427" t="s">
        <v>596</v>
      </c>
      <c r="B427" s="10">
        <v>45735</v>
      </c>
      <c r="C427" t="s">
        <v>168</v>
      </c>
      <c r="D427" t="s">
        <v>59</v>
      </c>
      <c r="E427" t="s">
        <v>60</v>
      </c>
      <c r="F427" t="s">
        <v>14</v>
      </c>
      <c r="G427">
        <v>142.26</v>
      </c>
      <c r="H427" t="s">
        <v>21</v>
      </c>
      <c r="I427" t="s">
        <v>36</v>
      </c>
      <c r="J427" t="s">
        <v>170</v>
      </c>
    </row>
    <row r="428" spans="1:10" x14ac:dyDescent="0.35">
      <c r="A428" t="s">
        <v>597</v>
      </c>
      <c r="B428" s="10">
        <v>45735</v>
      </c>
      <c r="C428" t="s">
        <v>53</v>
      </c>
      <c r="D428" t="s">
        <v>54</v>
      </c>
      <c r="E428" t="s">
        <v>55</v>
      </c>
      <c r="F428" t="s">
        <v>54</v>
      </c>
      <c r="G428">
        <v>762.38</v>
      </c>
      <c r="H428" t="s">
        <v>15</v>
      </c>
      <c r="I428" t="s">
        <v>22</v>
      </c>
      <c r="J428" t="s">
        <v>56</v>
      </c>
    </row>
    <row r="429" spans="1:10" x14ac:dyDescent="0.35">
      <c r="A429" t="s">
        <v>598</v>
      </c>
      <c r="B429" s="10">
        <v>45736</v>
      </c>
      <c r="C429" t="s">
        <v>153</v>
      </c>
      <c r="D429" t="s">
        <v>34</v>
      </c>
      <c r="E429" t="s">
        <v>122</v>
      </c>
      <c r="F429" t="s">
        <v>14</v>
      </c>
      <c r="G429">
        <v>82.32</v>
      </c>
      <c r="H429" t="s">
        <v>98</v>
      </c>
      <c r="I429" t="s">
        <v>36</v>
      </c>
      <c r="J429" t="s">
        <v>41</v>
      </c>
    </row>
    <row r="430" spans="1:10" x14ac:dyDescent="0.35">
      <c r="A430" t="s">
        <v>599</v>
      </c>
      <c r="B430" s="10">
        <v>45736</v>
      </c>
      <c r="C430" t="s">
        <v>210</v>
      </c>
      <c r="D430" t="s">
        <v>59</v>
      </c>
      <c r="E430" t="s">
        <v>185</v>
      </c>
      <c r="F430" t="s">
        <v>14</v>
      </c>
      <c r="G430">
        <v>181.94</v>
      </c>
      <c r="H430" t="s">
        <v>15</v>
      </c>
      <c r="I430" t="s">
        <v>36</v>
      </c>
      <c r="J430" t="s">
        <v>211</v>
      </c>
    </row>
    <row r="431" spans="1:10" x14ac:dyDescent="0.35">
      <c r="A431" t="s">
        <v>600</v>
      </c>
      <c r="B431" s="10">
        <v>45736</v>
      </c>
      <c r="C431" t="s">
        <v>143</v>
      </c>
      <c r="D431" t="s">
        <v>54</v>
      </c>
      <c r="E431" t="s">
        <v>55</v>
      </c>
      <c r="F431" t="s">
        <v>54</v>
      </c>
      <c r="G431">
        <v>702.44</v>
      </c>
      <c r="H431" t="s">
        <v>21</v>
      </c>
      <c r="I431" t="s">
        <v>22</v>
      </c>
      <c r="J431" t="s">
        <v>89</v>
      </c>
    </row>
    <row r="432" spans="1:10" x14ac:dyDescent="0.35">
      <c r="A432" t="s">
        <v>601</v>
      </c>
      <c r="B432" s="10">
        <v>45736</v>
      </c>
      <c r="C432" t="s">
        <v>63</v>
      </c>
      <c r="D432" t="s">
        <v>54</v>
      </c>
      <c r="E432" t="s">
        <v>64</v>
      </c>
      <c r="F432" t="s">
        <v>54</v>
      </c>
      <c r="G432">
        <v>306.19</v>
      </c>
      <c r="H432" t="s">
        <v>15</v>
      </c>
      <c r="I432" t="s">
        <v>36</v>
      </c>
      <c r="J432" t="s">
        <v>65</v>
      </c>
    </row>
    <row r="433" spans="1:10" x14ac:dyDescent="0.35">
      <c r="A433" t="s">
        <v>602</v>
      </c>
      <c r="B433" s="10">
        <v>45736</v>
      </c>
      <c r="C433" t="s">
        <v>143</v>
      </c>
      <c r="D433" t="s">
        <v>54</v>
      </c>
      <c r="E433" t="s">
        <v>55</v>
      </c>
      <c r="F433" t="s">
        <v>54</v>
      </c>
      <c r="G433">
        <v>566.03</v>
      </c>
      <c r="H433" t="s">
        <v>98</v>
      </c>
      <c r="I433" t="s">
        <v>22</v>
      </c>
      <c r="J433" t="s">
        <v>89</v>
      </c>
    </row>
    <row r="434" spans="1:10" x14ac:dyDescent="0.35">
      <c r="A434" t="s">
        <v>603</v>
      </c>
      <c r="B434" s="10">
        <v>45736</v>
      </c>
      <c r="C434" t="s">
        <v>175</v>
      </c>
      <c r="D434" t="s">
        <v>80</v>
      </c>
      <c r="E434" t="s">
        <v>92</v>
      </c>
      <c r="F434" t="s">
        <v>14</v>
      </c>
      <c r="G434">
        <v>72.239999999999995</v>
      </c>
      <c r="H434" t="s">
        <v>15</v>
      </c>
      <c r="I434" t="s">
        <v>16</v>
      </c>
      <c r="J434" t="s">
        <v>141</v>
      </c>
    </row>
    <row r="435" spans="1:10" x14ac:dyDescent="0.35">
      <c r="A435" t="s">
        <v>604</v>
      </c>
      <c r="B435" s="10">
        <v>45737</v>
      </c>
      <c r="C435" t="s">
        <v>53</v>
      </c>
      <c r="D435" t="s">
        <v>54</v>
      </c>
      <c r="E435" t="s">
        <v>55</v>
      </c>
      <c r="F435" t="s">
        <v>54</v>
      </c>
      <c r="G435">
        <v>802.8</v>
      </c>
      <c r="H435" t="s">
        <v>15</v>
      </c>
      <c r="I435" t="s">
        <v>36</v>
      </c>
      <c r="J435" t="s">
        <v>56</v>
      </c>
    </row>
    <row r="436" spans="1:10" x14ac:dyDescent="0.35">
      <c r="A436" t="s">
        <v>605</v>
      </c>
      <c r="B436" s="10">
        <v>45737</v>
      </c>
      <c r="C436" t="s">
        <v>53</v>
      </c>
      <c r="D436" t="s">
        <v>54</v>
      </c>
      <c r="E436" t="s">
        <v>55</v>
      </c>
      <c r="F436" t="s">
        <v>54</v>
      </c>
      <c r="G436">
        <v>603.79</v>
      </c>
      <c r="H436" t="s">
        <v>15</v>
      </c>
      <c r="I436" t="s">
        <v>16</v>
      </c>
      <c r="J436" t="s">
        <v>56</v>
      </c>
    </row>
    <row r="437" spans="1:10" x14ac:dyDescent="0.35">
      <c r="A437" t="s">
        <v>606</v>
      </c>
      <c r="B437" s="10">
        <v>45737</v>
      </c>
      <c r="C437" t="s">
        <v>28</v>
      </c>
      <c r="D437" t="s">
        <v>29</v>
      </c>
      <c r="E437" t="s">
        <v>30</v>
      </c>
      <c r="F437" t="s">
        <v>14</v>
      </c>
      <c r="G437">
        <v>72.73</v>
      </c>
      <c r="H437" t="s">
        <v>21</v>
      </c>
      <c r="I437" t="s">
        <v>47</v>
      </c>
      <c r="J437" t="s">
        <v>31</v>
      </c>
    </row>
    <row r="438" spans="1:10" x14ac:dyDescent="0.35">
      <c r="A438" t="s">
        <v>607</v>
      </c>
      <c r="B438" s="10">
        <v>45737</v>
      </c>
      <c r="C438" t="s">
        <v>324</v>
      </c>
      <c r="D438" t="s">
        <v>80</v>
      </c>
      <c r="E438" t="s">
        <v>92</v>
      </c>
      <c r="F438" t="s">
        <v>14</v>
      </c>
      <c r="G438">
        <v>68.33</v>
      </c>
      <c r="H438" t="s">
        <v>21</v>
      </c>
      <c r="I438" t="s">
        <v>36</v>
      </c>
      <c r="J438" t="s">
        <v>161</v>
      </c>
    </row>
    <row r="439" spans="1:10" x14ac:dyDescent="0.35">
      <c r="A439" t="s">
        <v>608</v>
      </c>
      <c r="B439" s="10">
        <v>45737</v>
      </c>
      <c r="C439" t="s">
        <v>415</v>
      </c>
      <c r="D439" t="s">
        <v>12</v>
      </c>
      <c r="E439" t="s">
        <v>51</v>
      </c>
      <c r="F439" t="s">
        <v>14</v>
      </c>
      <c r="G439">
        <v>28.1</v>
      </c>
      <c r="H439" t="s">
        <v>21</v>
      </c>
      <c r="I439" t="s">
        <v>36</v>
      </c>
      <c r="J439" t="s">
        <v>77</v>
      </c>
    </row>
    <row r="440" spans="1:10" x14ac:dyDescent="0.35">
      <c r="A440" t="s">
        <v>609</v>
      </c>
      <c r="B440" s="10">
        <v>45738</v>
      </c>
      <c r="C440" t="s">
        <v>217</v>
      </c>
      <c r="D440" t="s">
        <v>80</v>
      </c>
      <c r="E440" t="s">
        <v>81</v>
      </c>
      <c r="F440" t="s">
        <v>14</v>
      </c>
      <c r="G440">
        <v>47.79</v>
      </c>
      <c r="H440" t="s">
        <v>21</v>
      </c>
      <c r="I440" t="s">
        <v>36</v>
      </c>
      <c r="J440" t="s">
        <v>180</v>
      </c>
    </row>
    <row r="441" spans="1:10" x14ac:dyDescent="0.35">
      <c r="A441" t="s">
        <v>610</v>
      </c>
      <c r="B441" s="10">
        <v>45738</v>
      </c>
      <c r="C441" t="s">
        <v>109</v>
      </c>
      <c r="D441" t="s">
        <v>34</v>
      </c>
      <c r="E441" t="s">
        <v>35</v>
      </c>
      <c r="F441" t="s">
        <v>14</v>
      </c>
      <c r="G441">
        <v>100.18</v>
      </c>
      <c r="H441" t="s">
        <v>21</v>
      </c>
      <c r="I441" t="s">
        <v>22</v>
      </c>
      <c r="J441" t="s">
        <v>41</v>
      </c>
    </row>
    <row r="442" spans="1:10" x14ac:dyDescent="0.35">
      <c r="A442" t="s">
        <v>611</v>
      </c>
      <c r="B442" s="10">
        <v>45738</v>
      </c>
      <c r="C442" t="s">
        <v>88</v>
      </c>
      <c r="D442" t="s">
        <v>54</v>
      </c>
      <c r="E442" t="s">
        <v>74</v>
      </c>
      <c r="F442" t="s">
        <v>54</v>
      </c>
      <c r="G442">
        <v>2575.2600000000002</v>
      </c>
      <c r="H442" t="s">
        <v>21</v>
      </c>
      <c r="I442" t="s">
        <v>22</v>
      </c>
      <c r="J442" t="s">
        <v>89</v>
      </c>
    </row>
    <row r="443" spans="1:10" x14ac:dyDescent="0.35">
      <c r="A443" t="s">
        <v>612</v>
      </c>
      <c r="B443" s="10">
        <v>45738</v>
      </c>
      <c r="C443" t="s">
        <v>143</v>
      </c>
      <c r="D443" t="s">
        <v>54</v>
      </c>
      <c r="E443" t="s">
        <v>55</v>
      </c>
      <c r="F443" t="s">
        <v>54</v>
      </c>
      <c r="G443">
        <v>627.34</v>
      </c>
      <c r="H443" t="s">
        <v>15</v>
      </c>
      <c r="I443" t="s">
        <v>16</v>
      </c>
      <c r="J443" t="s">
        <v>89</v>
      </c>
    </row>
    <row r="444" spans="1:10" x14ac:dyDescent="0.35">
      <c r="A444" t="s">
        <v>613</v>
      </c>
      <c r="B444" s="10">
        <v>45738</v>
      </c>
      <c r="C444" t="s">
        <v>347</v>
      </c>
      <c r="D444" t="s">
        <v>29</v>
      </c>
      <c r="E444" t="s">
        <v>151</v>
      </c>
      <c r="F444" t="s">
        <v>14</v>
      </c>
      <c r="G444">
        <v>43.23</v>
      </c>
      <c r="H444" t="s">
        <v>15</v>
      </c>
      <c r="I444" t="s">
        <v>22</v>
      </c>
      <c r="J444" t="s">
        <v>96</v>
      </c>
    </row>
    <row r="445" spans="1:10" x14ac:dyDescent="0.35">
      <c r="A445" t="s">
        <v>614</v>
      </c>
      <c r="B445" s="10">
        <v>45739</v>
      </c>
      <c r="C445" t="s">
        <v>177</v>
      </c>
      <c r="D445" t="s">
        <v>54</v>
      </c>
      <c r="E445" t="s">
        <v>74</v>
      </c>
      <c r="F445" t="s">
        <v>54</v>
      </c>
      <c r="G445">
        <v>2409.02</v>
      </c>
      <c r="H445" t="s">
        <v>21</v>
      </c>
      <c r="I445" t="s">
        <v>47</v>
      </c>
      <c r="J445" t="s">
        <v>56</v>
      </c>
    </row>
    <row r="446" spans="1:10" x14ac:dyDescent="0.35">
      <c r="A446" t="s">
        <v>615</v>
      </c>
      <c r="B446" s="10">
        <v>45739</v>
      </c>
      <c r="C446" t="s">
        <v>376</v>
      </c>
      <c r="D446" t="s">
        <v>80</v>
      </c>
      <c r="E446" t="s">
        <v>117</v>
      </c>
      <c r="F446" t="s">
        <v>14</v>
      </c>
      <c r="G446">
        <v>100.9</v>
      </c>
      <c r="H446" t="s">
        <v>15</v>
      </c>
      <c r="I446" t="s">
        <v>36</v>
      </c>
      <c r="J446" t="s">
        <v>82</v>
      </c>
    </row>
    <row r="447" spans="1:10" x14ac:dyDescent="0.35">
      <c r="A447" t="s">
        <v>616</v>
      </c>
      <c r="B447" s="10">
        <v>45739</v>
      </c>
      <c r="C447" t="s">
        <v>198</v>
      </c>
      <c r="D447" t="s">
        <v>59</v>
      </c>
      <c r="E447" t="s">
        <v>199</v>
      </c>
      <c r="F447" t="s">
        <v>14</v>
      </c>
      <c r="G447">
        <v>289.64999999999998</v>
      </c>
      <c r="H447" t="s">
        <v>15</v>
      </c>
      <c r="I447" t="s">
        <v>36</v>
      </c>
      <c r="J447" t="s">
        <v>61</v>
      </c>
    </row>
    <row r="448" spans="1:10" x14ac:dyDescent="0.35">
      <c r="A448" t="s">
        <v>617</v>
      </c>
      <c r="B448" s="10">
        <v>45739</v>
      </c>
      <c r="C448" t="s">
        <v>445</v>
      </c>
      <c r="D448" t="s">
        <v>101</v>
      </c>
      <c r="E448" t="s">
        <v>244</v>
      </c>
      <c r="F448" t="s">
        <v>14</v>
      </c>
      <c r="G448">
        <v>52.85</v>
      </c>
      <c r="H448" t="s">
        <v>98</v>
      </c>
      <c r="I448" t="s">
        <v>22</v>
      </c>
      <c r="J448" t="s">
        <v>103</v>
      </c>
    </row>
    <row r="449" spans="1:10" x14ac:dyDescent="0.35">
      <c r="A449" t="s">
        <v>618</v>
      </c>
      <c r="B449" s="10">
        <v>45739</v>
      </c>
      <c r="C449" t="s">
        <v>411</v>
      </c>
      <c r="D449" t="s">
        <v>29</v>
      </c>
      <c r="E449" t="s">
        <v>151</v>
      </c>
      <c r="F449" t="s">
        <v>14</v>
      </c>
      <c r="G449">
        <v>21.72</v>
      </c>
      <c r="H449" t="s">
        <v>21</v>
      </c>
      <c r="I449" t="s">
        <v>36</v>
      </c>
      <c r="J449" t="s">
        <v>151</v>
      </c>
    </row>
    <row r="450" spans="1:10" x14ac:dyDescent="0.35">
      <c r="A450" t="s">
        <v>619</v>
      </c>
      <c r="B450" s="10">
        <v>45739</v>
      </c>
      <c r="C450" t="s">
        <v>206</v>
      </c>
      <c r="D450" t="s">
        <v>29</v>
      </c>
      <c r="E450" t="s">
        <v>95</v>
      </c>
      <c r="F450" t="s">
        <v>14</v>
      </c>
      <c r="G450">
        <v>61.09</v>
      </c>
      <c r="H450" t="s">
        <v>15</v>
      </c>
      <c r="I450" t="s">
        <v>36</v>
      </c>
      <c r="J450" t="s">
        <v>31</v>
      </c>
    </row>
    <row r="451" spans="1:10" x14ac:dyDescent="0.35">
      <c r="A451" t="s">
        <v>620</v>
      </c>
      <c r="B451" s="10">
        <v>45740</v>
      </c>
      <c r="C451" t="s">
        <v>251</v>
      </c>
      <c r="D451" t="s">
        <v>29</v>
      </c>
      <c r="E451" t="s">
        <v>151</v>
      </c>
      <c r="F451" t="s">
        <v>14</v>
      </c>
      <c r="G451">
        <v>29.41</v>
      </c>
      <c r="H451" t="s">
        <v>15</v>
      </c>
      <c r="I451" t="s">
        <v>16</v>
      </c>
      <c r="J451" t="s">
        <v>31</v>
      </c>
    </row>
    <row r="452" spans="1:10" x14ac:dyDescent="0.35">
      <c r="A452" t="s">
        <v>621</v>
      </c>
      <c r="B452" s="10">
        <v>45740</v>
      </c>
      <c r="C452" t="s">
        <v>331</v>
      </c>
      <c r="D452" t="s">
        <v>29</v>
      </c>
      <c r="E452" t="s">
        <v>95</v>
      </c>
      <c r="F452" t="s">
        <v>14</v>
      </c>
      <c r="G452">
        <v>36.409999999999997</v>
      </c>
      <c r="H452" t="s">
        <v>15</v>
      </c>
      <c r="I452" t="s">
        <v>36</v>
      </c>
      <c r="J452" t="s">
        <v>151</v>
      </c>
    </row>
    <row r="453" spans="1:10" x14ac:dyDescent="0.35">
      <c r="A453" t="s">
        <v>622</v>
      </c>
      <c r="B453" s="10">
        <v>45740</v>
      </c>
      <c r="C453" t="s">
        <v>53</v>
      </c>
      <c r="D453" t="s">
        <v>54</v>
      </c>
      <c r="E453" t="s">
        <v>55</v>
      </c>
      <c r="F453" t="s">
        <v>54</v>
      </c>
      <c r="G453">
        <v>817.29</v>
      </c>
      <c r="H453" t="s">
        <v>15</v>
      </c>
      <c r="I453" t="s">
        <v>22</v>
      </c>
      <c r="J453" t="s">
        <v>56</v>
      </c>
    </row>
    <row r="454" spans="1:10" x14ac:dyDescent="0.35">
      <c r="A454" t="s">
        <v>623</v>
      </c>
      <c r="B454" s="10">
        <v>45740</v>
      </c>
      <c r="C454" t="s">
        <v>308</v>
      </c>
      <c r="D454" t="s">
        <v>54</v>
      </c>
      <c r="E454" t="s">
        <v>64</v>
      </c>
      <c r="F454" t="s">
        <v>54</v>
      </c>
      <c r="G454">
        <v>327.27</v>
      </c>
      <c r="H454" t="s">
        <v>15</v>
      </c>
      <c r="I454" t="s">
        <v>22</v>
      </c>
      <c r="J454" t="s">
        <v>89</v>
      </c>
    </row>
    <row r="455" spans="1:10" x14ac:dyDescent="0.35">
      <c r="A455" t="s">
        <v>624</v>
      </c>
      <c r="B455" s="10">
        <v>45741</v>
      </c>
      <c r="C455" t="s">
        <v>130</v>
      </c>
      <c r="D455" t="s">
        <v>12</v>
      </c>
      <c r="E455" t="s">
        <v>26</v>
      </c>
      <c r="F455" t="s">
        <v>14</v>
      </c>
      <c r="G455">
        <v>43.48</v>
      </c>
      <c r="H455" t="s">
        <v>21</v>
      </c>
      <c r="I455" t="s">
        <v>47</v>
      </c>
      <c r="J455" t="s">
        <v>48</v>
      </c>
    </row>
    <row r="456" spans="1:10" x14ac:dyDescent="0.35">
      <c r="A456" t="s">
        <v>625</v>
      </c>
      <c r="B456" s="10">
        <v>45742</v>
      </c>
      <c r="C456" t="s">
        <v>79</v>
      </c>
      <c r="D456" t="s">
        <v>80</v>
      </c>
      <c r="E456" t="s">
        <v>81</v>
      </c>
      <c r="F456" t="s">
        <v>14</v>
      </c>
      <c r="G456">
        <v>40.26</v>
      </c>
      <c r="H456" t="s">
        <v>15</v>
      </c>
      <c r="I456" t="s">
        <v>22</v>
      </c>
      <c r="J456" t="s">
        <v>82</v>
      </c>
    </row>
    <row r="457" spans="1:10" x14ac:dyDescent="0.35">
      <c r="A457" t="s">
        <v>626</v>
      </c>
      <c r="B457" s="10">
        <v>45742</v>
      </c>
      <c r="C457" t="s">
        <v>111</v>
      </c>
      <c r="D457" t="s">
        <v>12</v>
      </c>
      <c r="E457" t="s">
        <v>26</v>
      </c>
      <c r="F457" t="s">
        <v>14</v>
      </c>
      <c r="G457">
        <v>89.81</v>
      </c>
      <c r="H457" t="s">
        <v>21</v>
      </c>
      <c r="I457" t="s">
        <v>47</v>
      </c>
      <c r="J457" t="s">
        <v>23</v>
      </c>
    </row>
    <row r="458" spans="1:10" x14ac:dyDescent="0.35">
      <c r="A458" t="s">
        <v>627</v>
      </c>
      <c r="B458" s="10">
        <v>45742</v>
      </c>
      <c r="C458" t="s">
        <v>76</v>
      </c>
      <c r="D458" t="s">
        <v>12</v>
      </c>
      <c r="E458" t="s">
        <v>13</v>
      </c>
      <c r="F458" t="s">
        <v>14</v>
      </c>
      <c r="G458">
        <v>92.2</v>
      </c>
      <c r="H458" t="s">
        <v>15</v>
      </c>
      <c r="I458" t="s">
        <v>84</v>
      </c>
      <c r="J458" t="s">
        <v>77</v>
      </c>
    </row>
    <row r="459" spans="1:10" x14ac:dyDescent="0.35">
      <c r="A459" t="s">
        <v>628</v>
      </c>
      <c r="B459" s="10">
        <v>45742</v>
      </c>
      <c r="C459" t="s">
        <v>580</v>
      </c>
      <c r="D459" t="s">
        <v>80</v>
      </c>
      <c r="E459" t="s">
        <v>81</v>
      </c>
      <c r="F459" t="s">
        <v>14</v>
      </c>
      <c r="G459">
        <v>56.41</v>
      </c>
      <c r="H459" t="s">
        <v>98</v>
      </c>
      <c r="I459" t="s">
        <v>22</v>
      </c>
      <c r="J459" t="s">
        <v>118</v>
      </c>
    </row>
    <row r="460" spans="1:10" x14ac:dyDescent="0.35">
      <c r="A460" t="s">
        <v>629</v>
      </c>
      <c r="B460" s="10">
        <v>45743</v>
      </c>
      <c r="C460" t="s">
        <v>177</v>
      </c>
      <c r="D460" t="s">
        <v>54</v>
      </c>
      <c r="E460" t="s">
        <v>74</v>
      </c>
      <c r="F460" t="s">
        <v>54</v>
      </c>
      <c r="G460">
        <v>2192.88</v>
      </c>
      <c r="H460" t="s">
        <v>21</v>
      </c>
      <c r="I460" t="s">
        <v>22</v>
      </c>
      <c r="J460" t="s">
        <v>56</v>
      </c>
    </row>
    <row r="461" spans="1:10" x14ac:dyDescent="0.35">
      <c r="A461" t="s">
        <v>630</v>
      </c>
      <c r="B461" s="10">
        <v>45743</v>
      </c>
      <c r="C461" t="s">
        <v>121</v>
      </c>
      <c r="D461" t="s">
        <v>34</v>
      </c>
      <c r="E461" t="s">
        <v>122</v>
      </c>
      <c r="F461" t="s">
        <v>14</v>
      </c>
      <c r="G461">
        <v>116.04</v>
      </c>
      <c r="H461" t="s">
        <v>21</v>
      </c>
      <c r="I461" t="s">
        <v>22</v>
      </c>
      <c r="J461" t="s">
        <v>123</v>
      </c>
    </row>
    <row r="462" spans="1:10" x14ac:dyDescent="0.35">
      <c r="A462" t="s">
        <v>631</v>
      </c>
      <c r="B462" s="10">
        <v>45743</v>
      </c>
      <c r="C462" t="s">
        <v>138</v>
      </c>
      <c r="D462" t="s">
        <v>12</v>
      </c>
      <c r="E462" t="s">
        <v>26</v>
      </c>
      <c r="F462" t="s">
        <v>14</v>
      </c>
      <c r="G462">
        <v>12.77</v>
      </c>
      <c r="H462" t="s">
        <v>21</v>
      </c>
      <c r="I462" t="s">
        <v>22</v>
      </c>
      <c r="J462" t="s">
        <v>77</v>
      </c>
    </row>
    <row r="463" spans="1:10" x14ac:dyDescent="0.35">
      <c r="A463" t="s">
        <v>632</v>
      </c>
      <c r="B463" s="10">
        <v>45743</v>
      </c>
      <c r="C463" t="s">
        <v>143</v>
      </c>
      <c r="D463" t="s">
        <v>54</v>
      </c>
      <c r="E463" t="s">
        <v>55</v>
      </c>
      <c r="F463" t="s">
        <v>54</v>
      </c>
      <c r="G463">
        <v>621.12</v>
      </c>
      <c r="H463" t="s">
        <v>21</v>
      </c>
      <c r="I463" t="s">
        <v>22</v>
      </c>
      <c r="J463" t="s">
        <v>89</v>
      </c>
    </row>
    <row r="464" spans="1:10" x14ac:dyDescent="0.35">
      <c r="A464" t="s">
        <v>633</v>
      </c>
      <c r="B464" s="10">
        <v>45743</v>
      </c>
      <c r="C464" t="s">
        <v>138</v>
      </c>
      <c r="D464" t="s">
        <v>12</v>
      </c>
      <c r="E464" t="s">
        <v>26</v>
      </c>
      <c r="F464" t="s">
        <v>14</v>
      </c>
      <c r="G464">
        <v>14.69</v>
      </c>
      <c r="H464" t="s">
        <v>21</v>
      </c>
      <c r="I464" t="s">
        <v>84</v>
      </c>
      <c r="J464" t="s">
        <v>77</v>
      </c>
    </row>
    <row r="465" spans="1:10" x14ac:dyDescent="0.35">
      <c r="A465" t="s">
        <v>634</v>
      </c>
      <c r="B465" s="10">
        <v>45743</v>
      </c>
      <c r="C465" t="s">
        <v>88</v>
      </c>
      <c r="D465" t="s">
        <v>54</v>
      </c>
      <c r="E465" t="s">
        <v>74</v>
      </c>
      <c r="F465" t="s">
        <v>54</v>
      </c>
      <c r="G465">
        <v>2523.0300000000002</v>
      </c>
      <c r="H465" t="s">
        <v>15</v>
      </c>
      <c r="I465" t="s">
        <v>16</v>
      </c>
      <c r="J465" t="s">
        <v>89</v>
      </c>
    </row>
    <row r="466" spans="1:10" x14ac:dyDescent="0.35">
      <c r="A466" t="s">
        <v>635</v>
      </c>
      <c r="B466" s="10">
        <v>45744</v>
      </c>
      <c r="C466" t="s">
        <v>376</v>
      </c>
      <c r="D466" t="s">
        <v>80</v>
      </c>
      <c r="E466" t="s">
        <v>117</v>
      </c>
      <c r="F466" t="s">
        <v>14</v>
      </c>
      <c r="G466">
        <v>180.33</v>
      </c>
      <c r="H466" t="s">
        <v>15</v>
      </c>
      <c r="I466" t="s">
        <v>22</v>
      </c>
      <c r="J466" t="s">
        <v>82</v>
      </c>
    </row>
    <row r="467" spans="1:10" x14ac:dyDescent="0.35">
      <c r="A467" t="s">
        <v>636</v>
      </c>
      <c r="B467" s="10">
        <v>45744</v>
      </c>
      <c r="C467" t="s">
        <v>269</v>
      </c>
      <c r="D467" t="s">
        <v>34</v>
      </c>
      <c r="E467" t="s">
        <v>35</v>
      </c>
      <c r="F467" t="s">
        <v>14</v>
      </c>
      <c r="G467">
        <v>175.31</v>
      </c>
      <c r="H467" t="s">
        <v>15</v>
      </c>
      <c r="I467" t="s">
        <v>47</v>
      </c>
      <c r="J467" t="s">
        <v>123</v>
      </c>
    </row>
    <row r="468" spans="1:10" x14ac:dyDescent="0.35">
      <c r="A468" t="s">
        <v>637</v>
      </c>
      <c r="B468" s="10">
        <v>45744</v>
      </c>
      <c r="C468" t="s">
        <v>251</v>
      </c>
      <c r="D468" t="s">
        <v>29</v>
      </c>
      <c r="E468" t="s">
        <v>151</v>
      </c>
      <c r="F468" t="s">
        <v>14</v>
      </c>
      <c r="G468">
        <v>39.5</v>
      </c>
      <c r="H468" t="s">
        <v>21</v>
      </c>
      <c r="I468" t="s">
        <v>22</v>
      </c>
      <c r="J468" t="s">
        <v>31</v>
      </c>
    </row>
    <row r="469" spans="1:10" x14ac:dyDescent="0.35">
      <c r="A469" t="s">
        <v>638</v>
      </c>
      <c r="B469" s="10">
        <v>45744</v>
      </c>
      <c r="C469" t="s">
        <v>217</v>
      </c>
      <c r="D469" t="s">
        <v>80</v>
      </c>
      <c r="E469" t="s">
        <v>81</v>
      </c>
      <c r="F469" t="s">
        <v>14</v>
      </c>
      <c r="G469">
        <v>41.45</v>
      </c>
      <c r="H469" t="s">
        <v>15</v>
      </c>
      <c r="I469" t="s">
        <v>22</v>
      </c>
      <c r="J469" t="s">
        <v>180</v>
      </c>
    </row>
    <row r="470" spans="1:10" x14ac:dyDescent="0.35">
      <c r="A470" t="s">
        <v>639</v>
      </c>
      <c r="B470" s="10">
        <v>45744</v>
      </c>
      <c r="C470" t="s">
        <v>63</v>
      </c>
      <c r="D470" t="s">
        <v>54</v>
      </c>
      <c r="E470" t="s">
        <v>64</v>
      </c>
      <c r="F470" t="s">
        <v>54</v>
      </c>
      <c r="G470">
        <v>398.71</v>
      </c>
      <c r="H470" t="s">
        <v>15</v>
      </c>
      <c r="I470" t="s">
        <v>22</v>
      </c>
      <c r="J470" t="s">
        <v>65</v>
      </c>
    </row>
    <row r="471" spans="1:10" x14ac:dyDescent="0.35">
      <c r="A471" t="s">
        <v>640</v>
      </c>
      <c r="B471" s="10">
        <v>45745</v>
      </c>
      <c r="C471" t="s">
        <v>73</v>
      </c>
      <c r="D471" t="s">
        <v>54</v>
      </c>
      <c r="E471" t="s">
        <v>74</v>
      </c>
      <c r="F471" t="s">
        <v>54</v>
      </c>
      <c r="G471">
        <v>2745.3</v>
      </c>
      <c r="H471" t="s">
        <v>21</v>
      </c>
      <c r="I471" t="s">
        <v>36</v>
      </c>
      <c r="J471" t="s">
        <v>65</v>
      </c>
    </row>
    <row r="472" spans="1:10" x14ac:dyDescent="0.35">
      <c r="A472" t="s">
        <v>641</v>
      </c>
      <c r="B472" s="10">
        <v>45745</v>
      </c>
      <c r="C472" t="s">
        <v>150</v>
      </c>
      <c r="D472" t="s">
        <v>29</v>
      </c>
      <c r="E472" t="s">
        <v>30</v>
      </c>
      <c r="F472" t="s">
        <v>14</v>
      </c>
      <c r="G472">
        <v>59.39</v>
      </c>
      <c r="H472" t="s">
        <v>15</v>
      </c>
      <c r="I472" t="s">
        <v>22</v>
      </c>
      <c r="J472" t="s">
        <v>151</v>
      </c>
    </row>
    <row r="473" spans="1:10" x14ac:dyDescent="0.35">
      <c r="A473" t="s">
        <v>642</v>
      </c>
      <c r="B473" s="10">
        <v>45745</v>
      </c>
      <c r="C473" t="s">
        <v>111</v>
      </c>
      <c r="D473" t="s">
        <v>12</v>
      </c>
      <c r="E473" t="s">
        <v>26</v>
      </c>
      <c r="F473" t="s">
        <v>14</v>
      </c>
      <c r="G473">
        <v>125.58</v>
      </c>
      <c r="H473" t="s">
        <v>15</v>
      </c>
      <c r="I473" t="s">
        <v>16</v>
      </c>
      <c r="J473" t="s">
        <v>23</v>
      </c>
    </row>
    <row r="474" spans="1:10" x14ac:dyDescent="0.35">
      <c r="A474" t="s">
        <v>643</v>
      </c>
      <c r="B474" s="10">
        <v>45745</v>
      </c>
      <c r="C474" t="s">
        <v>220</v>
      </c>
      <c r="D474" t="s">
        <v>59</v>
      </c>
      <c r="E474" t="s">
        <v>199</v>
      </c>
      <c r="F474" t="s">
        <v>14</v>
      </c>
      <c r="G474">
        <v>317.12</v>
      </c>
      <c r="H474" t="s">
        <v>21</v>
      </c>
      <c r="I474" t="s">
        <v>16</v>
      </c>
      <c r="J474" t="s">
        <v>211</v>
      </c>
    </row>
    <row r="475" spans="1:10" x14ac:dyDescent="0.35">
      <c r="A475" t="s">
        <v>644</v>
      </c>
      <c r="B475" s="10">
        <v>45745</v>
      </c>
      <c r="C475" t="s">
        <v>350</v>
      </c>
      <c r="D475" t="s">
        <v>29</v>
      </c>
      <c r="E475" t="s">
        <v>151</v>
      </c>
      <c r="F475" t="s">
        <v>14</v>
      </c>
      <c r="G475">
        <v>23.47</v>
      </c>
      <c r="H475" t="s">
        <v>15</v>
      </c>
      <c r="I475" t="s">
        <v>22</v>
      </c>
      <c r="J475" t="s">
        <v>158</v>
      </c>
    </row>
    <row r="476" spans="1:10" x14ac:dyDescent="0.35">
      <c r="A476" t="s">
        <v>645</v>
      </c>
      <c r="B476" s="10">
        <v>45745</v>
      </c>
      <c r="C476" t="s">
        <v>464</v>
      </c>
      <c r="D476" t="s">
        <v>34</v>
      </c>
      <c r="E476" t="s">
        <v>122</v>
      </c>
      <c r="F476" t="s">
        <v>14</v>
      </c>
      <c r="G476">
        <v>75.2</v>
      </c>
      <c r="H476" t="s">
        <v>98</v>
      </c>
      <c r="I476" t="s">
        <v>36</v>
      </c>
      <c r="J476" t="s">
        <v>239</v>
      </c>
    </row>
    <row r="477" spans="1:10" x14ac:dyDescent="0.35">
      <c r="A477" t="s">
        <v>646</v>
      </c>
      <c r="B477" s="10">
        <v>45745</v>
      </c>
      <c r="C477" t="s">
        <v>376</v>
      </c>
      <c r="D477" t="s">
        <v>80</v>
      </c>
      <c r="E477" t="s">
        <v>117</v>
      </c>
      <c r="F477" t="s">
        <v>14</v>
      </c>
      <c r="G477">
        <v>222.01</v>
      </c>
      <c r="H477" t="s">
        <v>15</v>
      </c>
      <c r="I477" t="s">
        <v>47</v>
      </c>
      <c r="J477" t="s">
        <v>82</v>
      </c>
    </row>
    <row r="478" spans="1:10" x14ac:dyDescent="0.35">
      <c r="A478" t="s">
        <v>647</v>
      </c>
      <c r="B478" s="10">
        <v>45745</v>
      </c>
      <c r="C478" t="s">
        <v>243</v>
      </c>
      <c r="D478" t="s">
        <v>101</v>
      </c>
      <c r="E478" t="s">
        <v>244</v>
      </c>
      <c r="F478" t="s">
        <v>14</v>
      </c>
      <c r="G478">
        <v>39.380000000000003</v>
      </c>
      <c r="H478" t="s">
        <v>21</v>
      </c>
      <c r="I478" t="s">
        <v>36</v>
      </c>
      <c r="J478" t="s">
        <v>102</v>
      </c>
    </row>
    <row r="479" spans="1:10" x14ac:dyDescent="0.35">
      <c r="A479" t="s">
        <v>648</v>
      </c>
      <c r="B479" s="10">
        <v>45746</v>
      </c>
      <c r="C479" t="s">
        <v>350</v>
      </c>
      <c r="D479" t="s">
        <v>29</v>
      </c>
      <c r="E479" t="s">
        <v>151</v>
      </c>
      <c r="F479" t="s">
        <v>14</v>
      </c>
      <c r="G479">
        <v>48.04</v>
      </c>
      <c r="H479" t="s">
        <v>98</v>
      </c>
      <c r="I479" t="s">
        <v>16</v>
      </c>
      <c r="J479" t="s">
        <v>158</v>
      </c>
    </row>
    <row r="480" spans="1:10" x14ac:dyDescent="0.35">
      <c r="A480" t="s">
        <v>649</v>
      </c>
      <c r="B480" s="10">
        <v>45746</v>
      </c>
      <c r="C480" t="s">
        <v>100</v>
      </c>
      <c r="D480" t="s">
        <v>101</v>
      </c>
      <c r="E480" t="s">
        <v>102</v>
      </c>
      <c r="F480" t="s">
        <v>14</v>
      </c>
      <c r="G480">
        <v>43.51</v>
      </c>
      <c r="H480" t="s">
        <v>21</v>
      </c>
      <c r="I480" t="s">
        <v>47</v>
      </c>
      <c r="J480" t="s">
        <v>103</v>
      </c>
    </row>
    <row r="481" spans="1:10" x14ac:dyDescent="0.35">
      <c r="A481" t="s">
        <v>650</v>
      </c>
      <c r="B481" s="10">
        <v>45746</v>
      </c>
      <c r="C481" t="s">
        <v>63</v>
      </c>
      <c r="D481" t="s">
        <v>54</v>
      </c>
      <c r="E481" t="s">
        <v>64</v>
      </c>
      <c r="F481" t="s">
        <v>54</v>
      </c>
      <c r="G481">
        <v>342.97</v>
      </c>
      <c r="H481" t="s">
        <v>15</v>
      </c>
      <c r="I481" t="s">
        <v>84</v>
      </c>
      <c r="J481" t="s">
        <v>65</v>
      </c>
    </row>
    <row r="482" spans="1:10" x14ac:dyDescent="0.35">
      <c r="A482" t="s">
        <v>651</v>
      </c>
      <c r="B482" s="10">
        <v>45746</v>
      </c>
      <c r="C482" t="s">
        <v>198</v>
      </c>
      <c r="D482" t="s">
        <v>59</v>
      </c>
      <c r="E482" t="s">
        <v>199</v>
      </c>
      <c r="F482" t="s">
        <v>14</v>
      </c>
      <c r="G482">
        <v>180.41</v>
      </c>
      <c r="H482" t="s">
        <v>21</v>
      </c>
      <c r="I482" t="s">
        <v>22</v>
      </c>
      <c r="J482" t="s">
        <v>61</v>
      </c>
    </row>
    <row r="483" spans="1:10" x14ac:dyDescent="0.35">
      <c r="A483" t="s">
        <v>652</v>
      </c>
      <c r="B483" s="10">
        <v>45746</v>
      </c>
      <c r="C483" t="s">
        <v>194</v>
      </c>
      <c r="D483" t="s">
        <v>101</v>
      </c>
      <c r="E483" t="s">
        <v>136</v>
      </c>
      <c r="F483" t="s">
        <v>14</v>
      </c>
      <c r="G483">
        <v>101.45</v>
      </c>
      <c r="H483" t="s">
        <v>15</v>
      </c>
      <c r="I483" t="s">
        <v>22</v>
      </c>
      <c r="J483" t="s">
        <v>103</v>
      </c>
    </row>
    <row r="484" spans="1:10" x14ac:dyDescent="0.35">
      <c r="A484" t="s">
        <v>653</v>
      </c>
      <c r="B484" s="10">
        <v>45746</v>
      </c>
      <c r="C484" t="s">
        <v>177</v>
      </c>
      <c r="D484" t="s">
        <v>54</v>
      </c>
      <c r="E484" t="s">
        <v>74</v>
      </c>
      <c r="F484" t="s">
        <v>54</v>
      </c>
      <c r="G484">
        <v>2466.85</v>
      </c>
      <c r="H484" t="s">
        <v>15</v>
      </c>
      <c r="I484" t="s">
        <v>36</v>
      </c>
      <c r="J484" t="s">
        <v>56</v>
      </c>
    </row>
    <row r="485" spans="1:10" x14ac:dyDescent="0.35">
      <c r="A485" t="s">
        <v>654</v>
      </c>
      <c r="B485" s="10">
        <v>45746</v>
      </c>
      <c r="C485" t="s">
        <v>308</v>
      </c>
      <c r="D485" t="s">
        <v>54</v>
      </c>
      <c r="E485" t="s">
        <v>64</v>
      </c>
      <c r="F485" t="s">
        <v>54</v>
      </c>
      <c r="G485">
        <v>333.23</v>
      </c>
      <c r="H485" t="s">
        <v>15</v>
      </c>
      <c r="I485" t="s">
        <v>22</v>
      </c>
      <c r="J485" t="s">
        <v>89</v>
      </c>
    </row>
    <row r="486" spans="1:10" x14ac:dyDescent="0.35">
      <c r="A486" t="s">
        <v>655</v>
      </c>
      <c r="B486" s="10">
        <v>45746</v>
      </c>
      <c r="C486" t="s">
        <v>177</v>
      </c>
      <c r="D486" t="s">
        <v>54</v>
      </c>
      <c r="E486" t="s">
        <v>74</v>
      </c>
      <c r="F486" t="s">
        <v>54</v>
      </c>
      <c r="G486">
        <v>2253.17</v>
      </c>
      <c r="H486" t="s">
        <v>15</v>
      </c>
      <c r="I486" t="s">
        <v>36</v>
      </c>
      <c r="J486" t="s">
        <v>56</v>
      </c>
    </row>
    <row r="487" spans="1:10" x14ac:dyDescent="0.35">
      <c r="A487" t="s">
        <v>656</v>
      </c>
      <c r="B487" s="10">
        <v>45746</v>
      </c>
      <c r="C487" t="s">
        <v>113</v>
      </c>
      <c r="D487" t="s">
        <v>34</v>
      </c>
      <c r="E487" t="s">
        <v>40</v>
      </c>
      <c r="F487" t="s">
        <v>14</v>
      </c>
      <c r="G487">
        <v>203.75</v>
      </c>
      <c r="H487" t="s">
        <v>15</v>
      </c>
      <c r="I487" t="s">
        <v>22</v>
      </c>
      <c r="J487" t="s">
        <v>37</v>
      </c>
    </row>
    <row r="488" spans="1:10" x14ac:dyDescent="0.35">
      <c r="A488" t="s">
        <v>657</v>
      </c>
      <c r="B488" s="10">
        <v>45746</v>
      </c>
      <c r="C488" t="s">
        <v>153</v>
      </c>
      <c r="D488" t="s">
        <v>34</v>
      </c>
      <c r="E488" t="s">
        <v>122</v>
      </c>
      <c r="F488" t="s">
        <v>14</v>
      </c>
      <c r="G488">
        <v>158.34</v>
      </c>
      <c r="H488" t="s">
        <v>98</v>
      </c>
      <c r="I488" t="s">
        <v>22</v>
      </c>
      <c r="J488" t="s">
        <v>41</v>
      </c>
    </row>
    <row r="489" spans="1:10" x14ac:dyDescent="0.35">
      <c r="A489" t="s">
        <v>658</v>
      </c>
      <c r="B489" s="10">
        <v>45747</v>
      </c>
      <c r="C489" t="s">
        <v>259</v>
      </c>
      <c r="D489" t="s">
        <v>59</v>
      </c>
      <c r="E489" t="s">
        <v>199</v>
      </c>
      <c r="F489" t="s">
        <v>14</v>
      </c>
      <c r="G489">
        <v>197.71</v>
      </c>
      <c r="H489" t="s">
        <v>15</v>
      </c>
      <c r="I489" t="s">
        <v>22</v>
      </c>
      <c r="J489" t="s">
        <v>170</v>
      </c>
    </row>
    <row r="490" spans="1:10" x14ac:dyDescent="0.35">
      <c r="A490" t="s">
        <v>659</v>
      </c>
      <c r="B490" s="10">
        <v>45747</v>
      </c>
      <c r="C490" t="s">
        <v>229</v>
      </c>
      <c r="D490" t="s">
        <v>54</v>
      </c>
      <c r="E490" t="s">
        <v>64</v>
      </c>
      <c r="F490" t="s">
        <v>54</v>
      </c>
      <c r="G490">
        <v>329.09</v>
      </c>
      <c r="H490" t="s">
        <v>15</v>
      </c>
      <c r="I490" t="s">
        <v>36</v>
      </c>
      <c r="J490" t="s">
        <v>56</v>
      </c>
    </row>
    <row r="491" spans="1:10" x14ac:dyDescent="0.35">
      <c r="A491" t="s">
        <v>660</v>
      </c>
      <c r="B491" s="10">
        <v>45747</v>
      </c>
      <c r="C491" t="s">
        <v>272</v>
      </c>
      <c r="D491" t="s">
        <v>54</v>
      </c>
      <c r="E491" t="s">
        <v>55</v>
      </c>
      <c r="F491" t="s">
        <v>54</v>
      </c>
      <c r="G491">
        <v>746.83</v>
      </c>
      <c r="H491" t="s">
        <v>15</v>
      </c>
      <c r="I491" t="s">
        <v>36</v>
      </c>
      <c r="J491" t="s">
        <v>65</v>
      </c>
    </row>
    <row r="492" spans="1:10" x14ac:dyDescent="0.35">
      <c r="A492" t="s">
        <v>661</v>
      </c>
      <c r="B492" s="10">
        <v>45747</v>
      </c>
      <c r="C492" t="s">
        <v>324</v>
      </c>
      <c r="D492" t="s">
        <v>80</v>
      </c>
      <c r="E492" t="s">
        <v>92</v>
      </c>
      <c r="F492" t="s">
        <v>14</v>
      </c>
      <c r="G492">
        <v>57.63</v>
      </c>
      <c r="H492" t="s">
        <v>15</v>
      </c>
      <c r="I492" t="s">
        <v>84</v>
      </c>
      <c r="J492" t="s">
        <v>161</v>
      </c>
    </row>
    <row r="493" spans="1:10" x14ac:dyDescent="0.35">
      <c r="A493" t="s">
        <v>662</v>
      </c>
      <c r="B493" s="10">
        <v>45748</v>
      </c>
      <c r="C493" t="s">
        <v>445</v>
      </c>
      <c r="D493" t="s">
        <v>101</v>
      </c>
      <c r="E493" t="s">
        <v>244</v>
      </c>
      <c r="F493" t="s">
        <v>14</v>
      </c>
      <c r="G493">
        <v>32.54</v>
      </c>
      <c r="H493" t="s">
        <v>15</v>
      </c>
      <c r="I493" t="s">
        <v>36</v>
      </c>
      <c r="J493" t="s">
        <v>103</v>
      </c>
    </row>
    <row r="494" spans="1:10" x14ac:dyDescent="0.35">
      <c r="A494" t="s">
        <v>663</v>
      </c>
      <c r="B494" s="10">
        <v>45748</v>
      </c>
      <c r="C494" t="s">
        <v>63</v>
      </c>
      <c r="D494" t="s">
        <v>54</v>
      </c>
      <c r="E494" t="s">
        <v>64</v>
      </c>
      <c r="F494" t="s">
        <v>54</v>
      </c>
      <c r="G494">
        <v>329.47</v>
      </c>
      <c r="H494" t="s">
        <v>15</v>
      </c>
      <c r="I494" t="s">
        <v>22</v>
      </c>
      <c r="J494" t="s">
        <v>65</v>
      </c>
    </row>
    <row r="495" spans="1:10" x14ac:dyDescent="0.35">
      <c r="A495" t="s">
        <v>664</v>
      </c>
      <c r="B495" s="10">
        <v>45748</v>
      </c>
      <c r="C495" t="s">
        <v>259</v>
      </c>
      <c r="D495" t="s">
        <v>59</v>
      </c>
      <c r="E495" t="s">
        <v>199</v>
      </c>
      <c r="F495" t="s">
        <v>14</v>
      </c>
      <c r="G495">
        <v>339.91</v>
      </c>
      <c r="H495" t="s">
        <v>21</v>
      </c>
      <c r="I495" t="s">
        <v>36</v>
      </c>
      <c r="J495" t="s">
        <v>170</v>
      </c>
    </row>
    <row r="496" spans="1:10" x14ac:dyDescent="0.35">
      <c r="A496" t="s">
        <v>665</v>
      </c>
      <c r="B496" s="10">
        <v>45748</v>
      </c>
      <c r="C496" t="s">
        <v>88</v>
      </c>
      <c r="D496" t="s">
        <v>54</v>
      </c>
      <c r="E496" t="s">
        <v>74</v>
      </c>
      <c r="F496" t="s">
        <v>54</v>
      </c>
      <c r="G496">
        <v>2434.41</v>
      </c>
      <c r="H496" t="s">
        <v>21</v>
      </c>
      <c r="I496" t="s">
        <v>22</v>
      </c>
      <c r="J496" t="s">
        <v>89</v>
      </c>
    </row>
    <row r="497" spans="1:10" x14ac:dyDescent="0.35">
      <c r="A497" t="s">
        <v>666</v>
      </c>
      <c r="B497" s="10">
        <v>45749</v>
      </c>
      <c r="C497" t="s">
        <v>267</v>
      </c>
      <c r="D497" t="s">
        <v>29</v>
      </c>
      <c r="E497" t="s">
        <v>30</v>
      </c>
      <c r="F497" t="s">
        <v>14</v>
      </c>
      <c r="G497">
        <v>23.73</v>
      </c>
      <c r="H497" t="s">
        <v>15</v>
      </c>
      <c r="I497" t="s">
        <v>22</v>
      </c>
      <c r="J497" t="s">
        <v>96</v>
      </c>
    </row>
    <row r="498" spans="1:10" x14ac:dyDescent="0.35">
      <c r="A498" t="s">
        <v>667</v>
      </c>
      <c r="B498" s="10">
        <v>45749</v>
      </c>
      <c r="C498" t="s">
        <v>272</v>
      </c>
      <c r="D498" t="s">
        <v>54</v>
      </c>
      <c r="E498" t="s">
        <v>55</v>
      </c>
      <c r="F498" t="s">
        <v>54</v>
      </c>
      <c r="G498">
        <v>717.33</v>
      </c>
      <c r="H498" t="s">
        <v>15</v>
      </c>
      <c r="I498" t="s">
        <v>47</v>
      </c>
      <c r="J498" t="s">
        <v>65</v>
      </c>
    </row>
    <row r="499" spans="1:10" x14ac:dyDescent="0.35">
      <c r="A499" t="s">
        <v>668</v>
      </c>
      <c r="B499" s="10">
        <v>45749</v>
      </c>
      <c r="C499" t="s">
        <v>308</v>
      </c>
      <c r="D499" t="s">
        <v>54</v>
      </c>
      <c r="E499" t="s">
        <v>64</v>
      </c>
      <c r="F499" t="s">
        <v>54</v>
      </c>
      <c r="G499">
        <v>326.83999999999997</v>
      </c>
      <c r="H499" t="s">
        <v>15</v>
      </c>
      <c r="I499" t="s">
        <v>22</v>
      </c>
      <c r="J499" t="s">
        <v>89</v>
      </c>
    </row>
    <row r="500" spans="1:10" x14ac:dyDescent="0.35">
      <c r="A500" t="s">
        <v>669</v>
      </c>
      <c r="B500" s="10">
        <v>45750</v>
      </c>
      <c r="C500" t="s">
        <v>130</v>
      </c>
      <c r="D500" t="s">
        <v>12</v>
      </c>
      <c r="E500" t="s">
        <v>26</v>
      </c>
      <c r="F500" t="s">
        <v>14</v>
      </c>
      <c r="G500">
        <v>34.03</v>
      </c>
      <c r="H500" t="s">
        <v>15</v>
      </c>
      <c r="I500" t="s">
        <v>22</v>
      </c>
      <c r="J500" t="s">
        <v>48</v>
      </c>
    </row>
    <row r="501" spans="1:10" x14ac:dyDescent="0.35">
      <c r="A501" t="s">
        <v>670</v>
      </c>
      <c r="B501" s="10">
        <v>45750</v>
      </c>
      <c r="C501" t="s">
        <v>298</v>
      </c>
      <c r="D501" t="s">
        <v>59</v>
      </c>
      <c r="E501" t="s">
        <v>185</v>
      </c>
      <c r="F501" t="s">
        <v>14</v>
      </c>
      <c r="G501">
        <v>251.14</v>
      </c>
      <c r="H501" t="s">
        <v>21</v>
      </c>
      <c r="I501" t="s">
        <v>36</v>
      </c>
      <c r="J501" t="s">
        <v>170</v>
      </c>
    </row>
    <row r="502" spans="1:10" x14ac:dyDescent="0.35">
      <c r="A502" t="s">
        <v>671</v>
      </c>
      <c r="B502" s="10">
        <v>45750</v>
      </c>
      <c r="C502" t="s">
        <v>248</v>
      </c>
      <c r="D502" t="s">
        <v>80</v>
      </c>
      <c r="E502" t="s">
        <v>81</v>
      </c>
      <c r="F502" t="s">
        <v>14</v>
      </c>
      <c r="G502">
        <v>18.100000000000001</v>
      </c>
      <c r="H502" t="s">
        <v>15</v>
      </c>
      <c r="I502" t="s">
        <v>22</v>
      </c>
      <c r="J502" t="s">
        <v>161</v>
      </c>
    </row>
    <row r="503" spans="1:10" x14ac:dyDescent="0.35">
      <c r="A503" t="s">
        <v>672</v>
      </c>
      <c r="B503" s="10">
        <v>45751</v>
      </c>
      <c r="C503" t="s">
        <v>76</v>
      </c>
      <c r="D503" t="s">
        <v>12</v>
      </c>
      <c r="E503" t="s">
        <v>13</v>
      </c>
      <c r="F503" t="s">
        <v>14</v>
      </c>
      <c r="G503">
        <v>20.52</v>
      </c>
      <c r="H503" t="s">
        <v>21</v>
      </c>
      <c r="I503" t="s">
        <v>36</v>
      </c>
      <c r="J503" t="s">
        <v>77</v>
      </c>
    </row>
    <row r="504" spans="1:10" x14ac:dyDescent="0.35">
      <c r="A504" t="s">
        <v>673</v>
      </c>
      <c r="B504" s="10">
        <v>45752</v>
      </c>
      <c r="C504" t="s">
        <v>229</v>
      </c>
      <c r="D504" t="s">
        <v>54</v>
      </c>
      <c r="E504" t="s">
        <v>64</v>
      </c>
      <c r="F504" t="s">
        <v>54</v>
      </c>
      <c r="G504">
        <v>332.87</v>
      </c>
      <c r="H504" t="s">
        <v>98</v>
      </c>
      <c r="I504" t="s">
        <v>22</v>
      </c>
      <c r="J504" t="s">
        <v>56</v>
      </c>
    </row>
    <row r="505" spans="1:10" x14ac:dyDescent="0.35">
      <c r="A505" t="s">
        <v>674</v>
      </c>
      <c r="B505" s="10">
        <v>45752</v>
      </c>
      <c r="C505" t="s">
        <v>155</v>
      </c>
      <c r="D505" t="s">
        <v>12</v>
      </c>
      <c r="E505" t="s">
        <v>51</v>
      </c>
      <c r="F505" t="s">
        <v>14</v>
      </c>
      <c r="G505">
        <v>44.42</v>
      </c>
      <c r="H505" t="s">
        <v>98</v>
      </c>
      <c r="I505" t="s">
        <v>16</v>
      </c>
      <c r="J505" t="s">
        <v>48</v>
      </c>
    </row>
    <row r="506" spans="1:10" x14ac:dyDescent="0.35">
      <c r="A506" t="s">
        <v>675</v>
      </c>
      <c r="B506" s="10">
        <v>45753</v>
      </c>
      <c r="C506" t="s">
        <v>113</v>
      </c>
      <c r="D506" t="s">
        <v>34</v>
      </c>
      <c r="E506" t="s">
        <v>40</v>
      </c>
      <c r="F506" t="s">
        <v>14</v>
      </c>
      <c r="G506">
        <v>47.75</v>
      </c>
      <c r="H506" t="s">
        <v>15</v>
      </c>
      <c r="I506" t="s">
        <v>16</v>
      </c>
      <c r="J506" t="s">
        <v>37</v>
      </c>
    </row>
    <row r="507" spans="1:10" x14ac:dyDescent="0.35">
      <c r="A507" t="s">
        <v>676</v>
      </c>
      <c r="B507" s="10">
        <v>45753</v>
      </c>
      <c r="C507" t="s">
        <v>308</v>
      </c>
      <c r="D507" t="s">
        <v>54</v>
      </c>
      <c r="E507" t="s">
        <v>64</v>
      </c>
      <c r="F507" t="s">
        <v>54</v>
      </c>
      <c r="G507">
        <v>336.36</v>
      </c>
      <c r="H507" t="s">
        <v>15</v>
      </c>
      <c r="I507" t="s">
        <v>22</v>
      </c>
      <c r="J507" t="s">
        <v>89</v>
      </c>
    </row>
    <row r="508" spans="1:10" x14ac:dyDescent="0.35">
      <c r="A508" t="s">
        <v>677</v>
      </c>
      <c r="B508" s="10">
        <v>45753</v>
      </c>
      <c r="C508" t="s">
        <v>168</v>
      </c>
      <c r="D508" t="s">
        <v>59</v>
      </c>
      <c r="E508" t="s">
        <v>60</v>
      </c>
      <c r="F508" t="s">
        <v>14</v>
      </c>
      <c r="G508">
        <v>272.29000000000002</v>
      </c>
      <c r="H508" t="s">
        <v>15</v>
      </c>
      <c r="I508" t="s">
        <v>84</v>
      </c>
      <c r="J508" t="s">
        <v>170</v>
      </c>
    </row>
    <row r="509" spans="1:10" x14ac:dyDescent="0.35">
      <c r="A509" t="s">
        <v>678</v>
      </c>
      <c r="B509" s="10">
        <v>45753</v>
      </c>
      <c r="C509" t="s">
        <v>259</v>
      </c>
      <c r="D509" t="s">
        <v>59</v>
      </c>
      <c r="E509" t="s">
        <v>199</v>
      </c>
      <c r="F509" t="s">
        <v>14</v>
      </c>
      <c r="G509">
        <v>386.65</v>
      </c>
      <c r="H509" t="s">
        <v>15</v>
      </c>
      <c r="I509" t="s">
        <v>36</v>
      </c>
      <c r="J509" t="s">
        <v>170</v>
      </c>
    </row>
    <row r="510" spans="1:10" x14ac:dyDescent="0.35">
      <c r="A510" t="s">
        <v>679</v>
      </c>
      <c r="B510" s="10">
        <v>45754</v>
      </c>
      <c r="C510" t="s">
        <v>53</v>
      </c>
      <c r="D510" t="s">
        <v>54</v>
      </c>
      <c r="E510" t="s">
        <v>55</v>
      </c>
      <c r="F510" t="s">
        <v>54</v>
      </c>
      <c r="G510">
        <v>787.55</v>
      </c>
      <c r="H510" t="s">
        <v>15</v>
      </c>
      <c r="I510" t="s">
        <v>36</v>
      </c>
      <c r="J510" t="s">
        <v>56</v>
      </c>
    </row>
    <row r="511" spans="1:10" x14ac:dyDescent="0.35">
      <c r="A511" t="s">
        <v>680</v>
      </c>
      <c r="B511" s="10">
        <v>45754</v>
      </c>
      <c r="C511" t="s">
        <v>179</v>
      </c>
      <c r="D511" t="s">
        <v>80</v>
      </c>
      <c r="E511" t="s">
        <v>117</v>
      </c>
      <c r="F511" t="s">
        <v>14</v>
      </c>
      <c r="G511">
        <v>23.75</v>
      </c>
      <c r="H511" t="s">
        <v>98</v>
      </c>
      <c r="I511" t="s">
        <v>16</v>
      </c>
      <c r="J511" t="s">
        <v>180</v>
      </c>
    </row>
    <row r="512" spans="1:10" x14ac:dyDescent="0.35">
      <c r="A512" t="s">
        <v>681</v>
      </c>
      <c r="B512" s="10">
        <v>45754</v>
      </c>
      <c r="C512" t="s">
        <v>281</v>
      </c>
      <c r="D512" t="s">
        <v>34</v>
      </c>
      <c r="E512" t="s">
        <v>40</v>
      </c>
      <c r="F512" t="s">
        <v>14</v>
      </c>
      <c r="G512">
        <v>177.16</v>
      </c>
      <c r="H512" t="s">
        <v>21</v>
      </c>
      <c r="I512" t="s">
        <v>36</v>
      </c>
      <c r="J512" t="s">
        <v>123</v>
      </c>
    </row>
    <row r="513" spans="1:10" x14ac:dyDescent="0.35">
      <c r="A513" t="s">
        <v>682</v>
      </c>
      <c r="B513" s="10">
        <v>45754</v>
      </c>
      <c r="C513" t="s">
        <v>189</v>
      </c>
      <c r="D513" t="s">
        <v>34</v>
      </c>
      <c r="E513" t="s">
        <v>122</v>
      </c>
      <c r="F513" t="s">
        <v>14</v>
      </c>
      <c r="G513">
        <v>207.6</v>
      </c>
      <c r="H513" t="s">
        <v>21</v>
      </c>
      <c r="I513" t="s">
        <v>36</v>
      </c>
      <c r="J513" t="s">
        <v>37</v>
      </c>
    </row>
    <row r="514" spans="1:10" x14ac:dyDescent="0.35">
      <c r="A514" t="s">
        <v>683</v>
      </c>
      <c r="B514" s="10">
        <v>45754</v>
      </c>
      <c r="C514" t="s">
        <v>184</v>
      </c>
      <c r="D514" t="s">
        <v>59</v>
      </c>
      <c r="E514" t="s">
        <v>185</v>
      </c>
      <c r="F514" t="s">
        <v>14</v>
      </c>
      <c r="G514">
        <v>162.85</v>
      </c>
      <c r="H514" t="s">
        <v>15</v>
      </c>
      <c r="I514" t="s">
        <v>36</v>
      </c>
      <c r="J514" t="s">
        <v>61</v>
      </c>
    </row>
    <row r="515" spans="1:10" x14ac:dyDescent="0.35">
      <c r="A515" t="s">
        <v>684</v>
      </c>
      <c r="B515" s="10">
        <v>45754</v>
      </c>
      <c r="C515" t="s">
        <v>198</v>
      </c>
      <c r="D515" t="s">
        <v>59</v>
      </c>
      <c r="E515" t="s">
        <v>199</v>
      </c>
      <c r="F515" t="s">
        <v>14</v>
      </c>
      <c r="G515">
        <v>202.93</v>
      </c>
      <c r="H515" t="s">
        <v>15</v>
      </c>
      <c r="I515" t="s">
        <v>36</v>
      </c>
      <c r="J515" t="s">
        <v>61</v>
      </c>
    </row>
    <row r="516" spans="1:10" x14ac:dyDescent="0.35">
      <c r="A516" t="s">
        <v>685</v>
      </c>
      <c r="B516" s="10">
        <v>45754</v>
      </c>
      <c r="C516" t="s">
        <v>424</v>
      </c>
      <c r="D516" t="s">
        <v>101</v>
      </c>
      <c r="E516" t="s">
        <v>136</v>
      </c>
      <c r="F516" t="s">
        <v>14</v>
      </c>
      <c r="G516">
        <v>92.99</v>
      </c>
      <c r="H516" t="s">
        <v>15</v>
      </c>
      <c r="I516" t="s">
        <v>22</v>
      </c>
      <c r="J516" t="s">
        <v>102</v>
      </c>
    </row>
    <row r="517" spans="1:10" x14ac:dyDescent="0.35">
      <c r="A517" t="s">
        <v>686</v>
      </c>
      <c r="B517" s="10">
        <v>45754</v>
      </c>
      <c r="C517" t="s">
        <v>177</v>
      </c>
      <c r="D517" t="s">
        <v>54</v>
      </c>
      <c r="E517" t="s">
        <v>74</v>
      </c>
      <c r="F517" t="s">
        <v>54</v>
      </c>
      <c r="G517">
        <v>2676.19</v>
      </c>
      <c r="H517" t="s">
        <v>21</v>
      </c>
      <c r="I517" t="s">
        <v>22</v>
      </c>
      <c r="J517" t="s">
        <v>56</v>
      </c>
    </row>
    <row r="518" spans="1:10" x14ac:dyDescent="0.35">
      <c r="A518" t="s">
        <v>687</v>
      </c>
      <c r="B518" s="10">
        <v>45754</v>
      </c>
      <c r="C518" t="s">
        <v>63</v>
      </c>
      <c r="D518" t="s">
        <v>54</v>
      </c>
      <c r="E518" t="s">
        <v>64</v>
      </c>
      <c r="F518" t="s">
        <v>54</v>
      </c>
      <c r="G518">
        <v>359.76</v>
      </c>
      <c r="H518" t="s">
        <v>21</v>
      </c>
      <c r="I518" t="s">
        <v>16</v>
      </c>
      <c r="J518" t="s">
        <v>65</v>
      </c>
    </row>
    <row r="519" spans="1:10" x14ac:dyDescent="0.35">
      <c r="A519" t="s">
        <v>688</v>
      </c>
      <c r="B519" s="10">
        <v>45754</v>
      </c>
      <c r="C519" t="s">
        <v>58</v>
      </c>
      <c r="D519" t="s">
        <v>59</v>
      </c>
      <c r="E519" t="s">
        <v>60</v>
      </c>
      <c r="F519" t="s">
        <v>14</v>
      </c>
      <c r="G519">
        <v>142.30000000000001</v>
      </c>
      <c r="H519" t="s">
        <v>21</v>
      </c>
      <c r="I519" t="s">
        <v>36</v>
      </c>
      <c r="J519" t="s">
        <v>61</v>
      </c>
    </row>
    <row r="520" spans="1:10" x14ac:dyDescent="0.35">
      <c r="A520" t="s">
        <v>689</v>
      </c>
      <c r="B520" s="10">
        <v>45755</v>
      </c>
      <c r="C520" t="s">
        <v>464</v>
      </c>
      <c r="D520" t="s">
        <v>34</v>
      </c>
      <c r="E520" t="s">
        <v>122</v>
      </c>
      <c r="F520" t="s">
        <v>14</v>
      </c>
      <c r="G520">
        <v>136.63999999999999</v>
      </c>
      <c r="H520" t="s">
        <v>98</v>
      </c>
      <c r="I520" t="s">
        <v>22</v>
      </c>
      <c r="J520" t="s">
        <v>239</v>
      </c>
    </row>
    <row r="521" spans="1:10" x14ac:dyDescent="0.35">
      <c r="A521" t="s">
        <v>690</v>
      </c>
      <c r="B521" s="10">
        <v>45755</v>
      </c>
      <c r="C521" t="s">
        <v>46</v>
      </c>
      <c r="D521" t="s">
        <v>12</v>
      </c>
      <c r="E521" t="s">
        <v>13</v>
      </c>
      <c r="F521" t="s">
        <v>14</v>
      </c>
      <c r="G521">
        <v>44.47</v>
      </c>
      <c r="H521" t="s">
        <v>15</v>
      </c>
      <c r="I521" t="s">
        <v>22</v>
      </c>
      <c r="J521" t="s">
        <v>48</v>
      </c>
    </row>
    <row r="522" spans="1:10" x14ac:dyDescent="0.35">
      <c r="A522" t="s">
        <v>691</v>
      </c>
      <c r="B522" s="10">
        <v>45755</v>
      </c>
      <c r="C522" t="s">
        <v>189</v>
      </c>
      <c r="D522" t="s">
        <v>34</v>
      </c>
      <c r="E522" t="s">
        <v>122</v>
      </c>
      <c r="F522" t="s">
        <v>14</v>
      </c>
      <c r="G522">
        <v>182.82</v>
      </c>
      <c r="H522" t="s">
        <v>98</v>
      </c>
      <c r="I522" t="s">
        <v>47</v>
      </c>
      <c r="J522" t="s">
        <v>37</v>
      </c>
    </row>
    <row r="523" spans="1:10" x14ac:dyDescent="0.35">
      <c r="A523" t="s">
        <v>692</v>
      </c>
      <c r="B523" s="10">
        <v>45755</v>
      </c>
      <c r="C523" t="s">
        <v>130</v>
      </c>
      <c r="D523" t="s">
        <v>12</v>
      </c>
      <c r="E523" t="s">
        <v>26</v>
      </c>
      <c r="F523" t="s">
        <v>14</v>
      </c>
      <c r="G523">
        <v>63.61</v>
      </c>
      <c r="H523" t="s">
        <v>21</v>
      </c>
      <c r="I523" t="s">
        <v>16</v>
      </c>
      <c r="J523" t="s">
        <v>48</v>
      </c>
    </row>
    <row r="524" spans="1:10" x14ac:dyDescent="0.35">
      <c r="A524" t="s">
        <v>694</v>
      </c>
      <c r="B524" s="10">
        <v>45755</v>
      </c>
      <c r="C524" t="s">
        <v>179</v>
      </c>
      <c r="D524" t="s">
        <v>80</v>
      </c>
      <c r="E524" t="s">
        <v>117</v>
      </c>
      <c r="F524" t="s">
        <v>14</v>
      </c>
      <c r="G524">
        <v>33.06</v>
      </c>
      <c r="H524" t="s">
        <v>15</v>
      </c>
      <c r="I524" t="s">
        <v>22</v>
      </c>
      <c r="J524" t="s">
        <v>180</v>
      </c>
    </row>
    <row r="525" spans="1:10" x14ac:dyDescent="0.35">
      <c r="A525" t="s">
        <v>695</v>
      </c>
      <c r="B525" s="10">
        <v>45755</v>
      </c>
      <c r="C525" t="s">
        <v>125</v>
      </c>
      <c r="D525" t="s">
        <v>12</v>
      </c>
      <c r="E525" t="s">
        <v>13</v>
      </c>
      <c r="F525" t="s">
        <v>14</v>
      </c>
      <c r="G525">
        <v>42.56</v>
      </c>
      <c r="H525" t="s">
        <v>21</v>
      </c>
      <c r="I525" t="s">
        <v>47</v>
      </c>
      <c r="J525" t="s">
        <v>44</v>
      </c>
    </row>
    <row r="526" spans="1:10" x14ac:dyDescent="0.35">
      <c r="A526" t="s">
        <v>696</v>
      </c>
      <c r="B526" s="10">
        <v>45755</v>
      </c>
      <c r="C526" t="s">
        <v>220</v>
      </c>
      <c r="D526" t="s">
        <v>59</v>
      </c>
      <c r="E526" t="s">
        <v>199</v>
      </c>
      <c r="F526" t="s">
        <v>14</v>
      </c>
      <c r="G526">
        <v>108.67</v>
      </c>
      <c r="H526" t="s">
        <v>15</v>
      </c>
      <c r="I526" t="s">
        <v>22</v>
      </c>
      <c r="J526" t="s">
        <v>211</v>
      </c>
    </row>
    <row r="527" spans="1:10" x14ac:dyDescent="0.35">
      <c r="A527" t="s">
        <v>697</v>
      </c>
      <c r="B527" s="10">
        <v>45755</v>
      </c>
      <c r="C527" t="s">
        <v>298</v>
      </c>
      <c r="D527" t="s">
        <v>59</v>
      </c>
      <c r="E527" t="s">
        <v>185</v>
      </c>
      <c r="F527" t="s">
        <v>14</v>
      </c>
      <c r="G527">
        <v>167.72</v>
      </c>
      <c r="H527" t="s">
        <v>21</v>
      </c>
      <c r="I527" t="s">
        <v>47</v>
      </c>
      <c r="J527" t="s">
        <v>170</v>
      </c>
    </row>
    <row r="528" spans="1:10" x14ac:dyDescent="0.35">
      <c r="A528" t="s">
        <v>698</v>
      </c>
      <c r="B528" s="10">
        <v>45755</v>
      </c>
      <c r="C528" t="s">
        <v>94</v>
      </c>
      <c r="D528" t="s">
        <v>29</v>
      </c>
      <c r="E528" t="s">
        <v>95</v>
      </c>
      <c r="F528" t="s">
        <v>14</v>
      </c>
      <c r="G528">
        <v>39.51</v>
      </c>
      <c r="H528" t="s">
        <v>21</v>
      </c>
      <c r="I528" t="s">
        <v>36</v>
      </c>
      <c r="J528" t="s">
        <v>96</v>
      </c>
    </row>
    <row r="529" spans="1:10" x14ac:dyDescent="0.35">
      <c r="A529" t="s">
        <v>699</v>
      </c>
      <c r="B529" s="10">
        <v>45756</v>
      </c>
      <c r="C529" t="s">
        <v>140</v>
      </c>
      <c r="D529" t="s">
        <v>80</v>
      </c>
      <c r="E529" t="s">
        <v>81</v>
      </c>
      <c r="F529" t="s">
        <v>14</v>
      </c>
      <c r="G529">
        <v>175.67</v>
      </c>
      <c r="H529" t="s">
        <v>21</v>
      </c>
      <c r="I529" t="s">
        <v>84</v>
      </c>
      <c r="J529" t="s">
        <v>141</v>
      </c>
    </row>
    <row r="530" spans="1:10" x14ac:dyDescent="0.35">
      <c r="A530" t="s">
        <v>700</v>
      </c>
      <c r="B530" s="10">
        <v>45756</v>
      </c>
      <c r="C530" t="s">
        <v>415</v>
      </c>
      <c r="D530" t="s">
        <v>12</v>
      </c>
      <c r="E530" t="s">
        <v>51</v>
      </c>
      <c r="F530" t="s">
        <v>14</v>
      </c>
      <c r="G530">
        <v>98.92</v>
      </c>
      <c r="H530" t="s">
        <v>21</v>
      </c>
      <c r="I530" t="s">
        <v>22</v>
      </c>
      <c r="J530" t="s">
        <v>77</v>
      </c>
    </row>
    <row r="531" spans="1:10" x14ac:dyDescent="0.35">
      <c r="A531" t="s">
        <v>701</v>
      </c>
      <c r="B531" s="10">
        <v>45756</v>
      </c>
      <c r="C531" t="s">
        <v>345</v>
      </c>
      <c r="D531" t="s">
        <v>59</v>
      </c>
      <c r="E531" t="s">
        <v>60</v>
      </c>
      <c r="F531" t="s">
        <v>14</v>
      </c>
      <c r="G531">
        <v>458.01</v>
      </c>
      <c r="H531" t="s">
        <v>15</v>
      </c>
      <c r="I531" t="s">
        <v>22</v>
      </c>
      <c r="J531" t="s">
        <v>211</v>
      </c>
    </row>
    <row r="532" spans="1:10" x14ac:dyDescent="0.35">
      <c r="A532" t="s">
        <v>702</v>
      </c>
      <c r="B532" s="10">
        <v>45756</v>
      </c>
      <c r="C532" t="s">
        <v>308</v>
      </c>
      <c r="D532" t="s">
        <v>54</v>
      </c>
      <c r="E532" t="s">
        <v>64</v>
      </c>
      <c r="F532" t="s">
        <v>54</v>
      </c>
      <c r="G532">
        <v>299.19</v>
      </c>
      <c r="H532" t="s">
        <v>15</v>
      </c>
      <c r="I532" t="s">
        <v>22</v>
      </c>
      <c r="J532" t="s">
        <v>89</v>
      </c>
    </row>
    <row r="533" spans="1:10" x14ac:dyDescent="0.35">
      <c r="A533" t="s">
        <v>703</v>
      </c>
      <c r="B533" s="10">
        <v>45757</v>
      </c>
      <c r="C533" t="s">
        <v>25</v>
      </c>
      <c r="D533" t="s">
        <v>12</v>
      </c>
      <c r="E533" t="s">
        <v>26</v>
      </c>
      <c r="F533" t="s">
        <v>14</v>
      </c>
      <c r="G533">
        <v>76.88</v>
      </c>
      <c r="H533" t="s">
        <v>15</v>
      </c>
      <c r="I533" t="s">
        <v>22</v>
      </c>
      <c r="J533" t="s">
        <v>17</v>
      </c>
    </row>
    <row r="534" spans="1:10" x14ac:dyDescent="0.35">
      <c r="A534" t="s">
        <v>704</v>
      </c>
      <c r="B534" s="10">
        <v>45757</v>
      </c>
      <c r="C534" t="s">
        <v>220</v>
      </c>
      <c r="D534" t="s">
        <v>59</v>
      </c>
      <c r="E534" t="s">
        <v>199</v>
      </c>
      <c r="F534" t="s">
        <v>14</v>
      </c>
      <c r="G534">
        <v>219.77</v>
      </c>
      <c r="H534" t="s">
        <v>15</v>
      </c>
      <c r="I534" t="s">
        <v>22</v>
      </c>
      <c r="J534" t="s">
        <v>211</v>
      </c>
    </row>
    <row r="535" spans="1:10" x14ac:dyDescent="0.35">
      <c r="A535" t="s">
        <v>705</v>
      </c>
      <c r="B535" s="10">
        <v>45757</v>
      </c>
      <c r="C535" t="s">
        <v>140</v>
      </c>
      <c r="D535" t="s">
        <v>80</v>
      </c>
      <c r="E535" t="s">
        <v>81</v>
      </c>
      <c r="F535" t="s">
        <v>14</v>
      </c>
      <c r="G535">
        <v>86.76</v>
      </c>
      <c r="H535" t="s">
        <v>15</v>
      </c>
      <c r="I535" t="s">
        <v>22</v>
      </c>
      <c r="J535" t="s">
        <v>141</v>
      </c>
    </row>
    <row r="536" spans="1:10" x14ac:dyDescent="0.35">
      <c r="A536" t="s">
        <v>706</v>
      </c>
      <c r="B536" s="10">
        <v>45757</v>
      </c>
      <c r="C536" t="s">
        <v>229</v>
      </c>
      <c r="D536" t="s">
        <v>54</v>
      </c>
      <c r="E536" t="s">
        <v>64</v>
      </c>
      <c r="F536" t="s">
        <v>54</v>
      </c>
      <c r="G536">
        <v>336.9</v>
      </c>
      <c r="H536" t="s">
        <v>15</v>
      </c>
      <c r="I536" t="s">
        <v>16</v>
      </c>
      <c r="J536" t="s">
        <v>56</v>
      </c>
    </row>
    <row r="537" spans="1:10" x14ac:dyDescent="0.35">
      <c r="A537" t="s">
        <v>707</v>
      </c>
      <c r="B537" s="10">
        <v>45757</v>
      </c>
      <c r="C537" t="s">
        <v>308</v>
      </c>
      <c r="D537" t="s">
        <v>54</v>
      </c>
      <c r="E537" t="s">
        <v>64</v>
      </c>
      <c r="F537" t="s">
        <v>54</v>
      </c>
      <c r="G537">
        <v>382.77</v>
      </c>
      <c r="H537" t="s">
        <v>15</v>
      </c>
      <c r="I537" t="s">
        <v>16</v>
      </c>
      <c r="J537" t="s">
        <v>89</v>
      </c>
    </row>
    <row r="538" spans="1:10" x14ac:dyDescent="0.35">
      <c r="A538" t="s">
        <v>708</v>
      </c>
      <c r="B538" s="10">
        <v>45758</v>
      </c>
      <c r="C538" t="s">
        <v>33</v>
      </c>
      <c r="D538" t="s">
        <v>34</v>
      </c>
      <c r="E538" t="s">
        <v>35</v>
      </c>
      <c r="F538" t="s">
        <v>14</v>
      </c>
      <c r="G538">
        <v>441.99</v>
      </c>
      <c r="H538" t="s">
        <v>15</v>
      </c>
      <c r="I538" t="s">
        <v>36</v>
      </c>
      <c r="J538" t="s">
        <v>37</v>
      </c>
    </row>
    <row r="539" spans="1:10" x14ac:dyDescent="0.35">
      <c r="A539" t="s">
        <v>709</v>
      </c>
      <c r="B539" s="10">
        <v>45759</v>
      </c>
      <c r="C539" t="s">
        <v>175</v>
      </c>
      <c r="D539" t="s">
        <v>80</v>
      </c>
      <c r="E539" t="s">
        <v>92</v>
      </c>
      <c r="F539" t="s">
        <v>14</v>
      </c>
      <c r="G539">
        <v>86.07</v>
      </c>
      <c r="H539" t="s">
        <v>21</v>
      </c>
      <c r="I539" t="s">
        <v>36</v>
      </c>
      <c r="J539" t="s">
        <v>141</v>
      </c>
    </row>
    <row r="540" spans="1:10" x14ac:dyDescent="0.35">
      <c r="A540" t="s">
        <v>710</v>
      </c>
      <c r="B540" s="10">
        <v>45759</v>
      </c>
      <c r="C540" t="s">
        <v>68</v>
      </c>
      <c r="D540" t="s">
        <v>69</v>
      </c>
      <c r="E540" t="s">
        <v>70</v>
      </c>
      <c r="F540" t="s">
        <v>14</v>
      </c>
      <c r="G540">
        <v>583.03</v>
      </c>
      <c r="H540" t="s">
        <v>15</v>
      </c>
      <c r="I540" t="s">
        <v>36</v>
      </c>
      <c r="J540" t="s">
        <v>71</v>
      </c>
    </row>
    <row r="541" spans="1:10" x14ac:dyDescent="0.35">
      <c r="A541" t="s">
        <v>711</v>
      </c>
      <c r="B541" s="10">
        <v>45759</v>
      </c>
      <c r="C541" t="s">
        <v>331</v>
      </c>
      <c r="D541" t="s">
        <v>29</v>
      </c>
      <c r="E541" t="s">
        <v>95</v>
      </c>
      <c r="F541" t="s">
        <v>14</v>
      </c>
      <c r="G541">
        <v>70.64</v>
      </c>
      <c r="H541" t="s">
        <v>98</v>
      </c>
      <c r="I541" t="s">
        <v>22</v>
      </c>
      <c r="J541" t="s">
        <v>151</v>
      </c>
    </row>
    <row r="542" spans="1:10" x14ac:dyDescent="0.35">
      <c r="A542" t="s">
        <v>712</v>
      </c>
      <c r="B542" s="10">
        <v>45759</v>
      </c>
      <c r="C542" t="s">
        <v>28</v>
      </c>
      <c r="D542" t="s">
        <v>29</v>
      </c>
      <c r="E542" t="s">
        <v>30</v>
      </c>
      <c r="F542" t="s">
        <v>14</v>
      </c>
      <c r="G542">
        <v>21.62</v>
      </c>
      <c r="H542" t="s">
        <v>15</v>
      </c>
      <c r="I542" t="s">
        <v>36</v>
      </c>
      <c r="J542" t="s">
        <v>31</v>
      </c>
    </row>
    <row r="543" spans="1:10" x14ac:dyDescent="0.35">
      <c r="A543" t="s">
        <v>713</v>
      </c>
      <c r="B543" s="10">
        <v>45759</v>
      </c>
      <c r="C543" t="s">
        <v>76</v>
      </c>
      <c r="D543" t="s">
        <v>12</v>
      </c>
      <c r="E543" t="s">
        <v>13</v>
      </c>
      <c r="F543" t="s">
        <v>14</v>
      </c>
      <c r="G543">
        <v>54.68</v>
      </c>
      <c r="H543" t="s">
        <v>15</v>
      </c>
      <c r="I543" t="s">
        <v>22</v>
      </c>
      <c r="J543" t="s">
        <v>77</v>
      </c>
    </row>
    <row r="544" spans="1:10" x14ac:dyDescent="0.35">
      <c r="A544" t="s">
        <v>714</v>
      </c>
      <c r="B544" s="10">
        <v>45759</v>
      </c>
      <c r="C544" t="s">
        <v>150</v>
      </c>
      <c r="D544" t="s">
        <v>29</v>
      </c>
      <c r="E544" t="s">
        <v>30</v>
      </c>
      <c r="F544" t="s">
        <v>14</v>
      </c>
      <c r="G544">
        <v>40.21</v>
      </c>
      <c r="H544" t="s">
        <v>21</v>
      </c>
      <c r="I544" t="s">
        <v>22</v>
      </c>
      <c r="J544" t="s">
        <v>151</v>
      </c>
    </row>
    <row r="545" spans="1:10" x14ac:dyDescent="0.35">
      <c r="A545" t="s">
        <v>715</v>
      </c>
      <c r="B545" s="10">
        <v>45760</v>
      </c>
      <c r="C545" t="s">
        <v>296</v>
      </c>
      <c r="D545" t="s">
        <v>101</v>
      </c>
      <c r="E545" t="s">
        <v>136</v>
      </c>
      <c r="F545" t="s">
        <v>14</v>
      </c>
      <c r="G545">
        <v>34.22</v>
      </c>
      <c r="H545" t="s">
        <v>15</v>
      </c>
      <c r="I545" t="s">
        <v>22</v>
      </c>
      <c r="J545" t="s">
        <v>136</v>
      </c>
    </row>
    <row r="546" spans="1:10" x14ac:dyDescent="0.35">
      <c r="A546" t="s">
        <v>716</v>
      </c>
      <c r="B546" s="10">
        <v>45760</v>
      </c>
      <c r="C546" t="s">
        <v>76</v>
      </c>
      <c r="D546" t="s">
        <v>12</v>
      </c>
      <c r="E546" t="s">
        <v>13</v>
      </c>
      <c r="F546" t="s">
        <v>14</v>
      </c>
      <c r="G546">
        <v>23.47</v>
      </c>
      <c r="H546" t="s">
        <v>21</v>
      </c>
      <c r="I546" t="s">
        <v>36</v>
      </c>
      <c r="J546" t="s">
        <v>77</v>
      </c>
    </row>
    <row r="547" spans="1:10" x14ac:dyDescent="0.35">
      <c r="A547" t="s">
        <v>717</v>
      </c>
      <c r="B547" s="10">
        <v>45760</v>
      </c>
      <c r="C547" t="s">
        <v>243</v>
      </c>
      <c r="D547" t="s">
        <v>101</v>
      </c>
      <c r="E547" t="s">
        <v>244</v>
      </c>
      <c r="F547" t="s">
        <v>14</v>
      </c>
      <c r="G547">
        <v>144.96</v>
      </c>
      <c r="H547" t="s">
        <v>15</v>
      </c>
      <c r="I547" t="s">
        <v>36</v>
      </c>
      <c r="J547" t="s">
        <v>102</v>
      </c>
    </row>
    <row r="548" spans="1:10" x14ac:dyDescent="0.35">
      <c r="A548" t="s">
        <v>718</v>
      </c>
      <c r="B548" s="10">
        <v>45760</v>
      </c>
      <c r="C548" t="s">
        <v>281</v>
      </c>
      <c r="D548" t="s">
        <v>34</v>
      </c>
      <c r="E548" t="s">
        <v>40</v>
      </c>
      <c r="F548" t="s">
        <v>14</v>
      </c>
      <c r="G548">
        <v>243.16</v>
      </c>
      <c r="H548" t="s">
        <v>15</v>
      </c>
      <c r="I548" t="s">
        <v>22</v>
      </c>
      <c r="J548" t="s">
        <v>123</v>
      </c>
    </row>
    <row r="549" spans="1:10" x14ac:dyDescent="0.35">
      <c r="A549" t="s">
        <v>719</v>
      </c>
      <c r="B549" s="10">
        <v>45760</v>
      </c>
      <c r="C549" t="s">
        <v>229</v>
      </c>
      <c r="D549" t="s">
        <v>54</v>
      </c>
      <c r="E549" t="s">
        <v>64</v>
      </c>
      <c r="F549" t="s">
        <v>54</v>
      </c>
      <c r="G549">
        <v>334.87</v>
      </c>
      <c r="H549" t="s">
        <v>21</v>
      </c>
      <c r="I549" t="s">
        <v>36</v>
      </c>
      <c r="J549" t="s">
        <v>56</v>
      </c>
    </row>
    <row r="550" spans="1:10" x14ac:dyDescent="0.35">
      <c r="A550" t="s">
        <v>720</v>
      </c>
      <c r="B550" s="10">
        <v>45760</v>
      </c>
      <c r="C550" t="s">
        <v>153</v>
      </c>
      <c r="D550" t="s">
        <v>34</v>
      </c>
      <c r="E550" t="s">
        <v>122</v>
      </c>
      <c r="F550" t="s">
        <v>14</v>
      </c>
      <c r="G550">
        <v>96.21</v>
      </c>
      <c r="H550" t="s">
        <v>21</v>
      </c>
      <c r="I550" t="s">
        <v>36</v>
      </c>
      <c r="J550" t="s">
        <v>41</v>
      </c>
    </row>
    <row r="551" spans="1:10" x14ac:dyDescent="0.35">
      <c r="A551" t="s">
        <v>721</v>
      </c>
      <c r="B551" s="10">
        <v>45760</v>
      </c>
      <c r="C551" t="s">
        <v>116</v>
      </c>
      <c r="D551" t="s">
        <v>80</v>
      </c>
      <c r="E551" t="s">
        <v>117</v>
      </c>
      <c r="F551" t="s">
        <v>14</v>
      </c>
      <c r="G551">
        <v>38.270000000000003</v>
      </c>
      <c r="H551" t="s">
        <v>15</v>
      </c>
      <c r="I551" t="s">
        <v>36</v>
      </c>
      <c r="J551" t="s">
        <v>118</v>
      </c>
    </row>
    <row r="552" spans="1:10" x14ac:dyDescent="0.35">
      <c r="A552" t="s">
        <v>722</v>
      </c>
      <c r="B552" s="10">
        <v>45760</v>
      </c>
      <c r="C552" t="s">
        <v>198</v>
      </c>
      <c r="D552" t="s">
        <v>59</v>
      </c>
      <c r="E552" t="s">
        <v>199</v>
      </c>
      <c r="F552" t="s">
        <v>14</v>
      </c>
      <c r="G552">
        <v>177.47</v>
      </c>
      <c r="H552" t="s">
        <v>15</v>
      </c>
      <c r="I552" t="s">
        <v>22</v>
      </c>
      <c r="J552" t="s">
        <v>61</v>
      </c>
    </row>
    <row r="553" spans="1:10" x14ac:dyDescent="0.35">
      <c r="A553" t="s">
        <v>723</v>
      </c>
      <c r="B553" s="10">
        <v>45761</v>
      </c>
      <c r="C553" t="s">
        <v>177</v>
      </c>
      <c r="D553" t="s">
        <v>54</v>
      </c>
      <c r="E553" t="s">
        <v>74</v>
      </c>
      <c r="F553" t="s">
        <v>54</v>
      </c>
      <c r="G553">
        <v>1486.49</v>
      </c>
      <c r="H553" t="s">
        <v>21</v>
      </c>
      <c r="I553" t="s">
        <v>22</v>
      </c>
      <c r="J553" t="s">
        <v>56</v>
      </c>
    </row>
    <row r="554" spans="1:10" x14ac:dyDescent="0.35">
      <c r="A554" t="s">
        <v>724</v>
      </c>
      <c r="B554" s="10">
        <v>45761</v>
      </c>
      <c r="C554" t="s">
        <v>138</v>
      </c>
      <c r="D554" t="s">
        <v>12</v>
      </c>
      <c r="E554" t="s">
        <v>26</v>
      </c>
      <c r="F554" t="s">
        <v>14</v>
      </c>
      <c r="G554">
        <v>24.95</v>
      </c>
      <c r="H554" t="s">
        <v>21</v>
      </c>
      <c r="I554" t="s">
        <v>22</v>
      </c>
      <c r="J554" t="s">
        <v>77</v>
      </c>
    </row>
    <row r="555" spans="1:10" x14ac:dyDescent="0.35">
      <c r="A555" t="s">
        <v>725</v>
      </c>
      <c r="B555" s="10">
        <v>45762</v>
      </c>
      <c r="C555" t="s">
        <v>572</v>
      </c>
      <c r="D555" t="s">
        <v>69</v>
      </c>
      <c r="E555" t="s">
        <v>233</v>
      </c>
      <c r="F555" t="s">
        <v>14</v>
      </c>
      <c r="G555">
        <v>403.01</v>
      </c>
      <c r="H555" t="s">
        <v>15</v>
      </c>
      <c r="I555" t="s">
        <v>47</v>
      </c>
      <c r="J555" t="s">
        <v>292</v>
      </c>
    </row>
    <row r="556" spans="1:10" x14ac:dyDescent="0.35">
      <c r="A556" t="s">
        <v>726</v>
      </c>
      <c r="B556" s="10">
        <v>45762</v>
      </c>
      <c r="C556" t="s">
        <v>281</v>
      </c>
      <c r="D556" t="s">
        <v>34</v>
      </c>
      <c r="E556" t="s">
        <v>40</v>
      </c>
      <c r="F556" t="s">
        <v>14</v>
      </c>
      <c r="G556">
        <v>183.11</v>
      </c>
      <c r="H556" t="s">
        <v>15</v>
      </c>
      <c r="I556" t="s">
        <v>47</v>
      </c>
      <c r="J556" t="s">
        <v>123</v>
      </c>
    </row>
    <row r="557" spans="1:10" x14ac:dyDescent="0.35">
      <c r="A557" t="s">
        <v>727</v>
      </c>
      <c r="B557" s="10">
        <v>45763</v>
      </c>
      <c r="C557" t="s">
        <v>243</v>
      </c>
      <c r="D557" t="s">
        <v>101</v>
      </c>
      <c r="E557" t="s">
        <v>244</v>
      </c>
      <c r="F557" t="s">
        <v>14</v>
      </c>
      <c r="G557">
        <v>250</v>
      </c>
      <c r="H557" t="s">
        <v>15</v>
      </c>
      <c r="I557" t="s">
        <v>36</v>
      </c>
      <c r="J557" t="s">
        <v>102</v>
      </c>
    </row>
    <row r="558" spans="1:10" x14ac:dyDescent="0.35">
      <c r="A558" t="s">
        <v>728</v>
      </c>
      <c r="B558" s="10">
        <v>45763</v>
      </c>
      <c r="C558" t="s">
        <v>229</v>
      </c>
      <c r="D558" t="s">
        <v>54</v>
      </c>
      <c r="E558" t="s">
        <v>64</v>
      </c>
      <c r="F558" t="s">
        <v>54</v>
      </c>
      <c r="G558">
        <v>409.99</v>
      </c>
      <c r="H558" t="s">
        <v>15</v>
      </c>
      <c r="I558" t="s">
        <v>47</v>
      </c>
      <c r="J558" t="s">
        <v>56</v>
      </c>
    </row>
    <row r="559" spans="1:10" x14ac:dyDescent="0.35">
      <c r="A559" t="s">
        <v>729</v>
      </c>
      <c r="B559" s="10">
        <v>45763</v>
      </c>
      <c r="C559" t="s">
        <v>116</v>
      </c>
      <c r="D559" t="s">
        <v>80</v>
      </c>
      <c r="E559" t="s">
        <v>117</v>
      </c>
      <c r="F559" t="s">
        <v>14</v>
      </c>
      <c r="G559">
        <v>38.07</v>
      </c>
      <c r="H559" t="s">
        <v>15</v>
      </c>
      <c r="I559" t="s">
        <v>47</v>
      </c>
      <c r="J559" t="s">
        <v>118</v>
      </c>
    </row>
    <row r="560" spans="1:10" x14ac:dyDescent="0.35">
      <c r="A560" t="s">
        <v>730</v>
      </c>
      <c r="B560" s="10">
        <v>45763</v>
      </c>
      <c r="C560" t="s">
        <v>168</v>
      </c>
      <c r="D560" t="s">
        <v>59</v>
      </c>
      <c r="E560" t="s">
        <v>60</v>
      </c>
      <c r="F560" t="s">
        <v>14</v>
      </c>
      <c r="G560">
        <v>298.41000000000003</v>
      </c>
      <c r="H560" t="s">
        <v>98</v>
      </c>
      <c r="I560" t="s">
        <v>36</v>
      </c>
      <c r="J560" t="s">
        <v>170</v>
      </c>
    </row>
    <row r="561" spans="1:10" x14ac:dyDescent="0.35">
      <c r="A561" t="s">
        <v>731</v>
      </c>
      <c r="B561" s="10">
        <v>45763</v>
      </c>
      <c r="C561" t="s">
        <v>76</v>
      </c>
      <c r="D561" t="s">
        <v>12</v>
      </c>
      <c r="E561" t="s">
        <v>13</v>
      </c>
      <c r="F561" t="s">
        <v>14</v>
      </c>
      <c r="G561">
        <v>25.69</v>
      </c>
      <c r="H561" t="s">
        <v>21</v>
      </c>
      <c r="I561" t="s">
        <v>36</v>
      </c>
      <c r="J561" t="s">
        <v>77</v>
      </c>
    </row>
    <row r="562" spans="1:10" x14ac:dyDescent="0.35">
      <c r="A562" t="s">
        <v>732</v>
      </c>
      <c r="B562" s="10">
        <v>45764</v>
      </c>
      <c r="C562" t="s">
        <v>33</v>
      </c>
      <c r="D562" t="s">
        <v>34</v>
      </c>
      <c r="E562" t="s">
        <v>35</v>
      </c>
      <c r="F562" t="s">
        <v>14</v>
      </c>
      <c r="G562">
        <v>189.81</v>
      </c>
      <c r="H562" t="s">
        <v>15</v>
      </c>
      <c r="I562" t="s">
        <v>47</v>
      </c>
      <c r="J562" t="s">
        <v>37</v>
      </c>
    </row>
    <row r="563" spans="1:10" x14ac:dyDescent="0.35">
      <c r="A563" t="s">
        <v>733</v>
      </c>
      <c r="B563" s="10">
        <v>45764</v>
      </c>
      <c r="C563" t="s">
        <v>734</v>
      </c>
      <c r="D563" t="s">
        <v>69</v>
      </c>
      <c r="E563" t="s">
        <v>291</v>
      </c>
      <c r="F563" t="s">
        <v>14</v>
      </c>
      <c r="G563">
        <v>653.19000000000005</v>
      </c>
      <c r="H563" t="s">
        <v>15</v>
      </c>
      <c r="I563" t="s">
        <v>84</v>
      </c>
      <c r="J563" t="s">
        <v>71</v>
      </c>
    </row>
    <row r="564" spans="1:10" x14ac:dyDescent="0.35">
      <c r="A564" t="s">
        <v>735</v>
      </c>
      <c r="B564" s="10">
        <v>45764</v>
      </c>
      <c r="C564" t="s">
        <v>43</v>
      </c>
      <c r="D564" t="s">
        <v>12</v>
      </c>
      <c r="E564" t="s">
        <v>26</v>
      </c>
      <c r="F564" t="s">
        <v>14</v>
      </c>
      <c r="G564">
        <v>105.46</v>
      </c>
      <c r="H564" t="s">
        <v>15</v>
      </c>
      <c r="I564" t="s">
        <v>36</v>
      </c>
      <c r="J564" t="s">
        <v>44</v>
      </c>
    </row>
    <row r="565" spans="1:10" x14ac:dyDescent="0.35">
      <c r="A565" t="s">
        <v>736</v>
      </c>
      <c r="B565" s="10">
        <v>45764</v>
      </c>
      <c r="C565" t="s">
        <v>175</v>
      </c>
      <c r="D565" t="s">
        <v>80</v>
      </c>
      <c r="E565" t="s">
        <v>92</v>
      </c>
      <c r="F565" t="s">
        <v>14</v>
      </c>
      <c r="G565">
        <v>25.59</v>
      </c>
      <c r="H565" t="s">
        <v>15</v>
      </c>
      <c r="I565" t="s">
        <v>22</v>
      </c>
      <c r="J565" t="s">
        <v>141</v>
      </c>
    </row>
    <row r="566" spans="1:10" x14ac:dyDescent="0.35">
      <c r="A566" t="s">
        <v>737</v>
      </c>
      <c r="B566" s="10">
        <v>45764</v>
      </c>
      <c r="C566" t="s">
        <v>153</v>
      </c>
      <c r="D566" t="s">
        <v>34</v>
      </c>
      <c r="E566" t="s">
        <v>122</v>
      </c>
      <c r="F566" t="s">
        <v>14</v>
      </c>
      <c r="G566">
        <v>69.45</v>
      </c>
      <c r="H566" t="s">
        <v>21</v>
      </c>
      <c r="I566" t="s">
        <v>47</v>
      </c>
      <c r="J566" t="s">
        <v>41</v>
      </c>
    </row>
    <row r="567" spans="1:10" x14ac:dyDescent="0.35">
      <c r="A567" t="s">
        <v>738</v>
      </c>
      <c r="B567" s="10">
        <v>45764</v>
      </c>
      <c r="C567" t="s">
        <v>206</v>
      </c>
      <c r="D567" t="s">
        <v>29</v>
      </c>
      <c r="E567" t="s">
        <v>95</v>
      </c>
      <c r="F567" t="s">
        <v>14</v>
      </c>
      <c r="G567">
        <v>10.73</v>
      </c>
      <c r="H567" t="s">
        <v>21</v>
      </c>
      <c r="I567" t="s">
        <v>22</v>
      </c>
      <c r="J567" t="s">
        <v>31</v>
      </c>
    </row>
    <row r="568" spans="1:10" x14ac:dyDescent="0.35">
      <c r="A568" t="s">
        <v>739</v>
      </c>
      <c r="B568" s="10">
        <v>45764</v>
      </c>
      <c r="C568" t="s">
        <v>259</v>
      </c>
      <c r="D568" t="s">
        <v>59</v>
      </c>
      <c r="E568" t="s">
        <v>199</v>
      </c>
      <c r="F568" t="s">
        <v>14</v>
      </c>
      <c r="G568">
        <v>75.290000000000006</v>
      </c>
      <c r="H568" t="s">
        <v>21</v>
      </c>
      <c r="I568" t="s">
        <v>36</v>
      </c>
      <c r="J568" t="s">
        <v>170</v>
      </c>
    </row>
    <row r="569" spans="1:10" x14ac:dyDescent="0.35">
      <c r="A569" t="s">
        <v>740</v>
      </c>
      <c r="B569" s="10">
        <v>45764</v>
      </c>
      <c r="C569" t="s">
        <v>160</v>
      </c>
      <c r="D569" t="s">
        <v>80</v>
      </c>
      <c r="E569" t="s">
        <v>117</v>
      </c>
      <c r="F569" t="s">
        <v>14</v>
      </c>
      <c r="G569">
        <v>18.170000000000002</v>
      </c>
      <c r="H569" t="s">
        <v>15</v>
      </c>
      <c r="I569" t="s">
        <v>22</v>
      </c>
      <c r="J569" t="s">
        <v>161</v>
      </c>
    </row>
    <row r="570" spans="1:10" x14ac:dyDescent="0.35">
      <c r="A570" t="s">
        <v>741</v>
      </c>
      <c r="B570" s="10">
        <v>45764</v>
      </c>
      <c r="C570" t="s">
        <v>125</v>
      </c>
      <c r="D570" t="s">
        <v>12</v>
      </c>
      <c r="E570" t="s">
        <v>13</v>
      </c>
      <c r="F570" t="s">
        <v>14</v>
      </c>
      <c r="G570">
        <v>57.26</v>
      </c>
      <c r="H570" t="s">
        <v>15</v>
      </c>
      <c r="I570" t="s">
        <v>36</v>
      </c>
      <c r="J570" t="s">
        <v>44</v>
      </c>
    </row>
    <row r="571" spans="1:10" x14ac:dyDescent="0.35">
      <c r="A571" t="s">
        <v>742</v>
      </c>
      <c r="B571" s="10">
        <v>45764</v>
      </c>
      <c r="C571" t="s">
        <v>227</v>
      </c>
      <c r="D571" t="s">
        <v>12</v>
      </c>
      <c r="E571" t="s">
        <v>51</v>
      </c>
      <c r="F571" t="s">
        <v>14</v>
      </c>
      <c r="G571">
        <v>47.13</v>
      </c>
      <c r="H571" t="s">
        <v>15</v>
      </c>
      <c r="I571" t="s">
        <v>22</v>
      </c>
      <c r="J571" t="s">
        <v>17</v>
      </c>
    </row>
    <row r="572" spans="1:10" x14ac:dyDescent="0.35">
      <c r="A572" t="s">
        <v>743</v>
      </c>
      <c r="B572" s="10">
        <v>45764</v>
      </c>
      <c r="C572" t="s">
        <v>262</v>
      </c>
      <c r="D572" t="s">
        <v>101</v>
      </c>
      <c r="E572" t="s">
        <v>244</v>
      </c>
      <c r="F572" t="s">
        <v>14</v>
      </c>
      <c r="G572">
        <v>47.37</v>
      </c>
      <c r="H572" t="s">
        <v>21</v>
      </c>
      <c r="I572" t="s">
        <v>22</v>
      </c>
      <c r="J572" t="s">
        <v>136</v>
      </c>
    </row>
    <row r="573" spans="1:10" x14ac:dyDescent="0.35">
      <c r="A573" t="s">
        <v>744</v>
      </c>
      <c r="B573" s="10">
        <v>45765</v>
      </c>
      <c r="C573" t="s">
        <v>229</v>
      </c>
      <c r="D573" t="s">
        <v>54</v>
      </c>
      <c r="E573" t="s">
        <v>64</v>
      </c>
      <c r="F573" t="s">
        <v>54</v>
      </c>
      <c r="G573">
        <v>375.32</v>
      </c>
      <c r="H573" t="s">
        <v>15</v>
      </c>
      <c r="I573" t="s">
        <v>47</v>
      </c>
      <c r="J573" t="s">
        <v>56</v>
      </c>
    </row>
    <row r="574" spans="1:10" x14ac:dyDescent="0.35">
      <c r="A574" t="s">
        <v>745</v>
      </c>
      <c r="B574" s="10">
        <v>45765</v>
      </c>
      <c r="C574" t="s">
        <v>28</v>
      </c>
      <c r="D574" t="s">
        <v>29</v>
      </c>
      <c r="E574" t="s">
        <v>30</v>
      </c>
      <c r="F574" t="s">
        <v>14</v>
      </c>
      <c r="G574">
        <v>42.59</v>
      </c>
      <c r="H574" t="s">
        <v>21</v>
      </c>
      <c r="I574" t="s">
        <v>22</v>
      </c>
      <c r="J574" t="s">
        <v>31</v>
      </c>
    </row>
    <row r="575" spans="1:10" x14ac:dyDescent="0.35">
      <c r="A575" t="s">
        <v>746</v>
      </c>
      <c r="B575" s="10">
        <v>45765</v>
      </c>
      <c r="C575" t="s">
        <v>73</v>
      </c>
      <c r="D575" t="s">
        <v>54</v>
      </c>
      <c r="E575" t="s">
        <v>74</v>
      </c>
      <c r="F575" t="s">
        <v>54</v>
      </c>
      <c r="G575">
        <v>2721.66</v>
      </c>
      <c r="H575" t="s">
        <v>15</v>
      </c>
      <c r="I575" t="s">
        <v>47</v>
      </c>
      <c r="J575" t="s">
        <v>65</v>
      </c>
    </row>
    <row r="576" spans="1:10" x14ac:dyDescent="0.35">
      <c r="A576" t="s">
        <v>747</v>
      </c>
      <c r="B576" s="10">
        <v>45766</v>
      </c>
      <c r="C576" t="s">
        <v>113</v>
      </c>
      <c r="D576" t="s">
        <v>34</v>
      </c>
      <c r="E576" t="s">
        <v>40</v>
      </c>
      <c r="F576" t="s">
        <v>14</v>
      </c>
      <c r="G576">
        <v>46.72</v>
      </c>
      <c r="H576" t="s">
        <v>15</v>
      </c>
      <c r="I576" t="s">
        <v>16</v>
      </c>
      <c r="J576" t="s">
        <v>37</v>
      </c>
    </row>
    <row r="577" spans="1:10" x14ac:dyDescent="0.35">
      <c r="A577" t="s">
        <v>748</v>
      </c>
      <c r="B577" s="10">
        <v>45766</v>
      </c>
      <c r="C577" t="s">
        <v>189</v>
      </c>
      <c r="D577" t="s">
        <v>34</v>
      </c>
      <c r="E577" t="s">
        <v>122</v>
      </c>
      <c r="F577" t="s">
        <v>14</v>
      </c>
      <c r="G577">
        <v>89.63</v>
      </c>
      <c r="H577" t="s">
        <v>15</v>
      </c>
      <c r="I577" t="s">
        <v>22</v>
      </c>
      <c r="J577" t="s">
        <v>37</v>
      </c>
    </row>
    <row r="578" spans="1:10" x14ac:dyDescent="0.35">
      <c r="A578" t="s">
        <v>749</v>
      </c>
      <c r="B578" s="10">
        <v>45766</v>
      </c>
      <c r="C578" t="s">
        <v>198</v>
      </c>
      <c r="D578" t="s">
        <v>59</v>
      </c>
      <c r="E578" t="s">
        <v>199</v>
      </c>
      <c r="F578" t="s">
        <v>14</v>
      </c>
      <c r="G578">
        <v>280.97000000000003</v>
      </c>
      <c r="H578" t="s">
        <v>15</v>
      </c>
      <c r="I578" t="s">
        <v>22</v>
      </c>
      <c r="J578" t="s">
        <v>61</v>
      </c>
    </row>
    <row r="579" spans="1:10" x14ac:dyDescent="0.35">
      <c r="A579" t="s">
        <v>750</v>
      </c>
      <c r="B579" s="10">
        <v>45767</v>
      </c>
      <c r="C579" t="s">
        <v>113</v>
      </c>
      <c r="D579" t="s">
        <v>34</v>
      </c>
      <c r="E579" t="s">
        <v>40</v>
      </c>
      <c r="F579" t="s">
        <v>14</v>
      </c>
      <c r="G579">
        <v>111.56</v>
      </c>
      <c r="H579" t="s">
        <v>15</v>
      </c>
      <c r="I579" t="s">
        <v>16</v>
      </c>
      <c r="J579" t="s">
        <v>37</v>
      </c>
    </row>
    <row r="580" spans="1:10" x14ac:dyDescent="0.35">
      <c r="A580" t="s">
        <v>751</v>
      </c>
      <c r="B580" s="10">
        <v>45767</v>
      </c>
      <c r="C580" t="s">
        <v>143</v>
      </c>
      <c r="D580" t="s">
        <v>54</v>
      </c>
      <c r="E580" t="s">
        <v>55</v>
      </c>
      <c r="F580" t="s">
        <v>54</v>
      </c>
      <c r="G580">
        <v>722.25</v>
      </c>
      <c r="H580" t="s">
        <v>21</v>
      </c>
      <c r="I580" t="s">
        <v>84</v>
      </c>
      <c r="J580" t="s">
        <v>89</v>
      </c>
    </row>
    <row r="581" spans="1:10" x14ac:dyDescent="0.35">
      <c r="A581" t="s">
        <v>752</v>
      </c>
      <c r="B581" s="10">
        <v>45767</v>
      </c>
      <c r="C581" t="s">
        <v>73</v>
      </c>
      <c r="D581" t="s">
        <v>54</v>
      </c>
      <c r="E581" t="s">
        <v>74</v>
      </c>
      <c r="F581" t="s">
        <v>54</v>
      </c>
      <c r="G581">
        <v>2579.77</v>
      </c>
      <c r="H581" t="s">
        <v>21</v>
      </c>
      <c r="I581" t="s">
        <v>36</v>
      </c>
      <c r="J581" t="s">
        <v>65</v>
      </c>
    </row>
    <row r="582" spans="1:10" x14ac:dyDescent="0.35">
      <c r="A582" t="s">
        <v>753</v>
      </c>
      <c r="B582" s="10">
        <v>45767</v>
      </c>
      <c r="C582" t="s">
        <v>308</v>
      </c>
      <c r="D582" t="s">
        <v>54</v>
      </c>
      <c r="E582" t="s">
        <v>64</v>
      </c>
      <c r="F582" t="s">
        <v>54</v>
      </c>
      <c r="G582">
        <v>357.07</v>
      </c>
      <c r="H582" t="s">
        <v>15</v>
      </c>
      <c r="I582" t="s">
        <v>22</v>
      </c>
      <c r="J582" t="s">
        <v>89</v>
      </c>
    </row>
    <row r="583" spans="1:10" x14ac:dyDescent="0.35">
      <c r="A583" t="s">
        <v>754</v>
      </c>
      <c r="B583" s="10">
        <v>45767</v>
      </c>
      <c r="C583" t="s">
        <v>324</v>
      </c>
      <c r="D583" t="s">
        <v>80</v>
      </c>
      <c r="E583" t="s">
        <v>92</v>
      </c>
      <c r="F583" t="s">
        <v>14</v>
      </c>
      <c r="G583">
        <v>143.38999999999999</v>
      </c>
      <c r="H583" t="s">
        <v>98</v>
      </c>
      <c r="I583" t="s">
        <v>22</v>
      </c>
      <c r="J583" t="s">
        <v>161</v>
      </c>
    </row>
    <row r="584" spans="1:10" x14ac:dyDescent="0.35">
      <c r="A584" t="s">
        <v>755</v>
      </c>
      <c r="B584" s="10">
        <v>45767</v>
      </c>
      <c r="C584" t="s">
        <v>150</v>
      </c>
      <c r="D584" t="s">
        <v>29</v>
      </c>
      <c r="E584" t="s">
        <v>30</v>
      </c>
      <c r="F584" t="s">
        <v>14</v>
      </c>
      <c r="G584">
        <v>23.9</v>
      </c>
      <c r="H584" t="s">
        <v>98</v>
      </c>
      <c r="I584" t="s">
        <v>22</v>
      </c>
      <c r="J584" t="s">
        <v>151</v>
      </c>
    </row>
    <row r="585" spans="1:10" x14ac:dyDescent="0.35">
      <c r="A585" t="s">
        <v>756</v>
      </c>
      <c r="B585" s="10">
        <v>45767</v>
      </c>
      <c r="C585" t="s">
        <v>426</v>
      </c>
      <c r="D585" t="s">
        <v>69</v>
      </c>
      <c r="E585" t="s">
        <v>70</v>
      </c>
      <c r="F585" t="s">
        <v>14</v>
      </c>
      <c r="G585">
        <v>347.35</v>
      </c>
      <c r="H585" t="s">
        <v>15</v>
      </c>
      <c r="I585" t="s">
        <v>84</v>
      </c>
      <c r="J585" t="s">
        <v>396</v>
      </c>
    </row>
    <row r="586" spans="1:10" x14ac:dyDescent="0.35">
      <c r="A586" t="s">
        <v>757</v>
      </c>
      <c r="B586" s="10">
        <v>45768</v>
      </c>
      <c r="C586" t="s">
        <v>63</v>
      </c>
      <c r="D586" t="s">
        <v>54</v>
      </c>
      <c r="E586" t="s">
        <v>64</v>
      </c>
      <c r="F586" t="s">
        <v>54</v>
      </c>
      <c r="G586">
        <v>306.26</v>
      </c>
      <c r="H586" t="s">
        <v>15</v>
      </c>
      <c r="I586" t="s">
        <v>36</v>
      </c>
      <c r="J586" t="s">
        <v>65</v>
      </c>
    </row>
    <row r="587" spans="1:10" x14ac:dyDescent="0.35">
      <c r="A587" t="s">
        <v>758</v>
      </c>
      <c r="B587" s="10">
        <v>45768</v>
      </c>
      <c r="C587" t="s">
        <v>445</v>
      </c>
      <c r="D587" t="s">
        <v>101</v>
      </c>
      <c r="E587" t="s">
        <v>244</v>
      </c>
      <c r="F587" t="s">
        <v>14</v>
      </c>
      <c r="G587">
        <v>55.13</v>
      </c>
      <c r="H587" t="s">
        <v>15</v>
      </c>
      <c r="I587" t="s">
        <v>36</v>
      </c>
      <c r="J587" t="s">
        <v>103</v>
      </c>
    </row>
    <row r="588" spans="1:10" x14ac:dyDescent="0.35">
      <c r="A588" t="s">
        <v>759</v>
      </c>
      <c r="B588" s="10">
        <v>45768</v>
      </c>
      <c r="C588" t="s">
        <v>28</v>
      </c>
      <c r="D588" t="s">
        <v>29</v>
      </c>
      <c r="E588" t="s">
        <v>30</v>
      </c>
      <c r="F588" t="s">
        <v>14</v>
      </c>
      <c r="G588">
        <v>14.23</v>
      </c>
      <c r="H588" t="s">
        <v>15</v>
      </c>
      <c r="I588" t="s">
        <v>84</v>
      </c>
      <c r="J588" t="s">
        <v>31</v>
      </c>
    </row>
    <row r="589" spans="1:10" x14ac:dyDescent="0.35">
      <c r="A589" t="s">
        <v>760</v>
      </c>
      <c r="B589" s="10">
        <v>45768</v>
      </c>
      <c r="C589" t="s">
        <v>33</v>
      </c>
      <c r="D589" t="s">
        <v>34</v>
      </c>
      <c r="E589" t="s">
        <v>35</v>
      </c>
      <c r="F589" t="s">
        <v>14</v>
      </c>
      <c r="G589">
        <v>44.59</v>
      </c>
      <c r="H589" t="s">
        <v>15</v>
      </c>
      <c r="I589" t="s">
        <v>84</v>
      </c>
      <c r="J589" t="s">
        <v>37</v>
      </c>
    </row>
    <row r="590" spans="1:10" x14ac:dyDescent="0.35">
      <c r="A590" t="s">
        <v>761</v>
      </c>
      <c r="B590" s="10">
        <v>45768</v>
      </c>
      <c r="C590" t="s">
        <v>256</v>
      </c>
      <c r="D590" t="s">
        <v>34</v>
      </c>
      <c r="E590" t="s">
        <v>40</v>
      </c>
      <c r="F590" t="s">
        <v>14</v>
      </c>
      <c r="G590">
        <v>87.91</v>
      </c>
      <c r="H590" t="s">
        <v>15</v>
      </c>
      <c r="I590" t="s">
        <v>47</v>
      </c>
      <c r="J590" t="s">
        <v>239</v>
      </c>
    </row>
    <row r="591" spans="1:10" x14ac:dyDescent="0.35">
      <c r="A591" t="s">
        <v>762</v>
      </c>
      <c r="B591" s="10">
        <v>45768</v>
      </c>
      <c r="C591" t="s">
        <v>227</v>
      </c>
      <c r="D591" t="s">
        <v>12</v>
      </c>
      <c r="E591" t="s">
        <v>51</v>
      </c>
      <c r="F591" t="s">
        <v>14</v>
      </c>
      <c r="G591">
        <v>41.03</v>
      </c>
      <c r="H591" t="s">
        <v>15</v>
      </c>
      <c r="I591" t="s">
        <v>47</v>
      </c>
      <c r="J591" t="s">
        <v>17</v>
      </c>
    </row>
    <row r="592" spans="1:10" x14ac:dyDescent="0.35">
      <c r="A592" t="s">
        <v>763</v>
      </c>
      <c r="B592" s="10">
        <v>45768</v>
      </c>
      <c r="C592" t="s">
        <v>111</v>
      </c>
      <c r="D592" t="s">
        <v>12</v>
      </c>
      <c r="E592" t="s">
        <v>26</v>
      </c>
      <c r="F592" t="s">
        <v>14</v>
      </c>
      <c r="G592">
        <v>19.05</v>
      </c>
      <c r="H592" t="s">
        <v>98</v>
      </c>
      <c r="I592" t="s">
        <v>84</v>
      </c>
      <c r="J592" t="s">
        <v>23</v>
      </c>
    </row>
    <row r="593" spans="1:10" x14ac:dyDescent="0.35">
      <c r="A593" t="s">
        <v>764</v>
      </c>
      <c r="B593" s="10">
        <v>45768</v>
      </c>
      <c r="C593" t="s">
        <v>243</v>
      </c>
      <c r="D593" t="s">
        <v>101</v>
      </c>
      <c r="E593" t="s">
        <v>244</v>
      </c>
      <c r="F593" t="s">
        <v>14</v>
      </c>
      <c r="G593">
        <v>21.62</v>
      </c>
      <c r="H593" t="s">
        <v>21</v>
      </c>
      <c r="I593" t="s">
        <v>22</v>
      </c>
      <c r="J593" t="s">
        <v>102</v>
      </c>
    </row>
    <row r="594" spans="1:10" x14ac:dyDescent="0.35">
      <c r="A594" t="s">
        <v>765</v>
      </c>
      <c r="B594" s="10">
        <v>45768</v>
      </c>
      <c r="C594" t="s">
        <v>116</v>
      </c>
      <c r="D594" t="s">
        <v>80</v>
      </c>
      <c r="E594" t="s">
        <v>117</v>
      </c>
      <c r="F594" t="s">
        <v>14</v>
      </c>
      <c r="G594">
        <v>181.01</v>
      </c>
      <c r="H594" t="s">
        <v>21</v>
      </c>
      <c r="I594" t="s">
        <v>84</v>
      </c>
      <c r="J594" t="s">
        <v>118</v>
      </c>
    </row>
    <row r="595" spans="1:10" x14ac:dyDescent="0.35">
      <c r="A595" t="s">
        <v>766</v>
      </c>
      <c r="B595" s="10">
        <v>45769</v>
      </c>
      <c r="C595" t="s">
        <v>324</v>
      </c>
      <c r="D595" t="s">
        <v>80</v>
      </c>
      <c r="E595" t="s">
        <v>92</v>
      </c>
      <c r="F595" t="s">
        <v>14</v>
      </c>
      <c r="G595">
        <v>69.78</v>
      </c>
      <c r="H595" t="s">
        <v>98</v>
      </c>
      <c r="I595" t="s">
        <v>47</v>
      </c>
      <c r="J595" t="s">
        <v>161</v>
      </c>
    </row>
    <row r="596" spans="1:10" x14ac:dyDescent="0.35">
      <c r="A596" t="s">
        <v>767</v>
      </c>
      <c r="B596" s="10">
        <v>45769</v>
      </c>
      <c r="C596" t="s">
        <v>63</v>
      </c>
      <c r="D596" t="s">
        <v>54</v>
      </c>
      <c r="E596" t="s">
        <v>64</v>
      </c>
      <c r="F596" t="s">
        <v>54</v>
      </c>
      <c r="G596">
        <v>344.85</v>
      </c>
      <c r="H596" t="s">
        <v>15</v>
      </c>
      <c r="I596" t="s">
        <v>22</v>
      </c>
      <c r="J596" t="s">
        <v>65</v>
      </c>
    </row>
    <row r="597" spans="1:10" x14ac:dyDescent="0.35">
      <c r="A597" t="s">
        <v>768</v>
      </c>
      <c r="B597" s="10">
        <v>45769</v>
      </c>
      <c r="C597" t="s">
        <v>734</v>
      </c>
      <c r="D597" t="s">
        <v>69</v>
      </c>
      <c r="E597" t="s">
        <v>291</v>
      </c>
      <c r="F597" t="s">
        <v>14</v>
      </c>
      <c r="G597">
        <v>211.55</v>
      </c>
      <c r="H597" t="s">
        <v>15</v>
      </c>
      <c r="I597" t="s">
        <v>22</v>
      </c>
      <c r="J597" t="s">
        <v>71</v>
      </c>
    </row>
    <row r="598" spans="1:10" x14ac:dyDescent="0.35">
      <c r="A598" t="s">
        <v>769</v>
      </c>
      <c r="B598" s="10">
        <v>45769</v>
      </c>
      <c r="C598" t="s">
        <v>308</v>
      </c>
      <c r="D598" t="s">
        <v>54</v>
      </c>
      <c r="E598" t="s">
        <v>64</v>
      </c>
      <c r="F598" t="s">
        <v>54</v>
      </c>
      <c r="G598">
        <v>344.02</v>
      </c>
      <c r="H598" t="s">
        <v>98</v>
      </c>
      <c r="I598" t="s">
        <v>22</v>
      </c>
      <c r="J598" t="s">
        <v>89</v>
      </c>
    </row>
    <row r="599" spans="1:10" x14ac:dyDescent="0.35">
      <c r="A599" t="s">
        <v>770</v>
      </c>
      <c r="B599" s="10">
        <v>45769</v>
      </c>
      <c r="C599" t="s">
        <v>580</v>
      </c>
      <c r="D599" t="s">
        <v>80</v>
      </c>
      <c r="E599" t="s">
        <v>81</v>
      </c>
      <c r="F599" t="s">
        <v>14</v>
      </c>
      <c r="G599">
        <v>250</v>
      </c>
      <c r="H599" t="s">
        <v>15</v>
      </c>
      <c r="I599" t="s">
        <v>22</v>
      </c>
      <c r="J599" t="s">
        <v>118</v>
      </c>
    </row>
    <row r="600" spans="1:10" x14ac:dyDescent="0.35">
      <c r="A600" t="s">
        <v>771</v>
      </c>
      <c r="B600" s="10">
        <v>45769</v>
      </c>
      <c r="C600" t="s">
        <v>43</v>
      </c>
      <c r="D600" t="s">
        <v>12</v>
      </c>
      <c r="E600" t="s">
        <v>26</v>
      </c>
      <c r="F600" t="s">
        <v>14</v>
      </c>
      <c r="G600">
        <v>102.7</v>
      </c>
      <c r="H600" t="s">
        <v>15</v>
      </c>
      <c r="I600" t="s">
        <v>84</v>
      </c>
      <c r="J600" t="s">
        <v>44</v>
      </c>
    </row>
    <row r="601" spans="1:10" x14ac:dyDescent="0.35">
      <c r="A601" t="s">
        <v>772</v>
      </c>
      <c r="B601" s="10">
        <v>45769</v>
      </c>
      <c r="C601" t="s">
        <v>229</v>
      </c>
      <c r="D601" t="s">
        <v>54</v>
      </c>
      <c r="E601" t="s">
        <v>64</v>
      </c>
      <c r="F601" t="s">
        <v>54</v>
      </c>
      <c r="G601">
        <v>350.63</v>
      </c>
      <c r="H601" t="s">
        <v>15</v>
      </c>
      <c r="I601" t="s">
        <v>36</v>
      </c>
      <c r="J601" t="s">
        <v>56</v>
      </c>
    </row>
    <row r="602" spans="1:10" x14ac:dyDescent="0.35">
      <c r="A602" t="s">
        <v>773</v>
      </c>
      <c r="B602" s="10">
        <v>45769</v>
      </c>
      <c r="C602" t="s">
        <v>88</v>
      </c>
      <c r="D602" t="s">
        <v>54</v>
      </c>
      <c r="E602" t="s">
        <v>74</v>
      </c>
      <c r="F602" t="s">
        <v>54</v>
      </c>
      <c r="G602">
        <v>2569.38</v>
      </c>
      <c r="H602" t="s">
        <v>15</v>
      </c>
      <c r="I602" t="s">
        <v>22</v>
      </c>
      <c r="J602" t="s">
        <v>89</v>
      </c>
    </row>
    <row r="603" spans="1:10" x14ac:dyDescent="0.35">
      <c r="A603" t="s">
        <v>774</v>
      </c>
      <c r="B603" s="10">
        <v>45769</v>
      </c>
      <c r="C603" t="s">
        <v>259</v>
      </c>
      <c r="D603" t="s">
        <v>59</v>
      </c>
      <c r="E603" t="s">
        <v>199</v>
      </c>
      <c r="F603" t="s">
        <v>14</v>
      </c>
      <c r="G603">
        <v>187.05</v>
      </c>
      <c r="H603" t="s">
        <v>21</v>
      </c>
      <c r="I603" t="s">
        <v>36</v>
      </c>
      <c r="J603" t="s">
        <v>170</v>
      </c>
    </row>
    <row r="604" spans="1:10" x14ac:dyDescent="0.35">
      <c r="A604" t="s">
        <v>775</v>
      </c>
      <c r="B604" s="10">
        <v>45769</v>
      </c>
      <c r="C604" t="s">
        <v>734</v>
      </c>
      <c r="D604" t="s">
        <v>69</v>
      </c>
      <c r="E604" t="s">
        <v>291</v>
      </c>
      <c r="F604" t="s">
        <v>14</v>
      </c>
      <c r="G604">
        <v>408.29</v>
      </c>
      <c r="H604" t="s">
        <v>21</v>
      </c>
      <c r="I604" t="s">
        <v>16</v>
      </c>
      <c r="J604" t="s">
        <v>71</v>
      </c>
    </row>
    <row r="605" spans="1:10" x14ac:dyDescent="0.35">
      <c r="A605" t="s">
        <v>776</v>
      </c>
      <c r="B605" s="10">
        <v>45769</v>
      </c>
      <c r="C605" t="s">
        <v>189</v>
      </c>
      <c r="D605" t="s">
        <v>34</v>
      </c>
      <c r="E605" t="s">
        <v>122</v>
      </c>
      <c r="F605" t="s">
        <v>14</v>
      </c>
      <c r="G605">
        <v>70.33</v>
      </c>
      <c r="H605" t="s">
        <v>15</v>
      </c>
      <c r="I605" t="s">
        <v>36</v>
      </c>
      <c r="J605" t="s">
        <v>37</v>
      </c>
    </row>
    <row r="606" spans="1:10" x14ac:dyDescent="0.35">
      <c r="A606" t="s">
        <v>777</v>
      </c>
      <c r="B606" s="10">
        <v>45769</v>
      </c>
      <c r="C606" t="s">
        <v>46</v>
      </c>
      <c r="D606" t="s">
        <v>12</v>
      </c>
      <c r="E606" t="s">
        <v>13</v>
      </c>
      <c r="F606" t="s">
        <v>14</v>
      </c>
      <c r="G606">
        <v>26.33</v>
      </c>
      <c r="H606" t="s">
        <v>21</v>
      </c>
      <c r="I606" t="s">
        <v>22</v>
      </c>
      <c r="J606" t="s">
        <v>48</v>
      </c>
    </row>
    <row r="607" spans="1:10" x14ac:dyDescent="0.35">
      <c r="A607" t="s">
        <v>778</v>
      </c>
      <c r="B607" s="10">
        <v>45769</v>
      </c>
      <c r="C607" t="s">
        <v>125</v>
      </c>
      <c r="D607" t="s">
        <v>12</v>
      </c>
      <c r="E607" t="s">
        <v>13</v>
      </c>
      <c r="F607" t="s">
        <v>14</v>
      </c>
      <c r="G607">
        <v>35.75</v>
      </c>
      <c r="H607" t="s">
        <v>15</v>
      </c>
      <c r="I607" t="s">
        <v>47</v>
      </c>
      <c r="J607" t="s">
        <v>44</v>
      </c>
    </row>
    <row r="608" spans="1:10" x14ac:dyDescent="0.35">
      <c r="A608" t="s">
        <v>779</v>
      </c>
      <c r="B608" s="10">
        <v>45770</v>
      </c>
      <c r="C608" t="s">
        <v>281</v>
      </c>
      <c r="D608" t="s">
        <v>34</v>
      </c>
      <c r="E608" t="s">
        <v>40</v>
      </c>
      <c r="F608" t="s">
        <v>14</v>
      </c>
      <c r="G608">
        <v>153.99</v>
      </c>
      <c r="H608" t="s">
        <v>15</v>
      </c>
      <c r="I608" t="s">
        <v>22</v>
      </c>
      <c r="J608" t="s">
        <v>123</v>
      </c>
    </row>
    <row r="609" spans="1:10" x14ac:dyDescent="0.35">
      <c r="A609" t="s">
        <v>780</v>
      </c>
      <c r="B609" s="10">
        <v>45770</v>
      </c>
      <c r="C609" t="s">
        <v>113</v>
      </c>
      <c r="D609" t="s">
        <v>34</v>
      </c>
      <c r="E609" t="s">
        <v>40</v>
      </c>
      <c r="F609" t="s">
        <v>14</v>
      </c>
      <c r="G609">
        <v>89.36</v>
      </c>
      <c r="H609" t="s">
        <v>21</v>
      </c>
      <c r="I609" t="s">
        <v>47</v>
      </c>
      <c r="J609" t="s">
        <v>37</v>
      </c>
    </row>
    <row r="610" spans="1:10" x14ac:dyDescent="0.35">
      <c r="A610" t="s">
        <v>781</v>
      </c>
      <c r="B610" s="10">
        <v>45770</v>
      </c>
      <c r="C610" t="s">
        <v>243</v>
      </c>
      <c r="D610" t="s">
        <v>101</v>
      </c>
      <c r="E610" t="s">
        <v>244</v>
      </c>
      <c r="F610" t="s">
        <v>14</v>
      </c>
      <c r="G610">
        <v>34</v>
      </c>
      <c r="H610" t="s">
        <v>15</v>
      </c>
      <c r="I610" t="s">
        <v>22</v>
      </c>
      <c r="J610" t="s">
        <v>102</v>
      </c>
    </row>
    <row r="611" spans="1:10" x14ac:dyDescent="0.35">
      <c r="A611" t="s">
        <v>782</v>
      </c>
      <c r="B611" s="10">
        <v>45770</v>
      </c>
      <c r="C611" t="s">
        <v>88</v>
      </c>
      <c r="D611" t="s">
        <v>54</v>
      </c>
      <c r="E611" t="s">
        <v>74</v>
      </c>
      <c r="F611" t="s">
        <v>54</v>
      </c>
      <c r="G611">
        <v>2699.76</v>
      </c>
      <c r="H611" t="s">
        <v>21</v>
      </c>
      <c r="I611" t="s">
        <v>36</v>
      </c>
      <c r="J611" t="s">
        <v>89</v>
      </c>
    </row>
    <row r="612" spans="1:10" x14ac:dyDescent="0.35">
      <c r="A612" t="s">
        <v>783</v>
      </c>
      <c r="B612" s="10">
        <v>45770</v>
      </c>
      <c r="C612" t="s">
        <v>296</v>
      </c>
      <c r="D612" t="s">
        <v>101</v>
      </c>
      <c r="E612" t="s">
        <v>136</v>
      </c>
      <c r="F612" t="s">
        <v>14</v>
      </c>
      <c r="G612">
        <v>130.38</v>
      </c>
      <c r="H612" t="s">
        <v>15</v>
      </c>
      <c r="I612" t="s">
        <v>47</v>
      </c>
      <c r="J612" t="s">
        <v>136</v>
      </c>
    </row>
    <row r="613" spans="1:10" x14ac:dyDescent="0.35">
      <c r="A613" t="s">
        <v>784</v>
      </c>
      <c r="B613" s="10">
        <v>45770</v>
      </c>
      <c r="C613" t="s">
        <v>172</v>
      </c>
      <c r="D613" t="s">
        <v>101</v>
      </c>
      <c r="E613" t="s">
        <v>102</v>
      </c>
      <c r="F613" t="s">
        <v>14</v>
      </c>
      <c r="G613">
        <v>145.04</v>
      </c>
      <c r="H613" t="s">
        <v>21</v>
      </c>
      <c r="I613" t="s">
        <v>47</v>
      </c>
      <c r="J613" t="s">
        <v>102</v>
      </c>
    </row>
    <row r="614" spans="1:10" x14ac:dyDescent="0.35">
      <c r="A614" t="s">
        <v>785</v>
      </c>
      <c r="B614" s="10">
        <v>45771</v>
      </c>
      <c r="C614" t="s">
        <v>206</v>
      </c>
      <c r="D614" t="s">
        <v>29</v>
      </c>
      <c r="E614" t="s">
        <v>95</v>
      </c>
      <c r="F614" t="s">
        <v>14</v>
      </c>
      <c r="G614">
        <v>9.4499999999999993</v>
      </c>
      <c r="H614" t="s">
        <v>15</v>
      </c>
      <c r="I614" t="s">
        <v>47</v>
      </c>
      <c r="J614" t="s">
        <v>31</v>
      </c>
    </row>
    <row r="615" spans="1:10" x14ac:dyDescent="0.35">
      <c r="A615" t="s">
        <v>786</v>
      </c>
      <c r="B615" s="10">
        <v>45771</v>
      </c>
      <c r="C615" t="s">
        <v>229</v>
      </c>
      <c r="D615" t="s">
        <v>54</v>
      </c>
      <c r="E615" t="s">
        <v>64</v>
      </c>
      <c r="F615" t="s">
        <v>54</v>
      </c>
      <c r="G615">
        <v>369.69</v>
      </c>
      <c r="H615" t="s">
        <v>21</v>
      </c>
      <c r="I615" t="s">
        <v>36</v>
      </c>
      <c r="J615" t="s">
        <v>56</v>
      </c>
    </row>
    <row r="616" spans="1:10" x14ac:dyDescent="0.35">
      <c r="A616" t="s">
        <v>787</v>
      </c>
      <c r="B616" s="10">
        <v>45771</v>
      </c>
      <c r="C616" t="s">
        <v>580</v>
      </c>
      <c r="D616" t="s">
        <v>80</v>
      </c>
      <c r="E616" t="s">
        <v>81</v>
      </c>
      <c r="F616" t="s">
        <v>14</v>
      </c>
      <c r="G616">
        <v>75.36</v>
      </c>
      <c r="H616" t="s">
        <v>15</v>
      </c>
      <c r="I616" t="s">
        <v>36</v>
      </c>
      <c r="J616" t="s">
        <v>118</v>
      </c>
    </row>
    <row r="617" spans="1:10" x14ac:dyDescent="0.35">
      <c r="A617" t="s">
        <v>788</v>
      </c>
      <c r="B617" s="10">
        <v>45771</v>
      </c>
      <c r="C617" t="s">
        <v>63</v>
      </c>
      <c r="D617" t="s">
        <v>54</v>
      </c>
      <c r="E617" t="s">
        <v>64</v>
      </c>
      <c r="F617" t="s">
        <v>54</v>
      </c>
      <c r="G617">
        <v>352.34</v>
      </c>
      <c r="H617" t="s">
        <v>21</v>
      </c>
      <c r="I617" t="s">
        <v>16</v>
      </c>
      <c r="J617" t="s">
        <v>65</v>
      </c>
    </row>
    <row r="618" spans="1:10" x14ac:dyDescent="0.35">
      <c r="A618" t="s">
        <v>789</v>
      </c>
      <c r="B618" s="10">
        <v>45771</v>
      </c>
      <c r="C618" t="s">
        <v>198</v>
      </c>
      <c r="D618" t="s">
        <v>59</v>
      </c>
      <c r="E618" t="s">
        <v>199</v>
      </c>
      <c r="F618" t="s">
        <v>14</v>
      </c>
      <c r="G618">
        <v>444.59</v>
      </c>
      <c r="H618" t="s">
        <v>21</v>
      </c>
      <c r="I618" t="s">
        <v>22</v>
      </c>
      <c r="J618" t="s">
        <v>61</v>
      </c>
    </row>
    <row r="619" spans="1:10" x14ac:dyDescent="0.35">
      <c r="A619" t="s">
        <v>790</v>
      </c>
      <c r="B619" s="10">
        <v>45771</v>
      </c>
      <c r="C619" t="s">
        <v>33</v>
      </c>
      <c r="D619" t="s">
        <v>34</v>
      </c>
      <c r="E619" t="s">
        <v>35</v>
      </c>
      <c r="F619" t="s">
        <v>14</v>
      </c>
      <c r="G619">
        <v>98.5</v>
      </c>
      <c r="H619" t="s">
        <v>21</v>
      </c>
      <c r="I619" t="s">
        <v>84</v>
      </c>
      <c r="J619" t="s">
        <v>37</v>
      </c>
    </row>
    <row r="620" spans="1:10" x14ac:dyDescent="0.35">
      <c r="A620" t="s">
        <v>791</v>
      </c>
      <c r="B620" s="10">
        <v>45772</v>
      </c>
      <c r="C620" t="s">
        <v>259</v>
      </c>
      <c r="D620" t="s">
        <v>59</v>
      </c>
      <c r="E620" t="s">
        <v>199</v>
      </c>
      <c r="F620" t="s">
        <v>14</v>
      </c>
      <c r="G620">
        <v>211.81</v>
      </c>
      <c r="H620" t="s">
        <v>21</v>
      </c>
      <c r="I620" t="s">
        <v>22</v>
      </c>
      <c r="J620" t="s">
        <v>170</v>
      </c>
    </row>
    <row r="621" spans="1:10" x14ac:dyDescent="0.35">
      <c r="A621" t="s">
        <v>792</v>
      </c>
      <c r="B621" s="10">
        <v>45772</v>
      </c>
      <c r="C621" t="s">
        <v>262</v>
      </c>
      <c r="D621" t="s">
        <v>101</v>
      </c>
      <c r="E621" t="s">
        <v>244</v>
      </c>
      <c r="F621" t="s">
        <v>14</v>
      </c>
      <c r="G621">
        <v>27.78</v>
      </c>
      <c r="H621" t="s">
        <v>15</v>
      </c>
      <c r="I621" t="s">
        <v>22</v>
      </c>
      <c r="J621" t="s">
        <v>136</v>
      </c>
    </row>
    <row r="622" spans="1:10" x14ac:dyDescent="0.35">
      <c r="A622" t="s">
        <v>793</v>
      </c>
      <c r="B622" s="10">
        <v>45772</v>
      </c>
      <c r="C622" t="s">
        <v>251</v>
      </c>
      <c r="D622" t="s">
        <v>29</v>
      </c>
      <c r="E622" t="s">
        <v>151</v>
      </c>
      <c r="F622" t="s">
        <v>14</v>
      </c>
      <c r="G622">
        <v>58.65</v>
      </c>
      <c r="H622" t="s">
        <v>15</v>
      </c>
      <c r="I622" t="s">
        <v>36</v>
      </c>
      <c r="J622" t="s">
        <v>31</v>
      </c>
    </row>
    <row r="623" spans="1:10" x14ac:dyDescent="0.35">
      <c r="A623" t="s">
        <v>794</v>
      </c>
      <c r="B623" s="10">
        <v>45772</v>
      </c>
      <c r="C623" t="s">
        <v>19</v>
      </c>
      <c r="D623" t="s">
        <v>12</v>
      </c>
      <c r="E623" t="s">
        <v>13</v>
      </c>
      <c r="F623" t="s">
        <v>14</v>
      </c>
      <c r="G623">
        <v>13.2</v>
      </c>
      <c r="H623" t="s">
        <v>15</v>
      </c>
      <c r="I623" t="s">
        <v>47</v>
      </c>
      <c r="J623" t="s">
        <v>23</v>
      </c>
    </row>
    <row r="624" spans="1:10" x14ac:dyDescent="0.35">
      <c r="A624" t="s">
        <v>795</v>
      </c>
      <c r="B624" s="10">
        <v>45772</v>
      </c>
      <c r="C624" t="s">
        <v>88</v>
      </c>
      <c r="D624" t="s">
        <v>54</v>
      </c>
      <c r="E624" t="s">
        <v>74</v>
      </c>
      <c r="F624" t="s">
        <v>54</v>
      </c>
      <c r="G624">
        <v>2298.5500000000002</v>
      </c>
      <c r="H624" t="s">
        <v>15</v>
      </c>
      <c r="I624" t="s">
        <v>47</v>
      </c>
      <c r="J624" t="s">
        <v>89</v>
      </c>
    </row>
    <row r="625" spans="1:10" x14ac:dyDescent="0.35">
      <c r="A625" t="s">
        <v>796</v>
      </c>
      <c r="B625" s="10">
        <v>45772</v>
      </c>
      <c r="C625" t="s">
        <v>125</v>
      </c>
      <c r="D625" t="s">
        <v>12</v>
      </c>
      <c r="E625" t="s">
        <v>13</v>
      </c>
      <c r="F625" t="s">
        <v>14</v>
      </c>
      <c r="G625">
        <v>115.1</v>
      </c>
      <c r="H625" t="s">
        <v>15</v>
      </c>
      <c r="I625" t="s">
        <v>22</v>
      </c>
      <c r="J625" t="s">
        <v>44</v>
      </c>
    </row>
    <row r="626" spans="1:10" x14ac:dyDescent="0.35">
      <c r="A626" t="s">
        <v>797</v>
      </c>
      <c r="B626" s="10">
        <v>45772</v>
      </c>
      <c r="C626" t="s">
        <v>262</v>
      </c>
      <c r="D626" t="s">
        <v>101</v>
      </c>
      <c r="E626" t="s">
        <v>244</v>
      </c>
      <c r="F626" t="s">
        <v>14</v>
      </c>
      <c r="G626">
        <v>101.9</v>
      </c>
      <c r="H626" t="s">
        <v>15</v>
      </c>
      <c r="I626" t="s">
        <v>36</v>
      </c>
      <c r="J626" t="s">
        <v>136</v>
      </c>
    </row>
    <row r="627" spans="1:10" x14ac:dyDescent="0.35">
      <c r="A627" t="s">
        <v>798</v>
      </c>
      <c r="B627" s="10">
        <v>45773</v>
      </c>
      <c r="C627" t="s">
        <v>46</v>
      </c>
      <c r="D627" t="s">
        <v>12</v>
      </c>
      <c r="E627" t="s">
        <v>13</v>
      </c>
      <c r="F627" t="s">
        <v>14</v>
      </c>
      <c r="G627">
        <v>113.47</v>
      </c>
      <c r="H627" t="s">
        <v>15</v>
      </c>
      <c r="I627" t="s">
        <v>36</v>
      </c>
      <c r="J627" t="s">
        <v>48</v>
      </c>
    </row>
    <row r="628" spans="1:10" x14ac:dyDescent="0.35">
      <c r="A628" t="s">
        <v>799</v>
      </c>
      <c r="B628" s="10">
        <v>45773</v>
      </c>
      <c r="C628" t="s">
        <v>121</v>
      </c>
      <c r="D628" t="s">
        <v>34</v>
      </c>
      <c r="E628" t="s">
        <v>122</v>
      </c>
      <c r="F628" t="s">
        <v>14</v>
      </c>
      <c r="G628">
        <v>156.77000000000001</v>
      </c>
      <c r="H628" t="s">
        <v>21</v>
      </c>
      <c r="I628" t="s">
        <v>16</v>
      </c>
      <c r="J628" t="s">
        <v>123</v>
      </c>
    </row>
    <row r="629" spans="1:10" x14ac:dyDescent="0.35">
      <c r="A629" t="s">
        <v>800</v>
      </c>
      <c r="B629" s="10">
        <v>45773</v>
      </c>
      <c r="C629" t="s">
        <v>253</v>
      </c>
      <c r="D629" t="s">
        <v>29</v>
      </c>
      <c r="E629" t="s">
        <v>30</v>
      </c>
      <c r="F629" t="s">
        <v>14</v>
      </c>
      <c r="G629">
        <v>40.590000000000003</v>
      </c>
      <c r="H629" t="s">
        <v>15</v>
      </c>
      <c r="I629" t="s">
        <v>47</v>
      </c>
      <c r="J629" t="s">
        <v>158</v>
      </c>
    </row>
    <row r="630" spans="1:10" x14ac:dyDescent="0.35">
      <c r="A630" t="s">
        <v>801</v>
      </c>
      <c r="B630" s="10">
        <v>45773</v>
      </c>
      <c r="C630" t="s">
        <v>281</v>
      </c>
      <c r="D630" t="s">
        <v>34</v>
      </c>
      <c r="E630" t="s">
        <v>40</v>
      </c>
      <c r="F630" t="s">
        <v>14</v>
      </c>
      <c r="G630">
        <v>258.17</v>
      </c>
      <c r="H630" t="s">
        <v>15</v>
      </c>
      <c r="I630" t="s">
        <v>22</v>
      </c>
      <c r="J630" t="s">
        <v>123</v>
      </c>
    </row>
    <row r="631" spans="1:10" x14ac:dyDescent="0.35">
      <c r="A631" t="s">
        <v>802</v>
      </c>
      <c r="B631" s="10">
        <v>45774</v>
      </c>
      <c r="C631" t="s">
        <v>168</v>
      </c>
      <c r="D631" t="s">
        <v>59</v>
      </c>
      <c r="E631" t="s">
        <v>60</v>
      </c>
      <c r="F631" t="s">
        <v>14</v>
      </c>
      <c r="G631">
        <v>330.62</v>
      </c>
      <c r="H631" t="s">
        <v>21</v>
      </c>
      <c r="I631" t="s">
        <v>16</v>
      </c>
      <c r="J631" t="s">
        <v>170</v>
      </c>
    </row>
    <row r="632" spans="1:10" x14ac:dyDescent="0.35">
      <c r="A632" t="s">
        <v>803</v>
      </c>
      <c r="B632" s="10">
        <v>45774</v>
      </c>
      <c r="C632" t="s">
        <v>259</v>
      </c>
      <c r="D632" t="s">
        <v>59</v>
      </c>
      <c r="E632" t="s">
        <v>199</v>
      </c>
      <c r="F632" t="s">
        <v>14</v>
      </c>
      <c r="G632">
        <v>299.79000000000002</v>
      </c>
      <c r="H632" t="s">
        <v>15</v>
      </c>
      <c r="I632" t="s">
        <v>22</v>
      </c>
      <c r="J632" t="s">
        <v>170</v>
      </c>
    </row>
    <row r="633" spans="1:10" x14ac:dyDescent="0.35">
      <c r="A633" t="s">
        <v>804</v>
      </c>
      <c r="B633" s="10">
        <v>45774</v>
      </c>
      <c r="C633" t="s">
        <v>734</v>
      </c>
      <c r="D633" t="s">
        <v>69</v>
      </c>
      <c r="E633" t="s">
        <v>291</v>
      </c>
      <c r="F633" t="s">
        <v>14</v>
      </c>
      <c r="G633">
        <v>223.08</v>
      </c>
      <c r="H633" t="s">
        <v>15</v>
      </c>
      <c r="I633" t="s">
        <v>22</v>
      </c>
      <c r="J633" t="s">
        <v>71</v>
      </c>
    </row>
    <row r="634" spans="1:10" x14ac:dyDescent="0.35">
      <c r="A634" t="s">
        <v>805</v>
      </c>
      <c r="B634" s="10">
        <v>45774</v>
      </c>
      <c r="C634" t="s">
        <v>160</v>
      </c>
      <c r="D634" t="s">
        <v>80</v>
      </c>
      <c r="E634" t="s">
        <v>117</v>
      </c>
      <c r="F634" t="s">
        <v>14</v>
      </c>
      <c r="G634">
        <v>46.91</v>
      </c>
      <c r="H634" t="s">
        <v>15</v>
      </c>
      <c r="I634" t="s">
        <v>22</v>
      </c>
      <c r="J634" t="s">
        <v>161</v>
      </c>
    </row>
    <row r="635" spans="1:10" x14ac:dyDescent="0.35">
      <c r="A635" t="s">
        <v>806</v>
      </c>
      <c r="B635" s="10">
        <v>45774</v>
      </c>
      <c r="C635" t="s">
        <v>160</v>
      </c>
      <c r="D635" t="s">
        <v>80</v>
      </c>
      <c r="E635" t="s">
        <v>117</v>
      </c>
      <c r="F635" t="s">
        <v>14</v>
      </c>
      <c r="G635">
        <v>56.62</v>
      </c>
      <c r="H635" t="s">
        <v>21</v>
      </c>
      <c r="I635" t="s">
        <v>22</v>
      </c>
      <c r="J635" t="s">
        <v>161</v>
      </c>
    </row>
    <row r="636" spans="1:10" x14ac:dyDescent="0.35">
      <c r="A636" t="s">
        <v>807</v>
      </c>
      <c r="B636" s="10">
        <v>45775</v>
      </c>
      <c r="C636" t="s">
        <v>227</v>
      </c>
      <c r="D636" t="s">
        <v>12</v>
      </c>
      <c r="E636" t="s">
        <v>51</v>
      </c>
      <c r="F636" t="s">
        <v>14</v>
      </c>
      <c r="G636">
        <v>142.96</v>
      </c>
      <c r="H636" t="s">
        <v>15</v>
      </c>
      <c r="I636" t="s">
        <v>36</v>
      </c>
      <c r="J636" t="s">
        <v>17</v>
      </c>
    </row>
    <row r="637" spans="1:10" x14ac:dyDescent="0.35">
      <c r="A637" t="s">
        <v>808</v>
      </c>
      <c r="B637" s="10">
        <v>45775</v>
      </c>
      <c r="C637" t="s">
        <v>153</v>
      </c>
      <c r="D637" t="s">
        <v>34</v>
      </c>
      <c r="E637" t="s">
        <v>122</v>
      </c>
      <c r="F637" t="s">
        <v>14</v>
      </c>
      <c r="G637">
        <v>73.52</v>
      </c>
      <c r="H637" t="s">
        <v>15</v>
      </c>
      <c r="I637" t="s">
        <v>47</v>
      </c>
      <c r="J637" t="s">
        <v>41</v>
      </c>
    </row>
    <row r="638" spans="1:10" x14ac:dyDescent="0.35">
      <c r="A638" t="s">
        <v>809</v>
      </c>
      <c r="B638" s="10">
        <v>45775</v>
      </c>
      <c r="C638" t="s">
        <v>210</v>
      </c>
      <c r="D638" t="s">
        <v>59</v>
      </c>
      <c r="E638" t="s">
        <v>185</v>
      </c>
      <c r="F638" t="s">
        <v>14</v>
      </c>
      <c r="G638">
        <v>385.41</v>
      </c>
      <c r="H638" t="s">
        <v>21</v>
      </c>
      <c r="I638" t="s">
        <v>16</v>
      </c>
      <c r="J638" t="s">
        <v>211</v>
      </c>
    </row>
    <row r="639" spans="1:10" x14ac:dyDescent="0.35">
      <c r="A639" t="s">
        <v>810</v>
      </c>
      <c r="B639" s="10">
        <v>45775</v>
      </c>
      <c r="C639" t="s">
        <v>272</v>
      </c>
      <c r="D639" t="s">
        <v>54</v>
      </c>
      <c r="E639" t="s">
        <v>55</v>
      </c>
      <c r="F639" t="s">
        <v>54</v>
      </c>
      <c r="G639">
        <v>785.77</v>
      </c>
      <c r="H639" t="s">
        <v>15</v>
      </c>
      <c r="I639" t="s">
        <v>36</v>
      </c>
      <c r="J639" t="s">
        <v>65</v>
      </c>
    </row>
    <row r="640" spans="1:10" x14ac:dyDescent="0.35">
      <c r="A640" t="s">
        <v>811</v>
      </c>
      <c r="B640" s="10">
        <v>45775</v>
      </c>
      <c r="C640" t="s">
        <v>28</v>
      </c>
      <c r="D640" t="s">
        <v>29</v>
      </c>
      <c r="E640" t="s">
        <v>30</v>
      </c>
      <c r="F640" t="s">
        <v>14</v>
      </c>
      <c r="G640">
        <v>23.93</v>
      </c>
      <c r="H640" t="s">
        <v>15</v>
      </c>
      <c r="I640" t="s">
        <v>47</v>
      </c>
      <c r="J640" t="s">
        <v>31</v>
      </c>
    </row>
    <row r="641" spans="1:10" x14ac:dyDescent="0.35">
      <c r="A641" t="s">
        <v>812</v>
      </c>
      <c r="B641" s="10">
        <v>45775</v>
      </c>
      <c r="C641" t="s">
        <v>43</v>
      </c>
      <c r="D641" t="s">
        <v>12</v>
      </c>
      <c r="E641" t="s">
        <v>26</v>
      </c>
      <c r="F641" t="s">
        <v>14</v>
      </c>
      <c r="G641">
        <v>113.78</v>
      </c>
      <c r="H641" t="s">
        <v>98</v>
      </c>
      <c r="I641" t="s">
        <v>22</v>
      </c>
      <c r="J641" t="s">
        <v>44</v>
      </c>
    </row>
    <row r="642" spans="1:10" x14ac:dyDescent="0.35">
      <c r="A642" t="s">
        <v>813</v>
      </c>
      <c r="B642" s="10">
        <v>45775</v>
      </c>
      <c r="C642" t="s">
        <v>135</v>
      </c>
      <c r="D642" t="s">
        <v>101</v>
      </c>
      <c r="E642" t="s">
        <v>102</v>
      </c>
      <c r="F642" t="s">
        <v>14</v>
      </c>
      <c r="G642">
        <v>28.3</v>
      </c>
      <c r="H642" t="s">
        <v>21</v>
      </c>
      <c r="I642" t="s">
        <v>84</v>
      </c>
      <c r="J642" t="s">
        <v>136</v>
      </c>
    </row>
    <row r="643" spans="1:10" x14ac:dyDescent="0.35">
      <c r="A643" t="s">
        <v>814</v>
      </c>
      <c r="B643" s="10">
        <v>45776</v>
      </c>
      <c r="C643" t="s">
        <v>184</v>
      </c>
      <c r="D643" t="s">
        <v>59</v>
      </c>
      <c r="E643" t="s">
        <v>185</v>
      </c>
      <c r="F643" t="s">
        <v>14</v>
      </c>
      <c r="G643">
        <v>275.64999999999998</v>
      </c>
      <c r="H643" t="s">
        <v>15</v>
      </c>
      <c r="I643" t="s">
        <v>22</v>
      </c>
      <c r="J643" t="s">
        <v>61</v>
      </c>
    </row>
    <row r="644" spans="1:10" x14ac:dyDescent="0.35">
      <c r="A644" t="s">
        <v>815</v>
      </c>
      <c r="B644" s="10">
        <v>45776</v>
      </c>
      <c r="C644" t="s">
        <v>179</v>
      </c>
      <c r="D644" t="s">
        <v>80</v>
      </c>
      <c r="E644" t="s">
        <v>117</v>
      </c>
      <c r="F644" t="s">
        <v>14</v>
      </c>
      <c r="G644">
        <v>98.5</v>
      </c>
      <c r="H644" t="s">
        <v>98</v>
      </c>
      <c r="I644" t="s">
        <v>22</v>
      </c>
      <c r="J644" t="s">
        <v>180</v>
      </c>
    </row>
    <row r="645" spans="1:10" x14ac:dyDescent="0.35">
      <c r="A645" t="s">
        <v>816</v>
      </c>
      <c r="B645" s="10">
        <v>45776</v>
      </c>
      <c r="C645" t="s">
        <v>331</v>
      </c>
      <c r="D645" t="s">
        <v>29</v>
      </c>
      <c r="E645" t="s">
        <v>95</v>
      </c>
      <c r="F645" t="s">
        <v>14</v>
      </c>
      <c r="G645">
        <v>33.119999999999997</v>
      </c>
      <c r="H645" t="s">
        <v>15</v>
      </c>
      <c r="I645" t="s">
        <v>36</v>
      </c>
      <c r="J645" t="s">
        <v>151</v>
      </c>
    </row>
    <row r="646" spans="1:10" x14ac:dyDescent="0.35">
      <c r="A646" t="s">
        <v>817</v>
      </c>
      <c r="B646" s="10">
        <v>45776</v>
      </c>
      <c r="C646" t="s">
        <v>109</v>
      </c>
      <c r="D646" t="s">
        <v>34</v>
      </c>
      <c r="E646" t="s">
        <v>35</v>
      </c>
      <c r="F646" t="s">
        <v>14</v>
      </c>
      <c r="G646">
        <v>61.44</v>
      </c>
      <c r="H646" t="s">
        <v>15</v>
      </c>
      <c r="I646" t="s">
        <v>22</v>
      </c>
      <c r="J646" t="s">
        <v>41</v>
      </c>
    </row>
    <row r="647" spans="1:10" x14ac:dyDescent="0.35">
      <c r="A647" t="s">
        <v>818</v>
      </c>
      <c r="B647" s="10">
        <v>45776</v>
      </c>
      <c r="C647" t="s">
        <v>135</v>
      </c>
      <c r="D647" t="s">
        <v>101</v>
      </c>
      <c r="E647" t="s">
        <v>102</v>
      </c>
      <c r="F647" t="s">
        <v>14</v>
      </c>
      <c r="G647">
        <v>56.76</v>
      </c>
      <c r="H647" t="s">
        <v>21</v>
      </c>
      <c r="I647" t="s">
        <v>22</v>
      </c>
      <c r="J647" t="s">
        <v>136</v>
      </c>
    </row>
    <row r="648" spans="1:10" x14ac:dyDescent="0.35">
      <c r="A648" t="s">
        <v>819</v>
      </c>
      <c r="B648" s="10">
        <v>45777</v>
      </c>
      <c r="C648" t="s">
        <v>163</v>
      </c>
      <c r="D648" t="s">
        <v>80</v>
      </c>
      <c r="E648" t="s">
        <v>92</v>
      </c>
      <c r="F648" t="s">
        <v>14</v>
      </c>
      <c r="G648">
        <v>28.93</v>
      </c>
      <c r="H648" t="s">
        <v>21</v>
      </c>
      <c r="I648" t="s">
        <v>22</v>
      </c>
      <c r="J648" t="s">
        <v>118</v>
      </c>
    </row>
    <row r="649" spans="1:10" x14ac:dyDescent="0.35">
      <c r="A649" t="s">
        <v>820</v>
      </c>
      <c r="B649" s="10">
        <v>45777</v>
      </c>
      <c r="C649" t="s">
        <v>43</v>
      </c>
      <c r="D649" t="s">
        <v>12</v>
      </c>
      <c r="E649" t="s">
        <v>26</v>
      </c>
      <c r="F649" t="s">
        <v>14</v>
      </c>
      <c r="G649">
        <v>35.340000000000003</v>
      </c>
      <c r="H649" t="s">
        <v>15</v>
      </c>
      <c r="I649" t="s">
        <v>36</v>
      </c>
      <c r="J649" t="s">
        <v>44</v>
      </c>
    </row>
    <row r="650" spans="1:10" x14ac:dyDescent="0.35">
      <c r="A650" t="s">
        <v>822</v>
      </c>
      <c r="B650" s="10">
        <v>45777</v>
      </c>
      <c r="C650" t="s">
        <v>168</v>
      </c>
      <c r="D650" t="s">
        <v>59</v>
      </c>
      <c r="E650" t="s">
        <v>60</v>
      </c>
      <c r="F650" t="s">
        <v>14</v>
      </c>
      <c r="G650">
        <v>498.44</v>
      </c>
      <c r="H650" t="s">
        <v>21</v>
      </c>
      <c r="I650" t="s">
        <v>22</v>
      </c>
      <c r="J650" t="s">
        <v>170</v>
      </c>
    </row>
    <row r="651" spans="1:10" x14ac:dyDescent="0.35">
      <c r="A651" t="s">
        <v>823</v>
      </c>
      <c r="B651" s="10">
        <v>45777</v>
      </c>
      <c r="C651" t="s">
        <v>824</v>
      </c>
      <c r="D651" t="s">
        <v>69</v>
      </c>
      <c r="E651" t="s">
        <v>233</v>
      </c>
      <c r="F651" t="s">
        <v>14</v>
      </c>
      <c r="G651">
        <v>445.09</v>
      </c>
      <c r="H651" t="s">
        <v>15</v>
      </c>
      <c r="I651" t="s">
        <v>16</v>
      </c>
      <c r="J651" t="s">
        <v>133</v>
      </c>
    </row>
    <row r="652" spans="1:10" x14ac:dyDescent="0.35">
      <c r="A652" t="s">
        <v>825</v>
      </c>
      <c r="B652" s="10">
        <v>45777</v>
      </c>
      <c r="C652" t="s">
        <v>204</v>
      </c>
      <c r="D652" t="s">
        <v>12</v>
      </c>
      <c r="E652" t="s">
        <v>51</v>
      </c>
      <c r="F652" t="s">
        <v>14</v>
      </c>
      <c r="G652">
        <v>72.55</v>
      </c>
      <c r="H652" t="s">
        <v>15</v>
      </c>
      <c r="I652" t="s">
        <v>36</v>
      </c>
      <c r="J652" t="s">
        <v>23</v>
      </c>
    </row>
    <row r="653" spans="1:10" x14ac:dyDescent="0.35">
      <c r="A653" t="s">
        <v>826</v>
      </c>
      <c r="B653" s="10">
        <v>45778</v>
      </c>
      <c r="C653" t="s">
        <v>256</v>
      </c>
      <c r="D653" t="s">
        <v>34</v>
      </c>
      <c r="E653" t="s">
        <v>40</v>
      </c>
      <c r="F653" t="s">
        <v>14</v>
      </c>
      <c r="G653">
        <v>120.29</v>
      </c>
      <c r="H653" t="s">
        <v>21</v>
      </c>
      <c r="I653" t="s">
        <v>36</v>
      </c>
      <c r="J653" t="s">
        <v>239</v>
      </c>
    </row>
    <row r="654" spans="1:10" x14ac:dyDescent="0.35">
      <c r="A654" t="s">
        <v>827</v>
      </c>
      <c r="B654" s="10">
        <v>45778</v>
      </c>
      <c r="C654" t="s">
        <v>350</v>
      </c>
      <c r="D654" t="s">
        <v>29</v>
      </c>
      <c r="E654" t="s">
        <v>151</v>
      </c>
      <c r="F654" t="s">
        <v>14</v>
      </c>
      <c r="G654">
        <v>28.7</v>
      </c>
      <c r="H654" t="s">
        <v>21</v>
      </c>
      <c r="I654" t="s">
        <v>22</v>
      </c>
      <c r="J654" t="s">
        <v>158</v>
      </c>
    </row>
    <row r="655" spans="1:10" x14ac:dyDescent="0.35">
      <c r="A655" t="s">
        <v>828</v>
      </c>
      <c r="B655" s="10">
        <v>45778</v>
      </c>
      <c r="C655" t="s">
        <v>140</v>
      </c>
      <c r="D655" t="s">
        <v>80</v>
      </c>
      <c r="E655" t="s">
        <v>81</v>
      </c>
      <c r="F655" t="s">
        <v>14</v>
      </c>
      <c r="G655">
        <v>88.82</v>
      </c>
      <c r="H655" t="s">
        <v>21</v>
      </c>
      <c r="I655" t="s">
        <v>22</v>
      </c>
      <c r="J655" t="s">
        <v>141</v>
      </c>
    </row>
    <row r="656" spans="1:10" x14ac:dyDescent="0.35">
      <c r="A656" t="s">
        <v>829</v>
      </c>
      <c r="B656" s="10">
        <v>45778</v>
      </c>
      <c r="C656" t="s">
        <v>79</v>
      </c>
      <c r="D656" t="s">
        <v>80</v>
      </c>
      <c r="E656" t="s">
        <v>81</v>
      </c>
      <c r="F656" t="s">
        <v>14</v>
      </c>
      <c r="G656">
        <v>122.66</v>
      </c>
      <c r="H656" t="s">
        <v>21</v>
      </c>
      <c r="I656" t="s">
        <v>84</v>
      </c>
      <c r="J656" t="s">
        <v>82</v>
      </c>
    </row>
    <row r="657" spans="1:10" x14ac:dyDescent="0.35">
      <c r="A657" t="s">
        <v>830</v>
      </c>
      <c r="B657" s="10">
        <v>45778</v>
      </c>
      <c r="C657" t="s">
        <v>298</v>
      </c>
      <c r="D657" t="s">
        <v>59</v>
      </c>
      <c r="E657" t="s">
        <v>185</v>
      </c>
      <c r="F657" t="s">
        <v>14</v>
      </c>
      <c r="G657">
        <v>115</v>
      </c>
      <c r="H657" t="s">
        <v>15</v>
      </c>
      <c r="I657" t="s">
        <v>36</v>
      </c>
      <c r="J657" t="s">
        <v>170</v>
      </c>
    </row>
    <row r="658" spans="1:10" x14ac:dyDescent="0.35">
      <c r="A658" t="s">
        <v>831</v>
      </c>
      <c r="B658" s="10">
        <v>45778</v>
      </c>
      <c r="C658" t="s">
        <v>395</v>
      </c>
      <c r="D658" t="s">
        <v>69</v>
      </c>
      <c r="E658" t="s">
        <v>291</v>
      </c>
      <c r="F658" t="s">
        <v>14</v>
      </c>
      <c r="G658">
        <v>187.06</v>
      </c>
      <c r="H658" t="s">
        <v>21</v>
      </c>
      <c r="I658" t="s">
        <v>22</v>
      </c>
      <c r="J658" t="s">
        <v>396</v>
      </c>
    </row>
    <row r="659" spans="1:10" x14ac:dyDescent="0.35">
      <c r="A659" t="s">
        <v>832</v>
      </c>
      <c r="B659" s="10">
        <v>45778</v>
      </c>
      <c r="C659" t="s">
        <v>347</v>
      </c>
      <c r="D659" t="s">
        <v>29</v>
      </c>
      <c r="E659" t="s">
        <v>151</v>
      </c>
      <c r="F659" t="s">
        <v>14</v>
      </c>
      <c r="G659">
        <v>15.74</v>
      </c>
      <c r="H659" t="s">
        <v>15</v>
      </c>
      <c r="I659" t="s">
        <v>22</v>
      </c>
      <c r="J659" t="s">
        <v>96</v>
      </c>
    </row>
    <row r="660" spans="1:10" x14ac:dyDescent="0.35">
      <c r="A660" t="s">
        <v>833</v>
      </c>
      <c r="B660" s="10">
        <v>45778</v>
      </c>
      <c r="C660" t="s">
        <v>347</v>
      </c>
      <c r="D660" t="s">
        <v>29</v>
      </c>
      <c r="E660" t="s">
        <v>151</v>
      </c>
      <c r="F660" t="s">
        <v>14</v>
      </c>
      <c r="G660">
        <v>8.33</v>
      </c>
      <c r="H660" t="s">
        <v>21</v>
      </c>
      <c r="I660" t="s">
        <v>22</v>
      </c>
      <c r="J660" t="s">
        <v>96</v>
      </c>
    </row>
    <row r="661" spans="1:10" x14ac:dyDescent="0.35">
      <c r="A661" t="s">
        <v>834</v>
      </c>
      <c r="B661" s="10">
        <v>45778</v>
      </c>
      <c r="C661" t="s">
        <v>395</v>
      </c>
      <c r="D661" t="s">
        <v>69</v>
      </c>
      <c r="E661" t="s">
        <v>291</v>
      </c>
      <c r="F661" t="s">
        <v>14</v>
      </c>
      <c r="G661">
        <v>449.31</v>
      </c>
      <c r="H661" t="s">
        <v>98</v>
      </c>
      <c r="I661" t="s">
        <v>36</v>
      </c>
      <c r="J661" t="s">
        <v>396</v>
      </c>
    </row>
    <row r="662" spans="1:10" x14ac:dyDescent="0.35">
      <c r="A662" t="s">
        <v>835</v>
      </c>
      <c r="B662" s="10">
        <v>45778</v>
      </c>
      <c r="C662" t="s">
        <v>100</v>
      </c>
      <c r="D662" t="s">
        <v>101</v>
      </c>
      <c r="E662" t="s">
        <v>102</v>
      </c>
      <c r="F662" t="s">
        <v>14</v>
      </c>
      <c r="G662">
        <v>45.68</v>
      </c>
      <c r="H662" t="s">
        <v>21</v>
      </c>
      <c r="I662" t="s">
        <v>47</v>
      </c>
      <c r="J662" t="s">
        <v>103</v>
      </c>
    </row>
    <row r="663" spans="1:10" x14ac:dyDescent="0.35">
      <c r="A663" t="s">
        <v>837</v>
      </c>
      <c r="B663" s="10">
        <v>45779</v>
      </c>
      <c r="C663" t="s">
        <v>177</v>
      </c>
      <c r="D663" t="s">
        <v>54</v>
      </c>
      <c r="E663" t="s">
        <v>74</v>
      </c>
      <c r="F663" t="s">
        <v>54</v>
      </c>
      <c r="G663">
        <v>2776.98</v>
      </c>
      <c r="H663" t="s">
        <v>21</v>
      </c>
      <c r="I663" t="s">
        <v>22</v>
      </c>
      <c r="J663" t="s">
        <v>56</v>
      </c>
    </row>
    <row r="664" spans="1:10" x14ac:dyDescent="0.35">
      <c r="A664" t="s">
        <v>838</v>
      </c>
      <c r="B664" s="10">
        <v>45779</v>
      </c>
      <c r="C664" t="s">
        <v>53</v>
      </c>
      <c r="D664" t="s">
        <v>54</v>
      </c>
      <c r="E664" t="s">
        <v>55</v>
      </c>
      <c r="F664" t="s">
        <v>54</v>
      </c>
      <c r="G664">
        <v>569.38</v>
      </c>
      <c r="H664" t="s">
        <v>15</v>
      </c>
      <c r="I664" t="s">
        <v>16</v>
      </c>
      <c r="J664" t="s">
        <v>56</v>
      </c>
    </row>
    <row r="665" spans="1:10" x14ac:dyDescent="0.35">
      <c r="A665" t="s">
        <v>839</v>
      </c>
      <c r="B665" s="10">
        <v>45779</v>
      </c>
      <c r="C665" t="s">
        <v>175</v>
      </c>
      <c r="D665" t="s">
        <v>80</v>
      </c>
      <c r="E665" t="s">
        <v>92</v>
      </c>
      <c r="F665" t="s">
        <v>14</v>
      </c>
      <c r="G665">
        <v>42.22</v>
      </c>
      <c r="H665" t="s">
        <v>21</v>
      </c>
      <c r="I665" t="s">
        <v>22</v>
      </c>
      <c r="J665" t="s">
        <v>141</v>
      </c>
    </row>
    <row r="666" spans="1:10" x14ac:dyDescent="0.35">
      <c r="A666" t="s">
        <v>840</v>
      </c>
      <c r="B666" s="10">
        <v>45780</v>
      </c>
      <c r="C666" t="s">
        <v>73</v>
      </c>
      <c r="D666" t="s">
        <v>54</v>
      </c>
      <c r="E666" t="s">
        <v>74</v>
      </c>
      <c r="F666" t="s">
        <v>54</v>
      </c>
      <c r="G666">
        <v>2603.9</v>
      </c>
      <c r="H666" t="s">
        <v>15</v>
      </c>
      <c r="I666" t="s">
        <v>36</v>
      </c>
      <c r="J666" t="s">
        <v>65</v>
      </c>
    </row>
    <row r="667" spans="1:10" x14ac:dyDescent="0.35">
      <c r="A667" t="s">
        <v>841</v>
      </c>
      <c r="B667" s="10">
        <v>45780</v>
      </c>
      <c r="C667" t="s">
        <v>143</v>
      </c>
      <c r="D667" t="s">
        <v>54</v>
      </c>
      <c r="E667" t="s">
        <v>55</v>
      </c>
      <c r="F667" t="s">
        <v>54</v>
      </c>
      <c r="G667">
        <v>626.44000000000005</v>
      </c>
      <c r="H667" t="s">
        <v>15</v>
      </c>
      <c r="I667" t="s">
        <v>22</v>
      </c>
      <c r="J667" t="s">
        <v>89</v>
      </c>
    </row>
    <row r="668" spans="1:10" x14ac:dyDescent="0.35">
      <c r="A668" t="s">
        <v>842</v>
      </c>
      <c r="B668" s="10">
        <v>45780</v>
      </c>
      <c r="C668" t="s">
        <v>227</v>
      </c>
      <c r="D668" t="s">
        <v>12</v>
      </c>
      <c r="E668" t="s">
        <v>51</v>
      </c>
      <c r="F668" t="s">
        <v>14</v>
      </c>
      <c r="G668">
        <v>65.040000000000006</v>
      </c>
      <c r="H668" t="s">
        <v>15</v>
      </c>
      <c r="I668" t="s">
        <v>47</v>
      </c>
      <c r="J668" t="s">
        <v>17</v>
      </c>
    </row>
    <row r="669" spans="1:10" x14ac:dyDescent="0.35">
      <c r="A669" t="s">
        <v>843</v>
      </c>
      <c r="B669" s="10">
        <v>45780</v>
      </c>
      <c r="C669" t="s">
        <v>25</v>
      </c>
      <c r="D669" t="s">
        <v>12</v>
      </c>
      <c r="E669" t="s">
        <v>26</v>
      </c>
      <c r="F669" t="s">
        <v>14</v>
      </c>
      <c r="G669">
        <v>22.54</v>
      </c>
      <c r="H669" t="s">
        <v>98</v>
      </c>
      <c r="I669" t="s">
        <v>16</v>
      </c>
      <c r="J669" t="s">
        <v>17</v>
      </c>
    </row>
    <row r="670" spans="1:10" x14ac:dyDescent="0.35">
      <c r="A670" t="s">
        <v>844</v>
      </c>
      <c r="B670" s="10">
        <v>45780</v>
      </c>
      <c r="C670" t="s">
        <v>580</v>
      </c>
      <c r="D670" t="s">
        <v>80</v>
      </c>
      <c r="E670" t="s">
        <v>81</v>
      </c>
      <c r="F670" t="s">
        <v>14</v>
      </c>
      <c r="G670">
        <v>112.77</v>
      </c>
      <c r="H670" t="s">
        <v>98</v>
      </c>
      <c r="I670" t="s">
        <v>22</v>
      </c>
      <c r="J670" t="s">
        <v>118</v>
      </c>
    </row>
    <row r="671" spans="1:10" x14ac:dyDescent="0.35">
      <c r="A671" t="s">
        <v>845</v>
      </c>
      <c r="B671" s="10">
        <v>45780</v>
      </c>
      <c r="C671" t="s">
        <v>256</v>
      </c>
      <c r="D671" t="s">
        <v>34</v>
      </c>
      <c r="E671" t="s">
        <v>40</v>
      </c>
      <c r="F671" t="s">
        <v>14</v>
      </c>
      <c r="G671">
        <v>57.64</v>
      </c>
      <c r="H671" t="s">
        <v>21</v>
      </c>
      <c r="I671" t="s">
        <v>22</v>
      </c>
      <c r="J671" t="s">
        <v>239</v>
      </c>
    </row>
    <row r="672" spans="1:10" x14ac:dyDescent="0.35">
      <c r="A672" t="s">
        <v>846</v>
      </c>
      <c r="B672" s="10">
        <v>45780</v>
      </c>
      <c r="C672" t="s">
        <v>132</v>
      </c>
      <c r="D672" t="s">
        <v>69</v>
      </c>
      <c r="E672" t="s">
        <v>70</v>
      </c>
      <c r="F672" t="s">
        <v>14</v>
      </c>
      <c r="G672">
        <v>396.03</v>
      </c>
      <c r="H672" t="s">
        <v>21</v>
      </c>
      <c r="I672" t="s">
        <v>47</v>
      </c>
      <c r="J672" t="s">
        <v>133</v>
      </c>
    </row>
    <row r="673" spans="1:10" x14ac:dyDescent="0.35">
      <c r="A673" t="s">
        <v>847</v>
      </c>
      <c r="B673" s="10">
        <v>45780</v>
      </c>
      <c r="C673" t="s">
        <v>424</v>
      </c>
      <c r="D673" t="s">
        <v>101</v>
      </c>
      <c r="E673" t="s">
        <v>136</v>
      </c>
      <c r="F673" t="s">
        <v>14</v>
      </c>
      <c r="G673">
        <v>84.7</v>
      </c>
      <c r="H673" t="s">
        <v>21</v>
      </c>
      <c r="I673" t="s">
        <v>16</v>
      </c>
      <c r="J673" t="s">
        <v>102</v>
      </c>
    </row>
    <row r="674" spans="1:10" x14ac:dyDescent="0.35">
      <c r="A674" t="s">
        <v>848</v>
      </c>
      <c r="B674" s="10">
        <v>45781</v>
      </c>
      <c r="C674" t="s">
        <v>308</v>
      </c>
      <c r="D674" t="s">
        <v>54</v>
      </c>
      <c r="E674" t="s">
        <v>64</v>
      </c>
      <c r="F674" t="s">
        <v>54</v>
      </c>
      <c r="G674">
        <v>331.52</v>
      </c>
      <c r="H674" t="s">
        <v>15</v>
      </c>
      <c r="I674" t="s">
        <v>22</v>
      </c>
      <c r="J674" t="s">
        <v>89</v>
      </c>
    </row>
    <row r="675" spans="1:10" x14ac:dyDescent="0.35">
      <c r="A675" t="s">
        <v>849</v>
      </c>
      <c r="B675" s="10">
        <v>45781</v>
      </c>
      <c r="C675" t="s">
        <v>324</v>
      </c>
      <c r="D675" t="s">
        <v>80</v>
      </c>
      <c r="E675" t="s">
        <v>92</v>
      </c>
      <c r="F675" t="s">
        <v>14</v>
      </c>
      <c r="G675">
        <v>77.930000000000007</v>
      </c>
      <c r="H675" t="s">
        <v>15</v>
      </c>
      <c r="I675" t="s">
        <v>36</v>
      </c>
      <c r="J675" t="s">
        <v>161</v>
      </c>
    </row>
    <row r="676" spans="1:10" x14ac:dyDescent="0.35">
      <c r="A676" t="s">
        <v>850</v>
      </c>
      <c r="B676" s="10">
        <v>45781</v>
      </c>
      <c r="C676" t="s">
        <v>113</v>
      </c>
      <c r="D676" t="s">
        <v>34</v>
      </c>
      <c r="E676" t="s">
        <v>40</v>
      </c>
      <c r="F676" t="s">
        <v>14</v>
      </c>
      <c r="G676">
        <v>162.53</v>
      </c>
      <c r="H676" t="s">
        <v>15</v>
      </c>
      <c r="I676" t="s">
        <v>47</v>
      </c>
      <c r="J676" t="s">
        <v>37</v>
      </c>
    </row>
    <row r="677" spans="1:10" x14ac:dyDescent="0.35">
      <c r="A677" t="s">
        <v>851</v>
      </c>
      <c r="B677" s="10">
        <v>45781</v>
      </c>
      <c r="C677" t="s">
        <v>345</v>
      </c>
      <c r="D677" t="s">
        <v>59</v>
      </c>
      <c r="E677" t="s">
        <v>60</v>
      </c>
      <c r="F677" t="s">
        <v>14</v>
      </c>
      <c r="G677">
        <v>219.18</v>
      </c>
      <c r="H677" t="s">
        <v>98</v>
      </c>
      <c r="I677" t="s">
        <v>16</v>
      </c>
      <c r="J677" t="s">
        <v>211</v>
      </c>
    </row>
    <row r="678" spans="1:10" x14ac:dyDescent="0.35">
      <c r="A678" t="s">
        <v>852</v>
      </c>
      <c r="B678" s="10">
        <v>45782</v>
      </c>
      <c r="C678" t="s">
        <v>50</v>
      </c>
      <c r="D678" t="s">
        <v>12</v>
      </c>
      <c r="E678" t="s">
        <v>51</v>
      </c>
      <c r="F678" t="s">
        <v>14</v>
      </c>
      <c r="G678">
        <v>37.69</v>
      </c>
      <c r="H678" t="s">
        <v>15</v>
      </c>
      <c r="I678" t="s">
        <v>36</v>
      </c>
      <c r="J678" t="s">
        <v>44</v>
      </c>
    </row>
    <row r="679" spans="1:10" x14ac:dyDescent="0.35">
      <c r="A679" t="s">
        <v>853</v>
      </c>
      <c r="B679" s="10">
        <v>45782</v>
      </c>
      <c r="C679" t="s">
        <v>204</v>
      </c>
      <c r="D679" t="s">
        <v>12</v>
      </c>
      <c r="E679" t="s">
        <v>51</v>
      </c>
      <c r="F679" t="s">
        <v>14</v>
      </c>
      <c r="G679">
        <v>43.97</v>
      </c>
      <c r="H679" t="s">
        <v>15</v>
      </c>
      <c r="I679" t="s">
        <v>47</v>
      </c>
      <c r="J679" t="s">
        <v>23</v>
      </c>
    </row>
    <row r="680" spans="1:10" x14ac:dyDescent="0.35">
      <c r="A680" t="s">
        <v>854</v>
      </c>
      <c r="B680" s="10">
        <v>45782</v>
      </c>
      <c r="C680" t="s">
        <v>259</v>
      </c>
      <c r="D680" t="s">
        <v>59</v>
      </c>
      <c r="E680" t="s">
        <v>199</v>
      </c>
      <c r="F680" t="s">
        <v>14</v>
      </c>
      <c r="G680">
        <v>712.03</v>
      </c>
      <c r="H680" t="s">
        <v>15</v>
      </c>
      <c r="I680" t="s">
        <v>47</v>
      </c>
      <c r="J680" t="s">
        <v>170</v>
      </c>
    </row>
    <row r="681" spans="1:10" x14ac:dyDescent="0.35">
      <c r="A681" t="s">
        <v>855</v>
      </c>
      <c r="B681" s="10">
        <v>45782</v>
      </c>
      <c r="C681" t="s">
        <v>113</v>
      </c>
      <c r="D681" t="s">
        <v>34</v>
      </c>
      <c r="E681" t="s">
        <v>40</v>
      </c>
      <c r="F681" t="s">
        <v>14</v>
      </c>
      <c r="G681">
        <v>86.17</v>
      </c>
      <c r="H681" t="s">
        <v>15</v>
      </c>
      <c r="I681" t="s">
        <v>16</v>
      </c>
      <c r="J681" t="s">
        <v>37</v>
      </c>
    </row>
    <row r="682" spans="1:10" x14ac:dyDescent="0.35">
      <c r="A682" t="s">
        <v>856</v>
      </c>
      <c r="B682" s="10">
        <v>45782</v>
      </c>
      <c r="C682" t="s">
        <v>229</v>
      </c>
      <c r="D682" t="s">
        <v>54</v>
      </c>
      <c r="E682" t="s">
        <v>64</v>
      </c>
      <c r="F682" t="s">
        <v>54</v>
      </c>
      <c r="G682">
        <v>340.63</v>
      </c>
      <c r="H682" t="s">
        <v>21</v>
      </c>
      <c r="I682" t="s">
        <v>22</v>
      </c>
      <c r="J682" t="s">
        <v>56</v>
      </c>
    </row>
    <row r="683" spans="1:10" x14ac:dyDescent="0.35">
      <c r="A683" t="s">
        <v>857</v>
      </c>
      <c r="B683" s="10">
        <v>45783</v>
      </c>
      <c r="C683" t="s">
        <v>160</v>
      </c>
      <c r="D683" t="s">
        <v>80</v>
      </c>
      <c r="E683" t="s">
        <v>117</v>
      </c>
      <c r="F683" t="s">
        <v>14</v>
      </c>
      <c r="G683">
        <v>16.12</v>
      </c>
      <c r="H683" t="s">
        <v>15</v>
      </c>
      <c r="I683" t="s">
        <v>47</v>
      </c>
      <c r="J683" t="s">
        <v>161</v>
      </c>
    </row>
    <row r="684" spans="1:10" x14ac:dyDescent="0.35">
      <c r="A684" t="s">
        <v>858</v>
      </c>
      <c r="B684" s="10">
        <v>45783</v>
      </c>
      <c r="C684" t="s">
        <v>11</v>
      </c>
      <c r="D684" t="s">
        <v>12</v>
      </c>
      <c r="E684" t="s">
        <v>13</v>
      </c>
      <c r="F684" t="s">
        <v>14</v>
      </c>
      <c r="G684">
        <v>36.96</v>
      </c>
      <c r="H684" t="s">
        <v>21</v>
      </c>
      <c r="I684" t="s">
        <v>36</v>
      </c>
      <c r="J684" t="s">
        <v>17</v>
      </c>
    </row>
    <row r="685" spans="1:10" x14ac:dyDescent="0.35">
      <c r="A685" t="s">
        <v>859</v>
      </c>
      <c r="B685" s="10">
        <v>45783</v>
      </c>
      <c r="C685" t="s">
        <v>347</v>
      </c>
      <c r="D685" t="s">
        <v>29</v>
      </c>
      <c r="E685" t="s">
        <v>151</v>
      </c>
      <c r="F685" t="s">
        <v>14</v>
      </c>
      <c r="G685">
        <v>46.3</v>
      </c>
      <c r="H685" t="s">
        <v>15</v>
      </c>
      <c r="I685" t="s">
        <v>16</v>
      </c>
      <c r="J685" t="s">
        <v>96</v>
      </c>
    </row>
    <row r="686" spans="1:10" x14ac:dyDescent="0.35">
      <c r="A686" t="s">
        <v>860</v>
      </c>
      <c r="B686" s="10">
        <v>45783</v>
      </c>
      <c r="C686" t="s">
        <v>140</v>
      </c>
      <c r="D686" t="s">
        <v>80</v>
      </c>
      <c r="E686" t="s">
        <v>81</v>
      </c>
      <c r="F686" t="s">
        <v>14</v>
      </c>
      <c r="G686">
        <v>162.21</v>
      </c>
      <c r="H686" t="s">
        <v>21</v>
      </c>
      <c r="I686" t="s">
        <v>16</v>
      </c>
      <c r="J686" t="s">
        <v>141</v>
      </c>
    </row>
    <row r="687" spans="1:10" x14ac:dyDescent="0.35">
      <c r="A687" t="s">
        <v>861</v>
      </c>
      <c r="B687" s="10">
        <v>45783</v>
      </c>
      <c r="C687" t="s">
        <v>281</v>
      </c>
      <c r="D687" t="s">
        <v>34</v>
      </c>
      <c r="E687" t="s">
        <v>40</v>
      </c>
      <c r="F687" t="s">
        <v>14</v>
      </c>
      <c r="G687">
        <v>164.14</v>
      </c>
      <c r="H687" t="s">
        <v>15</v>
      </c>
      <c r="I687" t="s">
        <v>16</v>
      </c>
      <c r="J687" t="s">
        <v>123</v>
      </c>
    </row>
    <row r="688" spans="1:10" x14ac:dyDescent="0.35">
      <c r="A688" t="s">
        <v>862</v>
      </c>
      <c r="B688" s="10">
        <v>45783</v>
      </c>
      <c r="C688" t="s">
        <v>350</v>
      </c>
      <c r="D688" t="s">
        <v>29</v>
      </c>
      <c r="E688" t="s">
        <v>151</v>
      </c>
      <c r="F688" t="s">
        <v>14</v>
      </c>
      <c r="G688">
        <v>64.53</v>
      </c>
      <c r="H688" t="s">
        <v>98</v>
      </c>
      <c r="I688" t="s">
        <v>36</v>
      </c>
      <c r="J688" t="s">
        <v>158</v>
      </c>
    </row>
    <row r="689" spans="1:10" x14ac:dyDescent="0.35">
      <c r="A689" t="s">
        <v>863</v>
      </c>
      <c r="B689" s="10">
        <v>45784</v>
      </c>
      <c r="C689" t="s">
        <v>150</v>
      </c>
      <c r="D689" t="s">
        <v>29</v>
      </c>
      <c r="E689" t="s">
        <v>30</v>
      </c>
      <c r="F689" t="s">
        <v>14</v>
      </c>
      <c r="G689">
        <v>17.62</v>
      </c>
      <c r="H689" t="s">
        <v>21</v>
      </c>
      <c r="I689" t="s">
        <v>36</v>
      </c>
      <c r="J689" t="s">
        <v>151</v>
      </c>
    </row>
    <row r="690" spans="1:10" x14ac:dyDescent="0.35">
      <c r="A690" t="s">
        <v>864</v>
      </c>
      <c r="B690" s="10">
        <v>45784</v>
      </c>
      <c r="C690" t="s">
        <v>58</v>
      </c>
      <c r="D690" t="s">
        <v>59</v>
      </c>
      <c r="E690" t="s">
        <v>60</v>
      </c>
      <c r="F690" t="s">
        <v>14</v>
      </c>
      <c r="G690">
        <v>309.55</v>
      </c>
      <c r="H690" t="s">
        <v>21</v>
      </c>
      <c r="I690" t="s">
        <v>22</v>
      </c>
      <c r="J690" t="s">
        <v>61</v>
      </c>
    </row>
    <row r="691" spans="1:10" x14ac:dyDescent="0.35">
      <c r="A691" t="s">
        <v>865</v>
      </c>
      <c r="B691" s="10">
        <v>45784</v>
      </c>
      <c r="C691" t="s">
        <v>350</v>
      </c>
      <c r="D691" t="s">
        <v>29</v>
      </c>
      <c r="E691" t="s">
        <v>151</v>
      </c>
      <c r="F691" t="s">
        <v>14</v>
      </c>
      <c r="G691">
        <v>8.93</v>
      </c>
      <c r="H691" t="s">
        <v>15</v>
      </c>
      <c r="I691" t="s">
        <v>36</v>
      </c>
      <c r="J691" t="s">
        <v>158</v>
      </c>
    </row>
    <row r="692" spans="1:10" x14ac:dyDescent="0.35">
      <c r="A692" t="s">
        <v>866</v>
      </c>
      <c r="B692" s="10">
        <v>45784</v>
      </c>
      <c r="C692" t="s">
        <v>46</v>
      </c>
      <c r="D692" t="s">
        <v>12</v>
      </c>
      <c r="E692" t="s">
        <v>13</v>
      </c>
      <c r="F692" t="s">
        <v>14</v>
      </c>
      <c r="G692">
        <v>24.87</v>
      </c>
      <c r="H692" t="s">
        <v>21</v>
      </c>
      <c r="I692" t="s">
        <v>47</v>
      </c>
      <c r="J692" t="s">
        <v>48</v>
      </c>
    </row>
    <row r="693" spans="1:10" x14ac:dyDescent="0.35">
      <c r="A693" t="s">
        <v>867</v>
      </c>
      <c r="B693" s="10">
        <v>45785</v>
      </c>
      <c r="C693" t="s">
        <v>121</v>
      </c>
      <c r="D693" t="s">
        <v>34</v>
      </c>
      <c r="E693" t="s">
        <v>122</v>
      </c>
      <c r="F693" t="s">
        <v>14</v>
      </c>
      <c r="G693">
        <v>131.88</v>
      </c>
      <c r="H693" t="s">
        <v>21</v>
      </c>
      <c r="I693" t="s">
        <v>22</v>
      </c>
      <c r="J693" t="s">
        <v>123</v>
      </c>
    </row>
    <row r="694" spans="1:10" x14ac:dyDescent="0.35">
      <c r="A694" t="s">
        <v>868</v>
      </c>
      <c r="B694" s="10">
        <v>45785</v>
      </c>
      <c r="C694" t="s">
        <v>157</v>
      </c>
      <c r="D694" t="s">
        <v>29</v>
      </c>
      <c r="E694" t="s">
        <v>95</v>
      </c>
      <c r="F694" t="s">
        <v>14</v>
      </c>
      <c r="G694">
        <v>15.47</v>
      </c>
      <c r="H694" t="s">
        <v>21</v>
      </c>
      <c r="I694" t="s">
        <v>47</v>
      </c>
      <c r="J694" t="s">
        <v>158</v>
      </c>
    </row>
    <row r="695" spans="1:10" x14ac:dyDescent="0.35">
      <c r="A695" t="s">
        <v>869</v>
      </c>
      <c r="B695" s="10">
        <v>45785</v>
      </c>
      <c r="C695" t="s">
        <v>734</v>
      </c>
      <c r="D695" t="s">
        <v>69</v>
      </c>
      <c r="E695" t="s">
        <v>291</v>
      </c>
      <c r="F695" t="s">
        <v>14</v>
      </c>
      <c r="G695">
        <v>558.44000000000005</v>
      </c>
      <c r="H695" t="s">
        <v>15</v>
      </c>
      <c r="I695" t="s">
        <v>22</v>
      </c>
      <c r="J695" t="s">
        <v>71</v>
      </c>
    </row>
    <row r="696" spans="1:10" x14ac:dyDescent="0.35">
      <c r="A696" t="s">
        <v>870</v>
      </c>
      <c r="B696" s="10">
        <v>45785</v>
      </c>
      <c r="C696" t="s">
        <v>229</v>
      </c>
      <c r="D696" t="s">
        <v>54</v>
      </c>
      <c r="E696" t="s">
        <v>64</v>
      </c>
      <c r="F696" t="s">
        <v>54</v>
      </c>
      <c r="G696">
        <v>332.15</v>
      </c>
      <c r="H696" t="s">
        <v>15</v>
      </c>
      <c r="I696" t="s">
        <v>22</v>
      </c>
      <c r="J696" t="s">
        <v>56</v>
      </c>
    </row>
    <row r="697" spans="1:10" x14ac:dyDescent="0.35">
      <c r="A697" t="s">
        <v>871</v>
      </c>
      <c r="B697" s="10">
        <v>45785</v>
      </c>
      <c r="C697" t="s">
        <v>220</v>
      </c>
      <c r="D697" t="s">
        <v>59</v>
      </c>
      <c r="E697" t="s">
        <v>199</v>
      </c>
      <c r="F697" t="s">
        <v>14</v>
      </c>
      <c r="G697">
        <v>199.78</v>
      </c>
      <c r="H697" t="s">
        <v>15</v>
      </c>
      <c r="I697" t="s">
        <v>22</v>
      </c>
      <c r="J697" t="s">
        <v>211</v>
      </c>
    </row>
    <row r="698" spans="1:10" x14ac:dyDescent="0.35">
      <c r="A698" t="s">
        <v>872</v>
      </c>
      <c r="B698" s="10">
        <v>45785</v>
      </c>
      <c r="C698" t="s">
        <v>198</v>
      </c>
      <c r="D698" t="s">
        <v>59</v>
      </c>
      <c r="E698" t="s">
        <v>199</v>
      </c>
      <c r="F698" t="s">
        <v>14</v>
      </c>
      <c r="G698">
        <v>365.73</v>
      </c>
      <c r="H698" t="s">
        <v>21</v>
      </c>
      <c r="I698" t="s">
        <v>36</v>
      </c>
      <c r="J698" t="s">
        <v>61</v>
      </c>
    </row>
    <row r="699" spans="1:10" x14ac:dyDescent="0.35">
      <c r="A699" t="s">
        <v>873</v>
      </c>
      <c r="B699" s="10">
        <v>45786</v>
      </c>
      <c r="C699" t="s">
        <v>256</v>
      </c>
      <c r="D699" t="s">
        <v>34</v>
      </c>
      <c r="E699" t="s">
        <v>40</v>
      </c>
      <c r="F699" t="s">
        <v>14</v>
      </c>
      <c r="G699">
        <v>229.16</v>
      </c>
      <c r="H699" t="s">
        <v>98</v>
      </c>
      <c r="I699" t="s">
        <v>47</v>
      </c>
      <c r="J699" t="s">
        <v>239</v>
      </c>
    </row>
    <row r="700" spans="1:10" x14ac:dyDescent="0.35">
      <c r="A700" t="s">
        <v>874</v>
      </c>
      <c r="B700" s="10">
        <v>45786</v>
      </c>
      <c r="C700" t="s">
        <v>875</v>
      </c>
      <c r="D700" t="s">
        <v>69</v>
      </c>
      <c r="E700" t="s">
        <v>291</v>
      </c>
      <c r="F700" t="s">
        <v>14</v>
      </c>
      <c r="G700">
        <v>374.08</v>
      </c>
      <c r="H700" t="s">
        <v>98</v>
      </c>
      <c r="I700" t="s">
        <v>84</v>
      </c>
      <c r="J700" t="s">
        <v>133</v>
      </c>
    </row>
    <row r="701" spans="1:10" x14ac:dyDescent="0.35">
      <c r="A701" t="s">
        <v>876</v>
      </c>
      <c r="B701" s="10">
        <v>45786</v>
      </c>
      <c r="C701" t="s">
        <v>39</v>
      </c>
      <c r="D701" t="s">
        <v>34</v>
      </c>
      <c r="E701" t="s">
        <v>40</v>
      </c>
      <c r="F701" t="s">
        <v>14</v>
      </c>
      <c r="G701">
        <v>193.33</v>
      </c>
      <c r="H701" t="s">
        <v>98</v>
      </c>
      <c r="I701" t="s">
        <v>47</v>
      </c>
      <c r="J701" t="s">
        <v>41</v>
      </c>
    </row>
    <row r="702" spans="1:10" x14ac:dyDescent="0.35">
      <c r="A702" t="s">
        <v>877</v>
      </c>
      <c r="B702" s="10">
        <v>45786</v>
      </c>
      <c r="C702" t="s">
        <v>168</v>
      </c>
      <c r="D702" t="s">
        <v>59</v>
      </c>
      <c r="E702" t="s">
        <v>60</v>
      </c>
      <c r="F702" t="s">
        <v>14</v>
      </c>
      <c r="G702">
        <v>269.83</v>
      </c>
      <c r="H702" t="s">
        <v>15</v>
      </c>
      <c r="I702" t="s">
        <v>47</v>
      </c>
      <c r="J702" t="s">
        <v>170</v>
      </c>
    </row>
    <row r="703" spans="1:10" x14ac:dyDescent="0.35">
      <c r="A703" t="s">
        <v>878</v>
      </c>
      <c r="B703" s="10">
        <v>45787</v>
      </c>
      <c r="C703" t="s">
        <v>184</v>
      </c>
      <c r="D703" t="s">
        <v>59</v>
      </c>
      <c r="E703" t="s">
        <v>185</v>
      </c>
      <c r="F703" t="s">
        <v>14</v>
      </c>
      <c r="G703">
        <v>376.87</v>
      </c>
      <c r="H703" t="s">
        <v>15</v>
      </c>
      <c r="I703" t="s">
        <v>47</v>
      </c>
      <c r="J703" t="s">
        <v>61</v>
      </c>
    </row>
    <row r="704" spans="1:10" x14ac:dyDescent="0.35">
      <c r="A704" t="s">
        <v>879</v>
      </c>
      <c r="B704" s="10">
        <v>45787</v>
      </c>
      <c r="C704" t="s">
        <v>253</v>
      </c>
      <c r="D704" t="s">
        <v>29</v>
      </c>
      <c r="E704" t="s">
        <v>30</v>
      </c>
      <c r="F704" t="s">
        <v>14</v>
      </c>
      <c r="G704">
        <v>54.17</v>
      </c>
      <c r="H704" t="s">
        <v>21</v>
      </c>
      <c r="I704" t="s">
        <v>22</v>
      </c>
      <c r="J704" t="s">
        <v>158</v>
      </c>
    </row>
    <row r="705" spans="1:10" x14ac:dyDescent="0.35">
      <c r="A705" t="s">
        <v>880</v>
      </c>
      <c r="B705" s="10">
        <v>45787</v>
      </c>
      <c r="C705" t="s">
        <v>411</v>
      </c>
      <c r="D705" t="s">
        <v>29</v>
      </c>
      <c r="E705" t="s">
        <v>151</v>
      </c>
      <c r="F705" t="s">
        <v>14</v>
      </c>
      <c r="G705">
        <v>43.74</v>
      </c>
      <c r="H705" t="s">
        <v>15</v>
      </c>
      <c r="I705" t="s">
        <v>84</v>
      </c>
      <c r="J705" t="s">
        <v>151</v>
      </c>
    </row>
    <row r="706" spans="1:10" x14ac:dyDescent="0.35">
      <c r="A706" t="s">
        <v>881</v>
      </c>
      <c r="B706" s="10">
        <v>45787</v>
      </c>
      <c r="C706" t="s">
        <v>143</v>
      </c>
      <c r="D706" t="s">
        <v>54</v>
      </c>
      <c r="E706" t="s">
        <v>55</v>
      </c>
      <c r="F706" t="s">
        <v>54</v>
      </c>
      <c r="G706">
        <v>802.59</v>
      </c>
      <c r="H706" t="s">
        <v>98</v>
      </c>
      <c r="I706" t="s">
        <v>47</v>
      </c>
      <c r="J706" t="s">
        <v>89</v>
      </c>
    </row>
    <row r="707" spans="1:10" x14ac:dyDescent="0.35">
      <c r="A707" t="s">
        <v>882</v>
      </c>
      <c r="B707" s="10">
        <v>45788</v>
      </c>
      <c r="C707" t="s">
        <v>215</v>
      </c>
      <c r="D707" t="s">
        <v>80</v>
      </c>
      <c r="E707" t="s">
        <v>117</v>
      </c>
      <c r="F707" t="s">
        <v>14</v>
      </c>
      <c r="G707">
        <v>200.7</v>
      </c>
      <c r="H707" t="s">
        <v>21</v>
      </c>
      <c r="I707" t="s">
        <v>22</v>
      </c>
      <c r="J707" t="s">
        <v>141</v>
      </c>
    </row>
    <row r="708" spans="1:10" x14ac:dyDescent="0.35">
      <c r="A708" t="s">
        <v>883</v>
      </c>
      <c r="B708" s="10">
        <v>45788</v>
      </c>
      <c r="C708" t="s">
        <v>177</v>
      </c>
      <c r="D708" t="s">
        <v>54</v>
      </c>
      <c r="E708" t="s">
        <v>74</v>
      </c>
      <c r="F708" t="s">
        <v>54</v>
      </c>
      <c r="G708">
        <v>2451.44</v>
      </c>
      <c r="H708" t="s">
        <v>15</v>
      </c>
      <c r="I708" t="s">
        <v>22</v>
      </c>
      <c r="J708" t="s">
        <v>56</v>
      </c>
    </row>
    <row r="709" spans="1:10" x14ac:dyDescent="0.35">
      <c r="A709" t="s">
        <v>884</v>
      </c>
      <c r="B709" s="10">
        <v>45788</v>
      </c>
      <c r="C709" t="s">
        <v>46</v>
      </c>
      <c r="D709" t="s">
        <v>12</v>
      </c>
      <c r="E709" t="s">
        <v>13</v>
      </c>
      <c r="F709" t="s">
        <v>14</v>
      </c>
      <c r="G709">
        <v>71.02</v>
      </c>
      <c r="H709" t="s">
        <v>98</v>
      </c>
      <c r="I709" t="s">
        <v>22</v>
      </c>
      <c r="J709" t="s">
        <v>48</v>
      </c>
    </row>
    <row r="710" spans="1:10" x14ac:dyDescent="0.35">
      <c r="A710" t="s">
        <v>885</v>
      </c>
      <c r="B710" s="10">
        <v>45789</v>
      </c>
      <c r="C710" t="s">
        <v>298</v>
      </c>
      <c r="D710" t="s">
        <v>59</v>
      </c>
      <c r="E710" t="s">
        <v>185</v>
      </c>
      <c r="F710" t="s">
        <v>14</v>
      </c>
      <c r="G710">
        <v>427.77</v>
      </c>
      <c r="H710" t="s">
        <v>15</v>
      </c>
      <c r="I710" t="s">
        <v>36</v>
      </c>
      <c r="J710" t="s">
        <v>170</v>
      </c>
    </row>
    <row r="711" spans="1:10" x14ac:dyDescent="0.35">
      <c r="A711" t="s">
        <v>886</v>
      </c>
      <c r="B711" s="10">
        <v>45789</v>
      </c>
      <c r="C711" t="s">
        <v>53</v>
      </c>
      <c r="D711" t="s">
        <v>54</v>
      </c>
      <c r="E711" t="s">
        <v>55</v>
      </c>
      <c r="F711" t="s">
        <v>54</v>
      </c>
      <c r="G711">
        <v>848.94</v>
      </c>
      <c r="H711" t="s">
        <v>15</v>
      </c>
      <c r="I711" t="s">
        <v>36</v>
      </c>
      <c r="J711" t="s">
        <v>56</v>
      </c>
    </row>
    <row r="712" spans="1:10" x14ac:dyDescent="0.35">
      <c r="A712" t="s">
        <v>887</v>
      </c>
      <c r="B712" s="10">
        <v>45789</v>
      </c>
      <c r="C712" t="s">
        <v>168</v>
      </c>
      <c r="D712" t="s">
        <v>59</v>
      </c>
      <c r="E712" t="s">
        <v>60</v>
      </c>
      <c r="F712" t="s">
        <v>14</v>
      </c>
      <c r="G712">
        <v>369.66</v>
      </c>
      <c r="H712" t="s">
        <v>15</v>
      </c>
      <c r="I712" t="s">
        <v>36</v>
      </c>
      <c r="J712" t="s">
        <v>170</v>
      </c>
    </row>
    <row r="713" spans="1:10" x14ac:dyDescent="0.35">
      <c r="A713" t="s">
        <v>888</v>
      </c>
      <c r="B713" s="10">
        <v>45789</v>
      </c>
      <c r="C713" t="s">
        <v>256</v>
      </c>
      <c r="D713" t="s">
        <v>34</v>
      </c>
      <c r="E713" t="s">
        <v>40</v>
      </c>
      <c r="F713" t="s">
        <v>14</v>
      </c>
      <c r="G713">
        <v>63.68</v>
      </c>
      <c r="H713" t="s">
        <v>21</v>
      </c>
      <c r="I713" t="s">
        <v>36</v>
      </c>
      <c r="J713" t="s">
        <v>239</v>
      </c>
    </row>
    <row r="714" spans="1:10" x14ac:dyDescent="0.35">
      <c r="A714" t="s">
        <v>889</v>
      </c>
      <c r="B714" s="10">
        <v>45790</v>
      </c>
      <c r="C714" t="s">
        <v>100</v>
      </c>
      <c r="D714" t="s">
        <v>101</v>
      </c>
      <c r="E714" t="s">
        <v>102</v>
      </c>
      <c r="F714" t="s">
        <v>14</v>
      </c>
      <c r="G714">
        <v>35.78</v>
      </c>
      <c r="H714" t="s">
        <v>21</v>
      </c>
      <c r="I714" t="s">
        <v>22</v>
      </c>
      <c r="J714" t="s">
        <v>103</v>
      </c>
    </row>
    <row r="715" spans="1:10" x14ac:dyDescent="0.35">
      <c r="A715" t="s">
        <v>890</v>
      </c>
      <c r="B715" s="10">
        <v>45790</v>
      </c>
      <c r="C715" t="s">
        <v>220</v>
      </c>
      <c r="D715" t="s">
        <v>59</v>
      </c>
      <c r="E715" t="s">
        <v>199</v>
      </c>
      <c r="F715" t="s">
        <v>14</v>
      </c>
      <c r="G715">
        <v>425.41</v>
      </c>
      <c r="H715" t="s">
        <v>15</v>
      </c>
      <c r="I715" t="s">
        <v>36</v>
      </c>
      <c r="J715" t="s">
        <v>211</v>
      </c>
    </row>
    <row r="716" spans="1:10" x14ac:dyDescent="0.35">
      <c r="A716" t="s">
        <v>891</v>
      </c>
      <c r="B716" s="10">
        <v>45790</v>
      </c>
      <c r="C716" t="s">
        <v>109</v>
      </c>
      <c r="D716" t="s">
        <v>34</v>
      </c>
      <c r="E716" t="s">
        <v>35</v>
      </c>
      <c r="F716" t="s">
        <v>14</v>
      </c>
      <c r="G716">
        <v>144.74</v>
      </c>
      <c r="H716" t="s">
        <v>15</v>
      </c>
      <c r="I716" t="s">
        <v>47</v>
      </c>
      <c r="J716" t="s">
        <v>41</v>
      </c>
    </row>
    <row r="717" spans="1:10" x14ac:dyDescent="0.35">
      <c r="A717" t="s">
        <v>892</v>
      </c>
      <c r="B717" s="10">
        <v>45790</v>
      </c>
      <c r="C717" t="s">
        <v>210</v>
      </c>
      <c r="D717" t="s">
        <v>59</v>
      </c>
      <c r="E717" t="s">
        <v>185</v>
      </c>
      <c r="F717" t="s">
        <v>14</v>
      </c>
      <c r="G717">
        <v>451.31</v>
      </c>
      <c r="H717" t="s">
        <v>21</v>
      </c>
      <c r="I717" t="s">
        <v>47</v>
      </c>
      <c r="J717" t="s">
        <v>211</v>
      </c>
    </row>
    <row r="718" spans="1:10" x14ac:dyDescent="0.35">
      <c r="A718" t="s">
        <v>893</v>
      </c>
      <c r="B718" s="10">
        <v>45790</v>
      </c>
      <c r="C718" t="s">
        <v>411</v>
      </c>
      <c r="D718" t="s">
        <v>29</v>
      </c>
      <c r="E718" t="s">
        <v>151</v>
      </c>
      <c r="F718" t="s">
        <v>14</v>
      </c>
      <c r="G718">
        <v>79.790000000000006</v>
      </c>
      <c r="H718" t="s">
        <v>21</v>
      </c>
      <c r="I718" t="s">
        <v>36</v>
      </c>
      <c r="J718" t="s">
        <v>151</v>
      </c>
    </row>
    <row r="719" spans="1:10" x14ac:dyDescent="0.35">
      <c r="A719" t="s">
        <v>894</v>
      </c>
      <c r="B719" s="10">
        <v>45790</v>
      </c>
      <c r="C719" t="s">
        <v>63</v>
      </c>
      <c r="D719" t="s">
        <v>54</v>
      </c>
      <c r="E719" t="s">
        <v>64</v>
      </c>
      <c r="F719" t="s">
        <v>54</v>
      </c>
      <c r="G719">
        <v>376.69</v>
      </c>
      <c r="H719" t="s">
        <v>15</v>
      </c>
      <c r="I719" t="s">
        <v>22</v>
      </c>
      <c r="J719" t="s">
        <v>65</v>
      </c>
    </row>
    <row r="720" spans="1:10" x14ac:dyDescent="0.35">
      <c r="A720" t="s">
        <v>895</v>
      </c>
      <c r="B720" s="10">
        <v>45790</v>
      </c>
      <c r="C720" t="s">
        <v>157</v>
      </c>
      <c r="D720" t="s">
        <v>29</v>
      </c>
      <c r="E720" t="s">
        <v>95</v>
      </c>
      <c r="F720" t="s">
        <v>14</v>
      </c>
      <c r="G720">
        <v>19.04</v>
      </c>
      <c r="H720" t="s">
        <v>15</v>
      </c>
      <c r="I720" t="s">
        <v>22</v>
      </c>
      <c r="J720" t="s">
        <v>158</v>
      </c>
    </row>
    <row r="721" spans="1:10" x14ac:dyDescent="0.35">
      <c r="A721" t="s">
        <v>896</v>
      </c>
      <c r="B721" s="10">
        <v>45790</v>
      </c>
      <c r="C721" t="s">
        <v>125</v>
      </c>
      <c r="D721" t="s">
        <v>12</v>
      </c>
      <c r="E721" t="s">
        <v>13</v>
      </c>
      <c r="F721" t="s">
        <v>14</v>
      </c>
      <c r="G721">
        <v>38.57</v>
      </c>
      <c r="H721" t="s">
        <v>98</v>
      </c>
      <c r="I721" t="s">
        <v>47</v>
      </c>
      <c r="J721" t="s">
        <v>44</v>
      </c>
    </row>
    <row r="722" spans="1:10" x14ac:dyDescent="0.35">
      <c r="A722" t="s">
        <v>897</v>
      </c>
      <c r="B722" s="10">
        <v>45790</v>
      </c>
      <c r="C722" t="s">
        <v>19</v>
      </c>
      <c r="D722" t="s">
        <v>12</v>
      </c>
      <c r="E722" t="s">
        <v>13</v>
      </c>
      <c r="F722" t="s">
        <v>14</v>
      </c>
      <c r="G722">
        <v>10.039999999999999</v>
      </c>
      <c r="H722" t="s">
        <v>98</v>
      </c>
      <c r="I722" t="s">
        <v>22</v>
      </c>
      <c r="J722" t="s">
        <v>23</v>
      </c>
    </row>
    <row r="723" spans="1:10" x14ac:dyDescent="0.35">
      <c r="A723" t="s">
        <v>898</v>
      </c>
      <c r="B723" s="10">
        <v>45790</v>
      </c>
      <c r="C723" t="s">
        <v>88</v>
      </c>
      <c r="D723" t="s">
        <v>54</v>
      </c>
      <c r="E723" t="s">
        <v>74</v>
      </c>
      <c r="F723" t="s">
        <v>54</v>
      </c>
      <c r="G723">
        <v>2653.39</v>
      </c>
      <c r="H723" t="s">
        <v>15</v>
      </c>
      <c r="I723" t="s">
        <v>22</v>
      </c>
      <c r="J723" t="s">
        <v>89</v>
      </c>
    </row>
    <row r="724" spans="1:10" x14ac:dyDescent="0.35">
      <c r="A724" t="s">
        <v>899</v>
      </c>
      <c r="B724" s="10">
        <v>45790</v>
      </c>
      <c r="C724" t="s">
        <v>109</v>
      </c>
      <c r="D724" t="s">
        <v>34</v>
      </c>
      <c r="E724" t="s">
        <v>35</v>
      </c>
      <c r="F724" t="s">
        <v>14</v>
      </c>
      <c r="G724">
        <v>191.78</v>
      </c>
      <c r="H724" t="s">
        <v>15</v>
      </c>
      <c r="I724" t="s">
        <v>22</v>
      </c>
      <c r="J724" t="s">
        <v>41</v>
      </c>
    </row>
    <row r="725" spans="1:10" x14ac:dyDescent="0.35">
      <c r="A725" t="s">
        <v>900</v>
      </c>
      <c r="B725" s="10">
        <v>45791</v>
      </c>
      <c r="C725" t="s">
        <v>248</v>
      </c>
      <c r="D725" t="s">
        <v>80</v>
      </c>
      <c r="E725" t="s">
        <v>81</v>
      </c>
      <c r="F725" t="s">
        <v>14</v>
      </c>
      <c r="G725">
        <v>17.21</v>
      </c>
      <c r="H725" t="s">
        <v>15</v>
      </c>
      <c r="I725" t="s">
        <v>22</v>
      </c>
      <c r="J725" t="s">
        <v>161</v>
      </c>
    </row>
    <row r="726" spans="1:10" x14ac:dyDescent="0.35">
      <c r="A726" t="s">
        <v>901</v>
      </c>
      <c r="B726" s="10">
        <v>45791</v>
      </c>
      <c r="C726" t="s">
        <v>445</v>
      </c>
      <c r="D726" t="s">
        <v>101</v>
      </c>
      <c r="E726" t="s">
        <v>244</v>
      </c>
      <c r="F726" t="s">
        <v>14</v>
      </c>
      <c r="G726">
        <v>54.67</v>
      </c>
      <c r="H726" t="s">
        <v>15</v>
      </c>
      <c r="I726" t="s">
        <v>22</v>
      </c>
      <c r="J726" t="s">
        <v>103</v>
      </c>
    </row>
    <row r="727" spans="1:10" x14ac:dyDescent="0.35">
      <c r="A727" t="s">
        <v>902</v>
      </c>
      <c r="B727" s="10">
        <v>45791</v>
      </c>
      <c r="C727" t="s">
        <v>272</v>
      </c>
      <c r="D727" t="s">
        <v>54</v>
      </c>
      <c r="E727" t="s">
        <v>55</v>
      </c>
      <c r="F727" t="s">
        <v>54</v>
      </c>
      <c r="G727">
        <v>677.49</v>
      </c>
      <c r="H727" t="s">
        <v>21</v>
      </c>
      <c r="I727" t="s">
        <v>47</v>
      </c>
      <c r="J727" t="s">
        <v>65</v>
      </c>
    </row>
    <row r="728" spans="1:10" x14ac:dyDescent="0.35">
      <c r="A728" t="s">
        <v>903</v>
      </c>
      <c r="B728" s="10">
        <v>45791</v>
      </c>
      <c r="C728" t="s">
        <v>172</v>
      </c>
      <c r="D728" t="s">
        <v>101</v>
      </c>
      <c r="E728" t="s">
        <v>102</v>
      </c>
      <c r="F728" t="s">
        <v>14</v>
      </c>
      <c r="G728">
        <v>65.069999999999993</v>
      </c>
      <c r="H728" t="s">
        <v>15</v>
      </c>
      <c r="I728" t="s">
        <v>22</v>
      </c>
      <c r="J728" t="s">
        <v>102</v>
      </c>
    </row>
    <row r="729" spans="1:10" x14ac:dyDescent="0.35">
      <c r="A729" t="s">
        <v>904</v>
      </c>
      <c r="B729" s="10">
        <v>45791</v>
      </c>
      <c r="C729" t="s">
        <v>227</v>
      </c>
      <c r="D729" t="s">
        <v>12</v>
      </c>
      <c r="E729" t="s">
        <v>51</v>
      </c>
      <c r="F729" t="s">
        <v>14</v>
      </c>
      <c r="G729">
        <v>22.45</v>
      </c>
      <c r="H729" t="s">
        <v>15</v>
      </c>
      <c r="I729" t="s">
        <v>22</v>
      </c>
      <c r="J729" t="s">
        <v>17</v>
      </c>
    </row>
    <row r="730" spans="1:10" x14ac:dyDescent="0.35">
      <c r="A730" t="s">
        <v>905</v>
      </c>
      <c r="B730" s="10">
        <v>45791</v>
      </c>
      <c r="C730" t="s">
        <v>324</v>
      </c>
      <c r="D730" t="s">
        <v>80</v>
      </c>
      <c r="E730" t="s">
        <v>92</v>
      </c>
      <c r="F730" t="s">
        <v>14</v>
      </c>
      <c r="G730">
        <v>54.68</v>
      </c>
      <c r="H730" t="s">
        <v>15</v>
      </c>
      <c r="I730" t="s">
        <v>22</v>
      </c>
      <c r="J730" t="s">
        <v>161</v>
      </c>
    </row>
    <row r="731" spans="1:10" x14ac:dyDescent="0.35">
      <c r="A731" t="s">
        <v>906</v>
      </c>
      <c r="B731" s="10">
        <v>45791</v>
      </c>
      <c r="C731" t="s">
        <v>464</v>
      </c>
      <c r="D731" t="s">
        <v>34</v>
      </c>
      <c r="E731" t="s">
        <v>122</v>
      </c>
      <c r="F731" t="s">
        <v>14</v>
      </c>
      <c r="G731">
        <v>324.77999999999997</v>
      </c>
      <c r="H731" t="s">
        <v>15</v>
      </c>
      <c r="I731" t="s">
        <v>36</v>
      </c>
      <c r="J731" t="s">
        <v>239</v>
      </c>
    </row>
    <row r="732" spans="1:10" x14ac:dyDescent="0.35">
      <c r="A732" t="s">
        <v>907</v>
      </c>
      <c r="B732" s="10">
        <v>45792</v>
      </c>
      <c r="C732" t="s">
        <v>189</v>
      </c>
      <c r="D732" t="s">
        <v>34</v>
      </c>
      <c r="E732" t="s">
        <v>122</v>
      </c>
      <c r="F732" t="s">
        <v>14</v>
      </c>
      <c r="G732">
        <v>417.68</v>
      </c>
      <c r="H732" t="s">
        <v>15</v>
      </c>
      <c r="I732" t="s">
        <v>22</v>
      </c>
      <c r="J732" t="s">
        <v>37</v>
      </c>
    </row>
    <row r="733" spans="1:10" x14ac:dyDescent="0.35">
      <c r="A733" t="s">
        <v>908</v>
      </c>
      <c r="B733" s="10">
        <v>45792</v>
      </c>
      <c r="C733" t="s">
        <v>46</v>
      </c>
      <c r="D733" t="s">
        <v>12</v>
      </c>
      <c r="E733" t="s">
        <v>13</v>
      </c>
      <c r="F733" t="s">
        <v>14</v>
      </c>
      <c r="G733">
        <v>23.83</v>
      </c>
      <c r="H733" t="s">
        <v>15</v>
      </c>
      <c r="I733" t="s">
        <v>22</v>
      </c>
      <c r="J733" t="s">
        <v>48</v>
      </c>
    </row>
    <row r="734" spans="1:10" x14ac:dyDescent="0.35">
      <c r="A734" t="s">
        <v>909</v>
      </c>
      <c r="B734" s="10">
        <v>45792</v>
      </c>
      <c r="C734" t="s">
        <v>177</v>
      </c>
      <c r="D734" t="s">
        <v>54</v>
      </c>
      <c r="E734" t="s">
        <v>74</v>
      </c>
      <c r="F734" t="s">
        <v>54</v>
      </c>
      <c r="G734">
        <v>2505.52</v>
      </c>
      <c r="H734" t="s">
        <v>15</v>
      </c>
      <c r="I734" t="s">
        <v>22</v>
      </c>
      <c r="J734" t="s">
        <v>56</v>
      </c>
    </row>
    <row r="735" spans="1:10" x14ac:dyDescent="0.35">
      <c r="A735" t="s">
        <v>910</v>
      </c>
      <c r="B735" s="10">
        <v>45792</v>
      </c>
      <c r="C735" t="s">
        <v>39</v>
      </c>
      <c r="D735" t="s">
        <v>34</v>
      </c>
      <c r="E735" t="s">
        <v>40</v>
      </c>
      <c r="F735" t="s">
        <v>14</v>
      </c>
      <c r="G735">
        <v>180.83</v>
      </c>
      <c r="H735" t="s">
        <v>15</v>
      </c>
      <c r="I735" t="s">
        <v>22</v>
      </c>
      <c r="J735" t="s">
        <v>41</v>
      </c>
    </row>
    <row r="736" spans="1:10" x14ac:dyDescent="0.35">
      <c r="A736" t="s">
        <v>911</v>
      </c>
      <c r="B736" s="10">
        <v>45792</v>
      </c>
      <c r="C736" t="s">
        <v>53</v>
      </c>
      <c r="D736" t="s">
        <v>54</v>
      </c>
      <c r="E736" t="s">
        <v>55</v>
      </c>
      <c r="F736" t="s">
        <v>54</v>
      </c>
      <c r="G736">
        <v>805.1</v>
      </c>
      <c r="H736" t="s">
        <v>15</v>
      </c>
      <c r="I736" t="s">
        <v>22</v>
      </c>
      <c r="J736" t="s">
        <v>56</v>
      </c>
    </row>
    <row r="737" spans="1:10" x14ac:dyDescent="0.35">
      <c r="A737" t="s">
        <v>912</v>
      </c>
      <c r="B737" s="10">
        <v>45792</v>
      </c>
      <c r="C737" t="s">
        <v>19</v>
      </c>
      <c r="D737" t="s">
        <v>12</v>
      </c>
      <c r="E737" t="s">
        <v>13</v>
      </c>
      <c r="F737" t="s">
        <v>14</v>
      </c>
      <c r="G737">
        <v>34.119999999999997</v>
      </c>
      <c r="H737" t="s">
        <v>21</v>
      </c>
      <c r="I737" t="s">
        <v>22</v>
      </c>
      <c r="J737" t="s">
        <v>23</v>
      </c>
    </row>
    <row r="738" spans="1:10" x14ac:dyDescent="0.35">
      <c r="A738" t="s">
        <v>913</v>
      </c>
      <c r="B738" s="10">
        <v>45792</v>
      </c>
      <c r="C738" t="s">
        <v>11</v>
      </c>
      <c r="D738" t="s">
        <v>12</v>
      </c>
      <c r="E738" t="s">
        <v>13</v>
      </c>
      <c r="F738" t="s">
        <v>14</v>
      </c>
      <c r="G738">
        <v>129.56</v>
      </c>
      <c r="H738" t="s">
        <v>98</v>
      </c>
      <c r="I738" t="s">
        <v>22</v>
      </c>
      <c r="J738" t="s">
        <v>17</v>
      </c>
    </row>
    <row r="739" spans="1:10" x14ac:dyDescent="0.35">
      <c r="A739" t="s">
        <v>914</v>
      </c>
      <c r="B739" s="10">
        <v>45793</v>
      </c>
      <c r="C739" t="s">
        <v>155</v>
      </c>
      <c r="D739" t="s">
        <v>12</v>
      </c>
      <c r="E739" t="s">
        <v>51</v>
      </c>
      <c r="F739" t="s">
        <v>14</v>
      </c>
      <c r="G739">
        <v>20.47</v>
      </c>
      <c r="H739" t="s">
        <v>98</v>
      </c>
      <c r="I739" t="s">
        <v>36</v>
      </c>
      <c r="J739" t="s">
        <v>48</v>
      </c>
    </row>
    <row r="740" spans="1:10" x14ac:dyDescent="0.35">
      <c r="A740" t="s">
        <v>915</v>
      </c>
      <c r="B740" s="10">
        <v>45793</v>
      </c>
      <c r="C740" t="s">
        <v>88</v>
      </c>
      <c r="D740" t="s">
        <v>54</v>
      </c>
      <c r="E740" t="s">
        <v>74</v>
      </c>
      <c r="F740" t="s">
        <v>54</v>
      </c>
      <c r="G740">
        <v>2405.64</v>
      </c>
      <c r="H740" t="s">
        <v>15</v>
      </c>
      <c r="I740" t="s">
        <v>22</v>
      </c>
      <c r="J740" t="s">
        <v>89</v>
      </c>
    </row>
    <row r="741" spans="1:10" x14ac:dyDescent="0.35">
      <c r="A741" t="s">
        <v>916</v>
      </c>
      <c r="B741" s="10">
        <v>45793</v>
      </c>
      <c r="C741" t="s">
        <v>135</v>
      </c>
      <c r="D741" t="s">
        <v>101</v>
      </c>
      <c r="E741" t="s">
        <v>102</v>
      </c>
      <c r="F741" t="s">
        <v>14</v>
      </c>
      <c r="G741">
        <v>46.65</v>
      </c>
      <c r="H741" t="s">
        <v>21</v>
      </c>
      <c r="I741" t="s">
        <v>16</v>
      </c>
      <c r="J741" t="s">
        <v>136</v>
      </c>
    </row>
    <row r="742" spans="1:10" x14ac:dyDescent="0.35">
      <c r="A742" t="s">
        <v>917</v>
      </c>
      <c r="B742" s="10">
        <v>45793</v>
      </c>
      <c r="C742" t="s">
        <v>238</v>
      </c>
      <c r="D742" t="s">
        <v>34</v>
      </c>
      <c r="E742" t="s">
        <v>35</v>
      </c>
      <c r="F742" t="s">
        <v>14</v>
      </c>
      <c r="G742">
        <v>124.73</v>
      </c>
      <c r="H742" t="s">
        <v>98</v>
      </c>
      <c r="I742" t="s">
        <v>22</v>
      </c>
      <c r="J742" t="s">
        <v>239</v>
      </c>
    </row>
    <row r="743" spans="1:10" x14ac:dyDescent="0.35">
      <c r="A743" t="s">
        <v>918</v>
      </c>
      <c r="B743" s="10">
        <v>45793</v>
      </c>
      <c r="C743" t="s">
        <v>121</v>
      </c>
      <c r="D743" t="s">
        <v>34</v>
      </c>
      <c r="E743" t="s">
        <v>122</v>
      </c>
      <c r="F743" t="s">
        <v>14</v>
      </c>
      <c r="G743">
        <v>58.96</v>
      </c>
      <c r="H743" t="s">
        <v>15</v>
      </c>
      <c r="I743" t="s">
        <v>36</v>
      </c>
      <c r="J743" t="s">
        <v>123</v>
      </c>
    </row>
    <row r="744" spans="1:10" x14ac:dyDescent="0.35">
      <c r="A744" t="s">
        <v>919</v>
      </c>
      <c r="B744" s="10">
        <v>45793</v>
      </c>
      <c r="C744" t="s">
        <v>160</v>
      </c>
      <c r="D744" t="s">
        <v>80</v>
      </c>
      <c r="E744" t="s">
        <v>117</v>
      </c>
      <c r="F744" t="s">
        <v>14</v>
      </c>
      <c r="G744">
        <v>82.82</v>
      </c>
      <c r="H744" t="s">
        <v>15</v>
      </c>
      <c r="I744" t="s">
        <v>47</v>
      </c>
      <c r="J744" t="s">
        <v>161</v>
      </c>
    </row>
    <row r="745" spans="1:10" x14ac:dyDescent="0.35">
      <c r="A745" t="s">
        <v>920</v>
      </c>
      <c r="B745" s="10">
        <v>45793</v>
      </c>
      <c r="C745" t="s">
        <v>76</v>
      </c>
      <c r="D745" t="s">
        <v>12</v>
      </c>
      <c r="E745" t="s">
        <v>13</v>
      </c>
      <c r="F745" t="s">
        <v>14</v>
      </c>
      <c r="G745">
        <v>22.09</v>
      </c>
      <c r="H745" t="s">
        <v>15</v>
      </c>
      <c r="I745" t="s">
        <v>84</v>
      </c>
      <c r="J745" t="s">
        <v>77</v>
      </c>
    </row>
    <row r="746" spans="1:10" x14ac:dyDescent="0.35">
      <c r="A746" t="s">
        <v>921</v>
      </c>
      <c r="B746" s="10">
        <v>45793</v>
      </c>
      <c r="C746" t="s">
        <v>155</v>
      </c>
      <c r="D746" t="s">
        <v>12</v>
      </c>
      <c r="E746" t="s">
        <v>51</v>
      </c>
      <c r="F746" t="s">
        <v>14</v>
      </c>
      <c r="G746">
        <v>98.99</v>
      </c>
      <c r="H746" t="s">
        <v>15</v>
      </c>
      <c r="I746" t="s">
        <v>22</v>
      </c>
      <c r="J746" t="s">
        <v>48</v>
      </c>
    </row>
    <row r="747" spans="1:10" x14ac:dyDescent="0.35">
      <c r="A747" t="s">
        <v>922</v>
      </c>
      <c r="B747" s="10">
        <v>45793</v>
      </c>
      <c r="C747" t="s">
        <v>411</v>
      </c>
      <c r="D747" t="s">
        <v>29</v>
      </c>
      <c r="E747" t="s">
        <v>151</v>
      </c>
      <c r="F747" t="s">
        <v>14</v>
      </c>
      <c r="G747">
        <v>24.55</v>
      </c>
      <c r="H747" t="s">
        <v>21</v>
      </c>
      <c r="I747" t="s">
        <v>22</v>
      </c>
      <c r="J747" t="s">
        <v>151</v>
      </c>
    </row>
    <row r="748" spans="1:10" x14ac:dyDescent="0.35">
      <c r="A748" t="s">
        <v>923</v>
      </c>
      <c r="B748" s="10">
        <v>45793</v>
      </c>
      <c r="C748" t="s">
        <v>256</v>
      </c>
      <c r="D748" t="s">
        <v>34</v>
      </c>
      <c r="E748" t="s">
        <v>40</v>
      </c>
      <c r="F748" t="s">
        <v>14</v>
      </c>
      <c r="G748">
        <v>46</v>
      </c>
      <c r="H748" t="s">
        <v>98</v>
      </c>
      <c r="I748" t="s">
        <v>16</v>
      </c>
      <c r="J748" t="s">
        <v>239</v>
      </c>
    </row>
    <row r="749" spans="1:10" x14ac:dyDescent="0.35">
      <c r="A749" t="s">
        <v>924</v>
      </c>
      <c r="B749" s="10">
        <v>45794</v>
      </c>
      <c r="C749" t="s">
        <v>46</v>
      </c>
      <c r="D749" t="s">
        <v>12</v>
      </c>
      <c r="E749" t="s">
        <v>13</v>
      </c>
      <c r="F749" t="s">
        <v>14</v>
      </c>
      <c r="G749">
        <v>30.15</v>
      </c>
      <c r="H749" t="s">
        <v>15</v>
      </c>
      <c r="I749" t="s">
        <v>47</v>
      </c>
      <c r="J749" t="s">
        <v>48</v>
      </c>
    </row>
    <row r="750" spans="1:10" x14ac:dyDescent="0.35">
      <c r="A750" t="s">
        <v>925</v>
      </c>
      <c r="B750" s="10">
        <v>45794</v>
      </c>
      <c r="C750" t="s">
        <v>143</v>
      </c>
      <c r="D750" t="s">
        <v>54</v>
      </c>
      <c r="E750" t="s">
        <v>55</v>
      </c>
      <c r="F750" t="s">
        <v>54</v>
      </c>
      <c r="G750">
        <v>697.89</v>
      </c>
      <c r="H750" t="s">
        <v>15</v>
      </c>
      <c r="I750" t="s">
        <v>22</v>
      </c>
      <c r="J750" t="s">
        <v>89</v>
      </c>
    </row>
    <row r="751" spans="1:10" x14ac:dyDescent="0.35">
      <c r="A751" t="s">
        <v>926</v>
      </c>
      <c r="B751" s="10">
        <v>45794</v>
      </c>
      <c r="C751" t="s">
        <v>46</v>
      </c>
      <c r="D751" t="s">
        <v>12</v>
      </c>
      <c r="E751" t="s">
        <v>13</v>
      </c>
      <c r="F751" t="s">
        <v>14</v>
      </c>
      <c r="G751">
        <v>27.96</v>
      </c>
      <c r="H751" t="s">
        <v>15</v>
      </c>
      <c r="I751" t="s">
        <v>47</v>
      </c>
      <c r="J751" t="s">
        <v>48</v>
      </c>
    </row>
    <row r="752" spans="1:10" x14ac:dyDescent="0.35">
      <c r="A752" t="s">
        <v>927</v>
      </c>
      <c r="B752" s="10">
        <v>45794</v>
      </c>
      <c r="C752" t="s">
        <v>308</v>
      </c>
      <c r="D752" t="s">
        <v>54</v>
      </c>
      <c r="E752" t="s">
        <v>64</v>
      </c>
      <c r="F752" t="s">
        <v>54</v>
      </c>
      <c r="G752">
        <v>372.33</v>
      </c>
      <c r="H752" t="s">
        <v>98</v>
      </c>
      <c r="I752" t="s">
        <v>36</v>
      </c>
      <c r="J752" t="s">
        <v>89</v>
      </c>
    </row>
    <row r="753" spans="1:10" x14ac:dyDescent="0.35">
      <c r="A753" t="s">
        <v>928</v>
      </c>
      <c r="B753" s="10">
        <v>45794</v>
      </c>
      <c r="C753" t="s">
        <v>281</v>
      </c>
      <c r="D753" t="s">
        <v>34</v>
      </c>
      <c r="E753" t="s">
        <v>40</v>
      </c>
      <c r="F753" t="s">
        <v>14</v>
      </c>
      <c r="G753">
        <v>88.94</v>
      </c>
      <c r="H753" t="s">
        <v>15</v>
      </c>
      <c r="I753" t="s">
        <v>84</v>
      </c>
      <c r="J753" t="s">
        <v>123</v>
      </c>
    </row>
    <row r="754" spans="1:10" x14ac:dyDescent="0.35">
      <c r="A754" t="s">
        <v>929</v>
      </c>
      <c r="B754" s="10">
        <v>45794</v>
      </c>
      <c r="C754" t="s">
        <v>121</v>
      </c>
      <c r="D754" t="s">
        <v>34</v>
      </c>
      <c r="E754" t="s">
        <v>122</v>
      </c>
      <c r="F754" t="s">
        <v>14</v>
      </c>
      <c r="G754">
        <v>156.86000000000001</v>
      </c>
      <c r="H754" t="s">
        <v>21</v>
      </c>
      <c r="I754" t="s">
        <v>36</v>
      </c>
      <c r="J754" t="s">
        <v>123</v>
      </c>
    </row>
    <row r="755" spans="1:10" x14ac:dyDescent="0.35">
      <c r="A755" t="s">
        <v>930</v>
      </c>
      <c r="B755" s="10">
        <v>45795</v>
      </c>
      <c r="C755" t="s">
        <v>875</v>
      </c>
      <c r="D755" t="s">
        <v>69</v>
      </c>
      <c r="E755" t="s">
        <v>291</v>
      </c>
      <c r="F755" t="s">
        <v>14</v>
      </c>
      <c r="G755">
        <v>895.65</v>
      </c>
      <c r="H755" t="s">
        <v>15</v>
      </c>
      <c r="I755" t="s">
        <v>22</v>
      </c>
      <c r="J755" t="s">
        <v>133</v>
      </c>
    </row>
    <row r="756" spans="1:10" x14ac:dyDescent="0.35">
      <c r="A756" t="s">
        <v>931</v>
      </c>
      <c r="B756" s="10">
        <v>45795</v>
      </c>
      <c r="C756" t="s">
        <v>79</v>
      </c>
      <c r="D756" t="s">
        <v>80</v>
      </c>
      <c r="E756" t="s">
        <v>81</v>
      </c>
      <c r="F756" t="s">
        <v>14</v>
      </c>
      <c r="G756">
        <v>143.77000000000001</v>
      </c>
      <c r="H756" t="s">
        <v>98</v>
      </c>
      <c r="I756" t="s">
        <v>47</v>
      </c>
      <c r="J756" t="s">
        <v>82</v>
      </c>
    </row>
    <row r="757" spans="1:10" x14ac:dyDescent="0.35">
      <c r="A757" t="s">
        <v>932</v>
      </c>
      <c r="B757" s="10">
        <v>45795</v>
      </c>
      <c r="C757" t="s">
        <v>88</v>
      </c>
      <c r="D757" t="s">
        <v>54</v>
      </c>
      <c r="E757" t="s">
        <v>74</v>
      </c>
      <c r="F757" t="s">
        <v>54</v>
      </c>
      <c r="G757">
        <v>2421.5500000000002</v>
      </c>
      <c r="H757" t="s">
        <v>15</v>
      </c>
      <c r="I757" t="s">
        <v>22</v>
      </c>
      <c r="J757" t="s">
        <v>89</v>
      </c>
    </row>
    <row r="758" spans="1:10" x14ac:dyDescent="0.35">
      <c r="A758" t="s">
        <v>933</v>
      </c>
      <c r="B758" s="10">
        <v>45795</v>
      </c>
      <c r="C758" t="s">
        <v>130</v>
      </c>
      <c r="D758" t="s">
        <v>12</v>
      </c>
      <c r="E758" t="s">
        <v>26</v>
      </c>
      <c r="F758" t="s">
        <v>14</v>
      </c>
      <c r="G758">
        <v>36.4</v>
      </c>
      <c r="H758" t="s">
        <v>15</v>
      </c>
      <c r="I758" t="s">
        <v>36</v>
      </c>
      <c r="J758" t="s">
        <v>48</v>
      </c>
    </row>
    <row r="759" spans="1:10" x14ac:dyDescent="0.35">
      <c r="A759" t="s">
        <v>934</v>
      </c>
      <c r="B759" s="10">
        <v>45795</v>
      </c>
      <c r="C759" t="s">
        <v>157</v>
      </c>
      <c r="D759" t="s">
        <v>29</v>
      </c>
      <c r="E759" t="s">
        <v>95</v>
      </c>
      <c r="F759" t="s">
        <v>14</v>
      </c>
      <c r="G759">
        <v>35.15</v>
      </c>
      <c r="H759" t="s">
        <v>15</v>
      </c>
      <c r="I759" t="s">
        <v>36</v>
      </c>
      <c r="J759" t="s">
        <v>158</v>
      </c>
    </row>
    <row r="760" spans="1:10" x14ac:dyDescent="0.35">
      <c r="A760" t="s">
        <v>935</v>
      </c>
      <c r="B760" s="10">
        <v>45795</v>
      </c>
      <c r="C760" t="s">
        <v>580</v>
      </c>
      <c r="D760" t="s">
        <v>80</v>
      </c>
      <c r="E760" t="s">
        <v>81</v>
      </c>
      <c r="F760" t="s">
        <v>14</v>
      </c>
      <c r="G760">
        <v>16.97</v>
      </c>
      <c r="H760" t="s">
        <v>15</v>
      </c>
      <c r="I760" t="s">
        <v>36</v>
      </c>
      <c r="J760" t="s">
        <v>118</v>
      </c>
    </row>
    <row r="761" spans="1:10" x14ac:dyDescent="0.35">
      <c r="A761" t="s">
        <v>936</v>
      </c>
      <c r="B761" s="10">
        <v>45795</v>
      </c>
      <c r="C761" t="s">
        <v>88</v>
      </c>
      <c r="D761" t="s">
        <v>54</v>
      </c>
      <c r="E761" t="s">
        <v>74</v>
      </c>
      <c r="F761" t="s">
        <v>54</v>
      </c>
      <c r="G761">
        <v>2559.86</v>
      </c>
      <c r="H761" t="s">
        <v>15</v>
      </c>
      <c r="I761" t="s">
        <v>47</v>
      </c>
      <c r="J761" t="s">
        <v>89</v>
      </c>
    </row>
    <row r="762" spans="1:10" x14ac:dyDescent="0.35">
      <c r="A762" t="s">
        <v>937</v>
      </c>
      <c r="B762" s="10">
        <v>45795</v>
      </c>
      <c r="C762" t="s">
        <v>143</v>
      </c>
      <c r="D762" t="s">
        <v>54</v>
      </c>
      <c r="E762" t="s">
        <v>55</v>
      </c>
      <c r="F762" t="s">
        <v>54</v>
      </c>
      <c r="G762">
        <v>620.79999999999995</v>
      </c>
      <c r="H762" t="s">
        <v>15</v>
      </c>
      <c r="I762" t="s">
        <v>36</v>
      </c>
      <c r="J762" t="s">
        <v>89</v>
      </c>
    </row>
    <row r="763" spans="1:10" x14ac:dyDescent="0.35">
      <c r="A763" t="s">
        <v>938</v>
      </c>
      <c r="B763" s="10">
        <v>45796</v>
      </c>
      <c r="C763" t="s">
        <v>324</v>
      </c>
      <c r="D763" t="s">
        <v>80</v>
      </c>
      <c r="E763" t="s">
        <v>92</v>
      </c>
      <c r="F763" t="s">
        <v>14</v>
      </c>
      <c r="G763">
        <v>49.38</v>
      </c>
      <c r="H763" t="s">
        <v>21</v>
      </c>
      <c r="I763" t="s">
        <v>47</v>
      </c>
      <c r="J763" t="s">
        <v>161</v>
      </c>
    </row>
    <row r="764" spans="1:10" x14ac:dyDescent="0.35">
      <c r="A764" t="s">
        <v>939</v>
      </c>
      <c r="B764" s="10">
        <v>45796</v>
      </c>
      <c r="C764" t="s">
        <v>259</v>
      </c>
      <c r="D764" t="s">
        <v>59</v>
      </c>
      <c r="E764" t="s">
        <v>199</v>
      </c>
      <c r="F764" t="s">
        <v>14</v>
      </c>
      <c r="G764">
        <v>320.99</v>
      </c>
      <c r="H764" t="s">
        <v>15</v>
      </c>
      <c r="I764" t="s">
        <v>22</v>
      </c>
      <c r="J764" t="s">
        <v>170</v>
      </c>
    </row>
    <row r="765" spans="1:10" x14ac:dyDescent="0.35">
      <c r="A765" t="s">
        <v>940</v>
      </c>
      <c r="B765" s="10">
        <v>45796</v>
      </c>
      <c r="C765" t="s">
        <v>256</v>
      </c>
      <c r="D765" t="s">
        <v>34</v>
      </c>
      <c r="E765" t="s">
        <v>40</v>
      </c>
      <c r="F765" t="s">
        <v>14</v>
      </c>
      <c r="G765">
        <v>147.69</v>
      </c>
      <c r="H765" t="s">
        <v>98</v>
      </c>
      <c r="I765" t="s">
        <v>36</v>
      </c>
      <c r="J765" t="s">
        <v>239</v>
      </c>
    </row>
    <row r="766" spans="1:10" x14ac:dyDescent="0.35">
      <c r="A766" t="s">
        <v>941</v>
      </c>
      <c r="B766" s="10">
        <v>45796</v>
      </c>
      <c r="C766" t="s">
        <v>168</v>
      </c>
      <c r="D766" t="s">
        <v>59</v>
      </c>
      <c r="E766" t="s">
        <v>60</v>
      </c>
      <c r="F766" t="s">
        <v>14</v>
      </c>
      <c r="G766">
        <v>914.26</v>
      </c>
      <c r="H766" t="s">
        <v>15</v>
      </c>
      <c r="I766" t="s">
        <v>22</v>
      </c>
      <c r="J766" t="s">
        <v>170</v>
      </c>
    </row>
    <row r="767" spans="1:10" x14ac:dyDescent="0.35">
      <c r="A767" t="s">
        <v>942</v>
      </c>
      <c r="B767" s="10">
        <v>45796</v>
      </c>
      <c r="C767" t="s">
        <v>220</v>
      </c>
      <c r="D767" t="s">
        <v>59</v>
      </c>
      <c r="E767" t="s">
        <v>199</v>
      </c>
      <c r="F767" t="s">
        <v>14</v>
      </c>
      <c r="G767">
        <v>141.77000000000001</v>
      </c>
      <c r="H767" t="s">
        <v>15</v>
      </c>
      <c r="I767" t="s">
        <v>47</v>
      </c>
      <c r="J767" t="s">
        <v>211</v>
      </c>
    </row>
    <row r="768" spans="1:10" x14ac:dyDescent="0.35">
      <c r="A768" t="s">
        <v>943</v>
      </c>
      <c r="B768" s="10">
        <v>45796</v>
      </c>
      <c r="C768" t="s">
        <v>39</v>
      </c>
      <c r="D768" t="s">
        <v>34</v>
      </c>
      <c r="E768" t="s">
        <v>40</v>
      </c>
      <c r="F768" t="s">
        <v>14</v>
      </c>
      <c r="G768">
        <v>116.06</v>
      </c>
      <c r="H768" t="s">
        <v>15</v>
      </c>
      <c r="I768" t="s">
        <v>22</v>
      </c>
      <c r="J768" t="s">
        <v>41</v>
      </c>
    </row>
    <row r="769" spans="1:10" x14ac:dyDescent="0.35">
      <c r="A769" t="s">
        <v>944</v>
      </c>
      <c r="B769" s="10">
        <v>45797</v>
      </c>
      <c r="C769" t="s">
        <v>345</v>
      </c>
      <c r="D769" t="s">
        <v>59</v>
      </c>
      <c r="E769" t="s">
        <v>60</v>
      </c>
      <c r="F769" t="s">
        <v>14</v>
      </c>
      <c r="G769">
        <v>115.37</v>
      </c>
      <c r="H769" t="s">
        <v>21</v>
      </c>
      <c r="I769" t="s">
        <v>47</v>
      </c>
      <c r="J769" t="s">
        <v>211</v>
      </c>
    </row>
    <row r="770" spans="1:10" x14ac:dyDescent="0.35">
      <c r="A770" t="s">
        <v>945</v>
      </c>
      <c r="B770" s="10">
        <v>45797</v>
      </c>
      <c r="C770" t="s">
        <v>175</v>
      </c>
      <c r="D770" t="s">
        <v>80</v>
      </c>
      <c r="E770" t="s">
        <v>92</v>
      </c>
      <c r="F770" t="s">
        <v>14</v>
      </c>
      <c r="G770">
        <v>78.62</v>
      </c>
      <c r="H770" t="s">
        <v>21</v>
      </c>
      <c r="I770" t="s">
        <v>16</v>
      </c>
      <c r="J770" t="s">
        <v>141</v>
      </c>
    </row>
    <row r="771" spans="1:10" x14ac:dyDescent="0.35">
      <c r="A771" t="s">
        <v>946</v>
      </c>
      <c r="B771" s="10">
        <v>45797</v>
      </c>
      <c r="C771" t="s">
        <v>215</v>
      </c>
      <c r="D771" t="s">
        <v>80</v>
      </c>
      <c r="E771" t="s">
        <v>117</v>
      </c>
      <c r="F771" t="s">
        <v>14</v>
      </c>
      <c r="G771">
        <v>165.85</v>
      </c>
      <c r="H771" t="s">
        <v>15</v>
      </c>
      <c r="I771" t="s">
        <v>22</v>
      </c>
      <c r="J771" t="s">
        <v>141</v>
      </c>
    </row>
    <row r="772" spans="1:10" x14ac:dyDescent="0.35">
      <c r="A772" t="s">
        <v>947</v>
      </c>
      <c r="B772" s="10">
        <v>45797</v>
      </c>
      <c r="C772" t="s">
        <v>445</v>
      </c>
      <c r="D772" t="s">
        <v>101</v>
      </c>
      <c r="E772" t="s">
        <v>244</v>
      </c>
      <c r="F772" t="s">
        <v>14</v>
      </c>
      <c r="G772">
        <v>72.45</v>
      </c>
      <c r="H772" t="s">
        <v>15</v>
      </c>
      <c r="I772" t="s">
        <v>22</v>
      </c>
      <c r="J772" t="s">
        <v>103</v>
      </c>
    </row>
    <row r="773" spans="1:10" x14ac:dyDescent="0.35">
      <c r="A773" t="s">
        <v>948</v>
      </c>
      <c r="B773" s="10">
        <v>45797</v>
      </c>
      <c r="C773" t="s">
        <v>215</v>
      </c>
      <c r="D773" t="s">
        <v>80</v>
      </c>
      <c r="E773" t="s">
        <v>117</v>
      </c>
      <c r="F773" t="s">
        <v>14</v>
      </c>
      <c r="G773">
        <v>59.6</v>
      </c>
      <c r="H773" t="s">
        <v>15</v>
      </c>
      <c r="I773" t="s">
        <v>84</v>
      </c>
      <c r="J773" t="s">
        <v>141</v>
      </c>
    </row>
    <row r="774" spans="1:10" x14ac:dyDescent="0.35">
      <c r="A774" t="s">
        <v>949</v>
      </c>
      <c r="B774" s="10">
        <v>45797</v>
      </c>
      <c r="C774" t="s">
        <v>194</v>
      </c>
      <c r="D774" t="s">
        <v>101</v>
      </c>
      <c r="E774" t="s">
        <v>136</v>
      </c>
      <c r="F774" t="s">
        <v>14</v>
      </c>
      <c r="G774">
        <v>107.99</v>
      </c>
      <c r="H774" t="s">
        <v>15</v>
      </c>
      <c r="I774" t="s">
        <v>22</v>
      </c>
      <c r="J774" t="s">
        <v>103</v>
      </c>
    </row>
    <row r="775" spans="1:10" x14ac:dyDescent="0.35">
      <c r="A775" t="s">
        <v>950</v>
      </c>
      <c r="B775" s="10">
        <v>45798</v>
      </c>
      <c r="C775" t="s">
        <v>11</v>
      </c>
      <c r="D775" t="s">
        <v>12</v>
      </c>
      <c r="E775" t="s">
        <v>13</v>
      </c>
      <c r="F775" t="s">
        <v>14</v>
      </c>
      <c r="G775">
        <v>54.17</v>
      </c>
      <c r="H775" t="s">
        <v>15</v>
      </c>
      <c r="I775" t="s">
        <v>47</v>
      </c>
      <c r="J775" t="s">
        <v>17</v>
      </c>
    </row>
    <row r="776" spans="1:10" x14ac:dyDescent="0.35">
      <c r="A776" t="s">
        <v>951</v>
      </c>
      <c r="B776" s="10">
        <v>45798</v>
      </c>
      <c r="C776" t="s">
        <v>138</v>
      </c>
      <c r="D776" t="s">
        <v>12</v>
      </c>
      <c r="E776" t="s">
        <v>26</v>
      </c>
      <c r="F776" t="s">
        <v>14</v>
      </c>
      <c r="G776">
        <v>43.19</v>
      </c>
      <c r="H776" t="s">
        <v>15</v>
      </c>
      <c r="I776" t="s">
        <v>16</v>
      </c>
      <c r="J776" t="s">
        <v>77</v>
      </c>
    </row>
    <row r="777" spans="1:10" x14ac:dyDescent="0.35">
      <c r="A777" t="s">
        <v>952</v>
      </c>
      <c r="B777" s="10">
        <v>45798</v>
      </c>
      <c r="C777" t="s">
        <v>217</v>
      </c>
      <c r="D777" t="s">
        <v>80</v>
      </c>
      <c r="E777" t="s">
        <v>81</v>
      </c>
      <c r="F777" t="s">
        <v>14</v>
      </c>
      <c r="G777">
        <v>90.12</v>
      </c>
      <c r="H777" t="s">
        <v>15</v>
      </c>
      <c r="I777" t="s">
        <v>22</v>
      </c>
      <c r="J777" t="s">
        <v>180</v>
      </c>
    </row>
    <row r="778" spans="1:10" x14ac:dyDescent="0.35">
      <c r="A778" t="s">
        <v>953</v>
      </c>
      <c r="B778" s="10">
        <v>45798</v>
      </c>
      <c r="C778" t="s">
        <v>248</v>
      </c>
      <c r="D778" t="s">
        <v>80</v>
      </c>
      <c r="E778" t="s">
        <v>81</v>
      </c>
      <c r="F778" t="s">
        <v>14</v>
      </c>
      <c r="G778">
        <v>36.04</v>
      </c>
      <c r="H778" t="s">
        <v>15</v>
      </c>
      <c r="I778" t="s">
        <v>84</v>
      </c>
      <c r="J778" t="s">
        <v>161</v>
      </c>
    </row>
    <row r="779" spans="1:10" x14ac:dyDescent="0.35">
      <c r="A779" t="s">
        <v>954</v>
      </c>
      <c r="B779" s="10">
        <v>45799</v>
      </c>
      <c r="C779" t="s">
        <v>204</v>
      </c>
      <c r="D779" t="s">
        <v>12</v>
      </c>
      <c r="E779" t="s">
        <v>51</v>
      </c>
      <c r="F779" t="s">
        <v>14</v>
      </c>
      <c r="G779">
        <v>29.72</v>
      </c>
      <c r="H779" t="s">
        <v>98</v>
      </c>
      <c r="I779" t="s">
        <v>22</v>
      </c>
      <c r="J779" t="s">
        <v>23</v>
      </c>
    </row>
    <row r="780" spans="1:10" x14ac:dyDescent="0.35">
      <c r="A780" t="s">
        <v>955</v>
      </c>
      <c r="B780" s="10">
        <v>45799</v>
      </c>
      <c r="C780" t="s">
        <v>217</v>
      </c>
      <c r="D780" t="s">
        <v>80</v>
      </c>
      <c r="E780" t="s">
        <v>81</v>
      </c>
      <c r="F780" t="s">
        <v>14</v>
      </c>
      <c r="G780">
        <v>142.68</v>
      </c>
      <c r="H780" t="s">
        <v>15</v>
      </c>
      <c r="I780" t="s">
        <v>36</v>
      </c>
      <c r="J780" t="s">
        <v>180</v>
      </c>
    </row>
    <row r="781" spans="1:10" x14ac:dyDescent="0.35">
      <c r="A781" t="s">
        <v>956</v>
      </c>
      <c r="B781" s="10">
        <v>45799</v>
      </c>
      <c r="C781" t="s">
        <v>135</v>
      </c>
      <c r="D781" t="s">
        <v>101</v>
      </c>
      <c r="E781" t="s">
        <v>102</v>
      </c>
      <c r="F781" t="s">
        <v>14</v>
      </c>
      <c r="G781">
        <v>103.23</v>
      </c>
      <c r="H781" t="s">
        <v>21</v>
      </c>
      <c r="I781" t="s">
        <v>22</v>
      </c>
      <c r="J781" t="s">
        <v>136</v>
      </c>
    </row>
    <row r="782" spans="1:10" x14ac:dyDescent="0.35">
      <c r="A782" t="s">
        <v>957</v>
      </c>
      <c r="B782" s="10">
        <v>45799</v>
      </c>
      <c r="C782" t="s">
        <v>345</v>
      </c>
      <c r="D782" t="s">
        <v>59</v>
      </c>
      <c r="E782" t="s">
        <v>60</v>
      </c>
      <c r="F782" t="s">
        <v>14</v>
      </c>
      <c r="G782">
        <v>441.33</v>
      </c>
      <c r="H782" t="s">
        <v>15</v>
      </c>
      <c r="I782" t="s">
        <v>22</v>
      </c>
      <c r="J782" t="s">
        <v>211</v>
      </c>
    </row>
    <row r="783" spans="1:10" x14ac:dyDescent="0.35">
      <c r="A783" t="s">
        <v>958</v>
      </c>
      <c r="B783" s="10">
        <v>45799</v>
      </c>
      <c r="C783" t="s">
        <v>194</v>
      </c>
      <c r="D783" t="s">
        <v>101</v>
      </c>
      <c r="E783" t="s">
        <v>136</v>
      </c>
      <c r="F783" t="s">
        <v>14</v>
      </c>
      <c r="G783">
        <v>33.35</v>
      </c>
      <c r="H783" t="s">
        <v>15</v>
      </c>
      <c r="I783" t="s">
        <v>16</v>
      </c>
      <c r="J783" t="s">
        <v>103</v>
      </c>
    </row>
    <row r="784" spans="1:10" x14ac:dyDescent="0.35">
      <c r="A784" t="s">
        <v>959</v>
      </c>
      <c r="B784" s="10">
        <v>45799</v>
      </c>
      <c r="C784" t="s">
        <v>259</v>
      </c>
      <c r="D784" t="s">
        <v>59</v>
      </c>
      <c r="E784" t="s">
        <v>199</v>
      </c>
      <c r="F784" t="s">
        <v>14</v>
      </c>
      <c r="G784">
        <v>212.71</v>
      </c>
      <c r="H784" t="s">
        <v>15</v>
      </c>
      <c r="I784" t="s">
        <v>22</v>
      </c>
      <c r="J784" t="s">
        <v>170</v>
      </c>
    </row>
    <row r="785" spans="1:10" x14ac:dyDescent="0.35">
      <c r="A785" t="s">
        <v>960</v>
      </c>
      <c r="B785" s="10">
        <v>45799</v>
      </c>
      <c r="C785" t="s">
        <v>39</v>
      </c>
      <c r="D785" t="s">
        <v>34</v>
      </c>
      <c r="E785" t="s">
        <v>40</v>
      </c>
      <c r="F785" t="s">
        <v>14</v>
      </c>
      <c r="G785">
        <v>104.29</v>
      </c>
      <c r="H785" t="s">
        <v>15</v>
      </c>
      <c r="I785" t="s">
        <v>84</v>
      </c>
      <c r="J785" t="s">
        <v>41</v>
      </c>
    </row>
    <row r="786" spans="1:10" x14ac:dyDescent="0.35">
      <c r="A786" t="s">
        <v>961</v>
      </c>
      <c r="B786" s="10">
        <v>45799</v>
      </c>
      <c r="C786" t="s">
        <v>111</v>
      </c>
      <c r="D786" t="s">
        <v>12</v>
      </c>
      <c r="E786" t="s">
        <v>26</v>
      </c>
      <c r="F786" t="s">
        <v>14</v>
      </c>
      <c r="G786">
        <v>20.97</v>
      </c>
      <c r="H786" t="s">
        <v>15</v>
      </c>
      <c r="I786" t="s">
        <v>22</v>
      </c>
      <c r="J786" t="s">
        <v>23</v>
      </c>
    </row>
    <row r="787" spans="1:10" x14ac:dyDescent="0.35">
      <c r="A787" t="s">
        <v>962</v>
      </c>
      <c r="B787" s="10">
        <v>45799</v>
      </c>
      <c r="C787" t="s">
        <v>298</v>
      </c>
      <c r="D787" t="s">
        <v>59</v>
      </c>
      <c r="E787" t="s">
        <v>185</v>
      </c>
      <c r="F787" t="s">
        <v>14</v>
      </c>
      <c r="G787">
        <v>198.66</v>
      </c>
      <c r="H787" t="s">
        <v>15</v>
      </c>
      <c r="I787" t="s">
        <v>84</v>
      </c>
      <c r="J787" t="s">
        <v>170</v>
      </c>
    </row>
    <row r="788" spans="1:10" x14ac:dyDescent="0.35">
      <c r="A788" t="s">
        <v>963</v>
      </c>
      <c r="B788" s="10">
        <v>45800</v>
      </c>
      <c r="C788" t="s">
        <v>229</v>
      </c>
      <c r="D788" t="s">
        <v>54</v>
      </c>
      <c r="E788" t="s">
        <v>64</v>
      </c>
      <c r="F788" t="s">
        <v>54</v>
      </c>
      <c r="G788">
        <v>348.66</v>
      </c>
      <c r="H788" t="s">
        <v>15</v>
      </c>
      <c r="I788" t="s">
        <v>22</v>
      </c>
      <c r="J788" t="s">
        <v>56</v>
      </c>
    </row>
    <row r="789" spans="1:10" x14ac:dyDescent="0.35">
      <c r="A789" t="s">
        <v>964</v>
      </c>
      <c r="B789" s="10">
        <v>45800</v>
      </c>
      <c r="C789" t="s">
        <v>411</v>
      </c>
      <c r="D789" t="s">
        <v>29</v>
      </c>
      <c r="E789" t="s">
        <v>151</v>
      </c>
      <c r="F789" t="s">
        <v>14</v>
      </c>
      <c r="G789">
        <v>47.79</v>
      </c>
      <c r="H789" t="s">
        <v>15</v>
      </c>
      <c r="I789" t="s">
        <v>84</v>
      </c>
      <c r="J789" t="s">
        <v>151</v>
      </c>
    </row>
    <row r="790" spans="1:10" x14ac:dyDescent="0.35">
      <c r="A790" t="s">
        <v>965</v>
      </c>
      <c r="B790" s="10">
        <v>45800</v>
      </c>
      <c r="C790" t="s">
        <v>63</v>
      </c>
      <c r="D790" t="s">
        <v>54</v>
      </c>
      <c r="E790" t="s">
        <v>64</v>
      </c>
      <c r="F790" t="s">
        <v>54</v>
      </c>
      <c r="G790">
        <v>409.12</v>
      </c>
      <c r="H790" t="s">
        <v>21</v>
      </c>
      <c r="I790" t="s">
        <v>22</v>
      </c>
      <c r="J790" t="s">
        <v>65</v>
      </c>
    </row>
    <row r="791" spans="1:10" x14ac:dyDescent="0.35">
      <c r="A791" t="s">
        <v>966</v>
      </c>
      <c r="B791" s="10">
        <v>45800</v>
      </c>
      <c r="C791" t="s">
        <v>88</v>
      </c>
      <c r="D791" t="s">
        <v>54</v>
      </c>
      <c r="E791" t="s">
        <v>74</v>
      </c>
      <c r="F791" t="s">
        <v>54</v>
      </c>
      <c r="G791">
        <v>2803.81</v>
      </c>
      <c r="H791" t="s">
        <v>15</v>
      </c>
      <c r="I791" t="s">
        <v>36</v>
      </c>
      <c r="J791" t="s">
        <v>89</v>
      </c>
    </row>
    <row r="792" spans="1:10" x14ac:dyDescent="0.35">
      <c r="A792" t="s">
        <v>967</v>
      </c>
      <c r="B792" s="10">
        <v>45800</v>
      </c>
      <c r="C792" t="s">
        <v>464</v>
      </c>
      <c r="D792" t="s">
        <v>34</v>
      </c>
      <c r="E792" t="s">
        <v>122</v>
      </c>
      <c r="F792" t="s">
        <v>14</v>
      </c>
      <c r="G792">
        <v>226.2</v>
      </c>
      <c r="H792" t="s">
        <v>15</v>
      </c>
      <c r="I792" t="s">
        <v>16</v>
      </c>
      <c r="J792" t="s">
        <v>239</v>
      </c>
    </row>
    <row r="793" spans="1:10" x14ac:dyDescent="0.35">
      <c r="A793" t="s">
        <v>968</v>
      </c>
      <c r="B793" s="10">
        <v>45800</v>
      </c>
      <c r="C793" t="s">
        <v>331</v>
      </c>
      <c r="D793" t="s">
        <v>29</v>
      </c>
      <c r="E793" t="s">
        <v>95</v>
      </c>
      <c r="F793" t="s">
        <v>14</v>
      </c>
      <c r="G793">
        <v>119.2</v>
      </c>
      <c r="H793" t="s">
        <v>21</v>
      </c>
      <c r="I793" t="s">
        <v>22</v>
      </c>
      <c r="J793" t="s">
        <v>151</v>
      </c>
    </row>
    <row r="794" spans="1:10" x14ac:dyDescent="0.35">
      <c r="A794" t="s">
        <v>969</v>
      </c>
      <c r="B794" s="10">
        <v>45800</v>
      </c>
      <c r="C794" t="s">
        <v>220</v>
      </c>
      <c r="D794" t="s">
        <v>59</v>
      </c>
      <c r="E794" t="s">
        <v>199</v>
      </c>
      <c r="F794" t="s">
        <v>14</v>
      </c>
      <c r="G794">
        <v>425.6</v>
      </c>
      <c r="H794" t="s">
        <v>15</v>
      </c>
      <c r="I794" t="s">
        <v>22</v>
      </c>
      <c r="J794" t="s">
        <v>211</v>
      </c>
    </row>
    <row r="795" spans="1:10" x14ac:dyDescent="0.35">
      <c r="A795" t="s">
        <v>970</v>
      </c>
      <c r="B795" s="10">
        <v>45800</v>
      </c>
      <c r="C795" t="s">
        <v>168</v>
      </c>
      <c r="D795" t="s">
        <v>59</v>
      </c>
      <c r="E795" t="s">
        <v>60</v>
      </c>
      <c r="F795" t="s">
        <v>14</v>
      </c>
      <c r="G795">
        <v>510.18</v>
      </c>
      <c r="H795" t="s">
        <v>15</v>
      </c>
      <c r="I795" t="s">
        <v>84</v>
      </c>
      <c r="J795" t="s">
        <v>170</v>
      </c>
    </row>
    <row r="796" spans="1:10" x14ac:dyDescent="0.35">
      <c r="A796" t="s">
        <v>971</v>
      </c>
      <c r="B796" s="10">
        <v>45800</v>
      </c>
      <c r="C796" t="s">
        <v>43</v>
      </c>
      <c r="D796" t="s">
        <v>12</v>
      </c>
      <c r="E796" t="s">
        <v>26</v>
      </c>
      <c r="F796" t="s">
        <v>14</v>
      </c>
      <c r="G796">
        <v>11.27</v>
      </c>
      <c r="H796" t="s">
        <v>98</v>
      </c>
      <c r="I796" t="s">
        <v>47</v>
      </c>
      <c r="J796" t="s">
        <v>44</v>
      </c>
    </row>
    <row r="797" spans="1:10" x14ac:dyDescent="0.35">
      <c r="A797" t="s">
        <v>972</v>
      </c>
      <c r="B797" s="10">
        <v>45800</v>
      </c>
      <c r="C797" t="s">
        <v>269</v>
      </c>
      <c r="D797" t="s">
        <v>34</v>
      </c>
      <c r="E797" t="s">
        <v>35</v>
      </c>
      <c r="F797" t="s">
        <v>14</v>
      </c>
      <c r="G797">
        <v>207.38</v>
      </c>
      <c r="H797" t="s">
        <v>15</v>
      </c>
      <c r="I797" t="s">
        <v>36</v>
      </c>
      <c r="J797" t="s">
        <v>123</v>
      </c>
    </row>
    <row r="798" spans="1:10" x14ac:dyDescent="0.35">
      <c r="A798" t="s">
        <v>973</v>
      </c>
      <c r="B798" s="10">
        <v>45801</v>
      </c>
      <c r="C798" t="s">
        <v>272</v>
      </c>
      <c r="D798" t="s">
        <v>54</v>
      </c>
      <c r="E798" t="s">
        <v>55</v>
      </c>
      <c r="F798" t="s">
        <v>54</v>
      </c>
      <c r="G798">
        <v>719.28</v>
      </c>
      <c r="H798" t="s">
        <v>15</v>
      </c>
      <c r="I798" t="s">
        <v>22</v>
      </c>
      <c r="J798" t="s">
        <v>65</v>
      </c>
    </row>
    <row r="799" spans="1:10" x14ac:dyDescent="0.35">
      <c r="A799" t="s">
        <v>974</v>
      </c>
      <c r="B799" s="10">
        <v>45801</v>
      </c>
      <c r="C799" t="s">
        <v>19</v>
      </c>
      <c r="D799" t="s">
        <v>12</v>
      </c>
      <c r="E799" t="s">
        <v>13</v>
      </c>
      <c r="F799" t="s">
        <v>14</v>
      </c>
      <c r="G799">
        <v>172.9</v>
      </c>
      <c r="H799" t="s">
        <v>15</v>
      </c>
      <c r="I799" t="s">
        <v>47</v>
      </c>
      <c r="J799" t="s">
        <v>23</v>
      </c>
    </row>
    <row r="800" spans="1:10" x14ac:dyDescent="0.35">
      <c r="A800" t="s">
        <v>975</v>
      </c>
      <c r="B800" s="10">
        <v>45801</v>
      </c>
      <c r="C800" t="s">
        <v>88</v>
      </c>
      <c r="D800" t="s">
        <v>54</v>
      </c>
      <c r="E800" t="s">
        <v>74</v>
      </c>
      <c r="F800" t="s">
        <v>54</v>
      </c>
      <c r="G800">
        <v>2347.27</v>
      </c>
      <c r="H800" t="s">
        <v>15</v>
      </c>
      <c r="I800" t="s">
        <v>47</v>
      </c>
      <c r="J800" t="s">
        <v>89</v>
      </c>
    </row>
    <row r="801" spans="1:10" x14ac:dyDescent="0.35">
      <c r="A801" t="s">
        <v>976</v>
      </c>
      <c r="B801" s="10">
        <v>45801</v>
      </c>
      <c r="C801" t="s">
        <v>73</v>
      </c>
      <c r="D801" t="s">
        <v>54</v>
      </c>
      <c r="E801" t="s">
        <v>74</v>
      </c>
      <c r="F801" t="s">
        <v>54</v>
      </c>
      <c r="G801">
        <v>2706.23</v>
      </c>
      <c r="H801" t="s">
        <v>15</v>
      </c>
      <c r="I801" t="s">
        <v>36</v>
      </c>
      <c r="J801" t="s">
        <v>65</v>
      </c>
    </row>
    <row r="802" spans="1:10" x14ac:dyDescent="0.35">
      <c r="A802" t="s">
        <v>977</v>
      </c>
      <c r="B802" s="10">
        <v>45802</v>
      </c>
      <c r="C802" t="s">
        <v>76</v>
      </c>
      <c r="D802" t="s">
        <v>12</v>
      </c>
      <c r="E802" t="s">
        <v>13</v>
      </c>
      <c r="F802" t="s">
        <v>14</v>
      </c>
      <c r="G802">
        <v>29.9</v>
      </c>
      <c r="H802" t="s">
        <v>15</v>
      </c>
      <c r="I802" t="s">
        <v>47</v>
      </c>
      <c r="J802" t="s">
        <v>77</v>
      </c>
    </row>
    <row r="803" spans="1:10" x14ac:dyDescent="0.35">
      <c r="A803" t="s">
        <v>978</v>
      </c>
      <c r="B803" s="10">
        <v>45802</v>
      </c>
      <c r="C803" t="s">
        <v>243</v>
      </c>
      <c r="D803" t="s">
        <v>101</v>
      </c>
      <c r="E803" t="s">
        <v>244</v>
      </c>
      <c r="F803" t="s">
        <v>14</v>
      </c>
      <c r="G803">
        <v>90.03</v>
      </c>
      <c r="H803" t="s">
        <v>21</v>
      </c>
      <c r="I803" t="s">
        <v>36</v>
      </c>
      <c r="J803" t="s">
        <v>102</v>
      </c>
    </row>
    <row r="804" spans="1:10" x14ac:dyDescent="0.35">
      <c r="A804" t="s">
        <v>979</v>
      </c>
      <c r="B804" s="10">
        <v>45802</v>
      </c>
      <c r="C804" t="s">
        <v>63</v>
      </c>
      <c r="D804" t="s">
        <v>54</v>
      </c>
      <c r="E804" t="s">
        <v>64</v>
      </c>
      <c r="F804" t="s">
        <v>54</v>
      </c>
      <c r="G804">
        <v>345.03</v>
      </c>
      <c r="H804" t="s">
        <v>15</v>
      </c>
      <c r="I804" t="s">
        <v>22</v>
      </c>
      <c r="J804" t="s">
        <v>65</v>
      </c>
    </row>
    <row r="805" spans="1:10" x14ac:dyDescent="0.35">
      <c r="A805" t="s">
        <v>980</v>
      </c>
      <c r="B805" s="10">
        <v>45802</v>
      </c>
      <c r="C805" t="s">
        <v>109</v>
      </c>
      <c r="D805" t="s">
        <v>34</v>
      </c>
      <c r="E805" t="s">
        <v>35</v>
      </c>
      <c r="F805" t="s">
        <v>14</v>
      </c>
      <c r="G805">
        <v>96.88</v>
      </c>
      <c r="H805" t="s">
        <v>15</v>
      </c>
      <c r="I805" t="s">
        <v>36</v>
      </c>
      <c r="J805" t="s">
        <v>41</v>
      </c>
    </row>
    <row r="806" spans="1:10" x14ac:dyDescent="0.35">
      <c r="A806" t="s">
        <v>981</v>
      </c>
      <c r="B806" s="10">
        <v>45802</v>
      </c>
      <c r="C806" t="s">
        <v>395</v>
      </c>
      <c r="D806" t="s">
        <v>69</v>
      </c>
      <c r="E806" t="s">
        <v>291</v>
      </c>
      <c r="F806" t="s">
        <v>14</v>
      </c>
      <c r="G806">
        <v>373.4</v>
      </c>
      <c r="H806" t="s">
        <v>21</v>
      </c>
      <c r="I806" t="s">
        <v>47</v>
      </c>
      <c r="J806" t="s">
        <v>396</v>
      </c>
    </row>
    <row r="807" spans="1:10" x14ac:dyDescent="0.35">
      <c r="A807" t="s">
        <v>982</v>
      </c>
      <c r="B807" s="10">
        <v>45803</v>
      </c>
      <c r="C807" t="s">
        <v>411</v>
      </c>
      <c r="D807" t="s">
        <v>29</v>
      </c>
      <c r="E807" t="s">
        <v>151</v>
      </c>
      <c r="F807" t="s">
        <v>14</v>
      </c>
      <c r="G807">
        <v>97.54</v>
      </c>
      <c r="H807" t="s">
        <v>15</v>
      </c>
      <c r="I807" t="s">
        <v>22</v>
      </c>
      <c r="J807" t="s">
        <v>151</v>
      </c>
    </row>
    <row r="808" spans="1:10" x14ac:dyDescent="0.35">
      <c r="A808" t="s">
        <v>983</v>
      </c>
      <c r="B808" s="10">
        <v>45803</v>
      </c>
      <c r="C808" t="s">
        <v>39</v>
      </c>
      <c r="D808" t="s">
        <v>34</v>
      </c>
      <c r="E808" t="s">
        <v>40</v>
      </c>
      <c r="F808" t="s">
        <v>14</v>
      </c>
      <c r="G808">
        <v>57.15</v>
      </c>
      <c r="H808" t="s">
        <v>15</v>
      </c>
      <c r="I808" t="s">
        <v>36</v>
      </c>
      <c r="J808" t="s">
        <v>41</v>
      </c>
    </row>
    <row r="809" spans="1:10" x14ac:dyDescent="0.35">
      <c r="A809" t="s">
        <v>984</v>
      </c>
      <c r="B809" s="10">
        <v>45803</v>
      </c>
      <c r="C809" t="s">
        <v>229</v>
      </c>
      <c r="D809" t="s">
        <v>54</v>
      </c>
      <c r="E809" t="s">
        <v>64</v>
      </c>
      <c r="F809" t="s">
        <v>54</v>
      </c>
      <c r="G809">
        <v>339.9</v>
      </c>
      <c r="H809" t="s">
        <v>15</v>
      </c>
      <c r="I809" t="s">
        <v>36</v>
      </c>
      <c r="J809" t="s">
        <v>56</v>
      </c>
    </row>
    <row r="810" spans="1:10" x14ac:dyDescent="0.35">
      <c r="A810" t="s">
        <v>985</v>
      </c>
      <c r="B810" s="10">
        <v>45803</v>
      </c>
      <c r="C810" t="s">
        <v>267</v>
      </c>
      <c r="D810" t="s">
        <v>29</v>
      </c>
      <c r="E810" t="s">
        <v>30</v>
      </c>
      <c r="F810" t="s">
        <v>14</v>
      </c>
      <c r="G810">
        <v>30.02</v>
      </c>
      <c r="H810" t="s">
        <v>21</v>
      </c>
      <c r="I810" t="s">
        <v>47</v>
      </c>
      <c r="J810" t="s">
        <v>96</v>
      </c>
    </row>
    <row r="811" spans="1:10" x14ac:dyDescent="0.35">
      <c r="A811" t="s">
        <v>986</v>
      </c>
      <c r="B811" s="10">
        <v>45803</v>
      </c>
      <c r="C811" t="s">
        <v>198</v>
      </c>
      <c r="D811" t="s">
        <v>59</v>
      </c>
      <c r="E811" t="s">
        <v>199</v>
      </c>
      <c r="F811" t="s">
        <v>14</v>
      </c>
      <c r="G811">
        <v>241.86</v>
      </c>
      <c r="H811" t="s">
        <v>21</v>
      </c>
      <c r="I811" t="s">
        <v>36</v>
      </c>
      <c r="J811" t="s">
        <v>61</v>
      </c>
    </row>
    <row r="812" spans="1:10" x14ac:dyDescent="0.35">
      <c r="A812" t="s">
        <v>987</v>
      </c>
      <c r="B812" s="10">
        <v>45803</v>
      </c>
      <c r="C812" t="s">
        <v>220</v>
      </c>
      <c r="D812" t="s">
        <v>59</v>
      </c>
      <c r="E812" t="s">
        <v>199</v>
      </c>
      <c r="F812" t="s">
        <v>14</v>
      </c>
      <c r="G812">
        <v>108.69</v>
      </c>
      <c r="H812" t="s">
        <v>15</v>
      </c>
      <c r="I812" t="s">
        <v>22</v>
      </c>
      <c r="J812" t="s">
        <v>211</v>
      </c>
    </row>
    <row r="813" spans="1:10" x14ac:dyDescent="0.35">
      <c r="A813" t="s">
        <v>988</v>
      </c>
      <c r="B813" s="10">
        <v>45803</v>
      </c>
      <c r="C813" t="s">
        <v>39</v>
      </c>
      <c r="D813" t="s">
        <v>34</v>
      </c>
      <c r="E813" t="s">
        <v>40</v>
      </c>
      <c r="F813" t="s">
        <v>14</v>
      </c>
      <c r="G813">
        <v>150.97999999999999</v>
      </c>
      <c r="H813" t="s">
        <v>15</v>
      </c>
      <c r="I813" t="s">
        <v>47</v>
      </c>
      <c r="J813" t="s">
        <v>41</v>
      </c>
    </row>
    <row r="814" spans="1:10" x14ac:dyDescent="0.35">
      <c r="A814" t="s">
        <v>989</v>
      </c>
      <c r="B814" s="10">
        <v>45803</v>
      </c>
      <c r="C814" t="s">
        <v>281</v>
      </c>
      <c r="D814" t="s">
        <v>34</v>
      </c>
      <c r="E814" t="s">
        <v>40</v>
      </c>
      <c r="F814" t="s">
        <v>14</v>
      </c>
      <c r="G814">
        <v>69.47</v>
      </c>
      <c r="H814" t="s">
        <v>15</v>
      </c>
      <c r="I814" t="s">
        <v>22</v>
      </c>
      <c r="J814" t="s">
        <v>123</v>
      </c>
    </row>
    <row r="815" spans="1:10" x14ac:dyDescent="0.35">
      <c r="A815" t="s">
        <v>990</v>
      </c>
      <c r="B815" s="10">
        <v>45803</v>
      </c>
      <c r="C815" t="s">
        <v>63</v>
      </c>
      <c r="D815" t="s">
        <v>54</v>
      </c>
      <c r="E815" t="s">
        <v>64</v>
      </c>
      <c r="F815" t="s">
        <v>54</v>
      </c>
      <c r="G815">
        <v>303.77</v>
      </c>
      <c r="H815" t="s">
        <v>15</v>
      </c>
      <c r="I815" t="s">
        <v>84</v>
      </c>
      <c r="J815" t="s">
        <v>65</v>
      </c>
    </row>
    <row r="816" spans="1:10" x14ac:dyDescent="0.35">
      <c r="A816" t="s">
        <v>991</v>
      </c>
      <c r="B816" s="10">
        <v>45803</v>
      </c>
      <c r="C816" t="s">
        <v>324</v>
      </c>
      <c r="D816" t="s">
        <v>80</v>
      </c>
      <c r="E816" t="s">
        <v>92</v>
      </c>
      <c r="F816" t="s">
        <v>14</v>
      </c>
      <c r="G816">
        <v>19.71</v>
      </c>
      <c r="H816" t="s">
        <v>98</v>
      </c>
      <c r="I816" t="s">
        <v>47</v>
      </c>
      <c r="J816" t="s">
        <v>161</v>
      </c>
    </row>
    <row r="817" spans="1:10" x14ac:dyDescent="0.35">
      <c r="A817" t="s">
        <v>992</v>
      </c>
      <c r="B817" s="10">
        <v>45803</v>
      </c>
      <c r="C817" t="s">
        <v>33</v>
      </c>
      <c r="D817" t="s">
        <v>34</v>
      </c>
      <c r="E817" t="s">
        <v>35</v>
      </c>
      <c r="F817" t="s">
        <v>14</v>
      </c>
      <c r="G817">
        <v>500</v>
      </c>
      <c r="H817" t="s">
        <v>15</v>
      </c>
      <c r="I817" t="s">
        <v>22</v>
      </c>
      <c r="J817" t="s">
        <v>37</v>
      </c>
    </row>
    <row r="818" spans="1:10" x14ac:dyDescent="0.35">
      <c r="A818" t="s">
        <v>993</v>
      </c>
      <c r="B818" s="10">
        <v>45803</v>
      </c>
      <c r="C818" t="s">
        <v>227</v>
      </c>
      <c r="D818" t="s">
        <v>12</v>
      </c>
      <c r="E818" t="s">
        <v>51</v>
      </c>
      <c r="F818" t="s">
        <v>14</v>
      </c>
      <c r="G818">
        <v>112.08</v>
      </c>
      <c r="H818" t="s">
        <v>98</v>
      </c>
      <c r="I818" t="s">
        <v>22</v>
      </c>
      <c r="J818" t="s">
        <v>17</v>
      </c>
    </row>
    <row r="819" spans="1:10" x14ac:dyDescent="0.35">
      <c r="A819" t="s">
        <v>994</v>
      </c>
      <c r="B819" s="10">
        <v>45803</v>
      </c>
      <c r="C819" t="s">
        <v>281</v>
      </c>
      <c r="D819" t="s">
        <v>34</v>
      </c>
      <c r="E819" t="s">
        <v>40</v>
      </c>
      <c r="F819" t="s">
        <v>14</v>
      </c>
      <c r="G819">
        <v>118.51</v>
      </c>
      <c r="H819" t="s">
        <v>15</v>
      </c>
      <c r="I819" t="s">
        <v>22</v>
      </c>
      <c r="J819" t="s">
        <v>123</v>
      </c>
    </row>
    <row r="820" spans="1:10" x14ac:dyDescent="0.35">
      <c r="A820" t="s">
        <v>995</v>
      </c>
      <c r="B820" s="10">
        <v>45803</v>
      </c>
      <c r="C820" t="s">
        <v>153</v>
      </c>
      <c r="D820" t="s">
        <v>34</v>
      </c>
      <c r="E820" t="s">
        <v>122</v>
      </c>
      <c r="F820" t="s">
        <v>14</v>
      </c>
      <c r="G820">
        <v>61.38</v>
      </c>
      <c r="H820" t="s">
        <v>21</v>
      </c>
      <c r="I820" t="s">
        <v>22</v>
      </c>
      <c r="J820" t="s">
        <v>41</v>
      </c>
    </row>
    <row r="821" spans="1:10" x14ac:dyDescent="0.35">
      <c r="A821" t="s">
        <v>996</v>
      </c>
      <c r="B821" s="10">
        <v>45804</v>
      </c>
      <c r="C821" t="s">
        <v>192</v>
      </c>
      <c r="D821" t="s">
        <v>80</v>
      </c>
      <c r="E821" t="s">
        <v>92</v>
      </c>
      <c r="F821" t="s">
        <v>14</v>
      </c>
      <c r="G821">
        <v>58.94</v>
      </c>
      <c r="H821" t="s">
        <v>15</v>
      </c>
      <c r="I821" t="s">
        <v>22</v>
      </c>
      <c r="J821" t="s">
        <v>180</v>
      </c>
    </row>
    <row r="822" spans="1:10" x14ac:dyDescent="0.35">
      <c r="A822" t="s">
        <v>997</v>
      </c>
      <c r="B822" s="10">
        <v>45804</v>
      </c>
      <c r="C822" t="s">
        <v>113</v>
      </c>
      <c r="D822" t="s">
        <v>34</v>
      </c>
      <c r="E822" t="s">
        <v>40</v>
      </c>
      <c r="F822" t="s">
        <v>14</v>
      </c>
      <c r="G822">
        <v>70.36</v>
      </c>
      <c r="H822" t="s">
        <v>15</v>
      </c>
      <c r="I822" t="s">
        <v>22</v>
      </c>
      <c r="J822" t="s">
        <v>37</v>
      </c>
    </row>
    <row r="823" spans="1:10" x14ac:dyDescent="0.35">
      <c r="A823" t="s">
        <v>998</v>
      </c>
      <c r="B823" s="10">
        <v>45806</v>
      </c>
      <c r="C823" t="s">
        <v>132</v>
      </c>
      <c r="D823" t="s">
        <v>69</v>
      </c>
      <c r="E823" t="s">
        <v>70</v>
      </c>
      <c r="F823" t="s">
        <v>14</v>
      </c>
      <c r="G823">
        <v>929.26</v>
      </c>
      <c r="H823" t="s">
        <v>15</v>
      </c>
      <c r="I823" t="s">
        <v>36</v>
      </c>
      <c r="J823" t="s">
        <v>133</v>
      </c>
    </row>
    <row r="824" spans="1:10" x14ac:dyDescent="0.35">
      <c r="A824" t="s">
        <v>999</v>
      </c>
      <c r="B824" s="10">
        <v>45806</v>
      </c>
      <c r="C824" t="s">
        <v>308</v>
      </c>
      <c r="D824" t="s">
        <v>54</v>
      </c>
      <c r="E824" t="s">
        <v>64</v>
      </c>
      <c r="F824" t="s">
        <v>54</v>
      </c>
      <c r="G824">
        <v>359.21</v>
      </c>
      <c r="H824" t="s">
        <v>15</v>
      </c>
      <c r="I824" t="s">
        <v>36</v>
      </c>
      <c r="J824" t="s">
        <v>89</v>
      </c>
    </row>
    <row r="825" spans="1:10" x14ac:dyDescent="0.35">
      <c r="A825" t="s">
        <v>1000</v>
      </c>
      <c r="B825" s="10">
        <v>45806</v>
      </c>
      <c r="C825" t="s">
        <v>19</v>
      </c>
      <c r="D825" t="s">
        <v>12</v>
      </c>
      <c r="E825" t="s">
        <v>13</v>
      </c>
      <c r="F825" t="s">
        <v>14</v>
      </c>
      <c r="G825">
        <v>61.05</v>
      </c>
      <c r="H825" t="s">
        <v>21</v>
      </c>
      <c r="I825" t="s">
        <v>16</v>
      </c>
      <c r="J825" t="s">
        <v>23</v>
      </c>
    </row>
    <row r="826" spans="1:10" x14ac:dyDescent="0.35">
      <c r="A826" t="s">
        <v>1001</v>
      </c>
      <c r="B826" s="10">
        <v>45806</v>
      </c>
      <c r="C826" t="s">
        <v>46</v>
      </c>
      <c r="D826" t="s">
        <v>12</v>
      </c>
      <c r="E826" t="s">
        <v>13</v>
      </c>
      <c r="F826" t="s">
        <v>14</v>
      </c>
      <c r="G826">
        <v>127.26</v>
      </c>
      <c r="H826" t="s">
        <v>98</v>
      </c>
      <c r="I826" t="s">
        <v>36</v>
      </c>
      <c r="J826" t="s">
        <v>48</v>
      </c>
    </row>
    <row r="827" spans="1:10" x14ac:dyDescent="0.35">
      <c r="A827" t="s">
        <v>1002</v>
      </c>
      <c r="B827" s="10">
        <v>45806</v>
      </c>
      <c r="C827" t="s">
        <v>150</v>
      </c>
      <c r="D827" t="s">
        <v>29</v>
      </c>
      <c r="E827" t="s">
        <v>30</v>
      </c>
      <c r="F827" t="s">
        <v>14</v>
      </c>
      <c r="G827">
        <v>15.13</v>
      </c>
      <c r="H827" t="s">
        <v>21</v>
      </c>
      <c r="I827" t="s">
        <v>47</v>
      </c>
      <c r="J827" t="s">
        <v>151</v>
      </c>
    </row>
    <row r="828" spans="1:10" x14ac:dyDescent="0.35">
      <c r="A828" t="s">
        <v>1003</v>
      </c>
      <c r="B828" s="10">
        <v>45806</v>
      </c>
      <c r="C828" t="s">
        <v>153</v>
      </c>
      <c r="D828" t="s">
        <v>34</v>
      </c>
      <c r="E828" t="s">
        <v>122</v>
      </c>
      <c r="F828" t="s">
        <v>14</v>
      </c>
      <c r="G828">
        <v>296.10000000000002</v>
      </c>
      <c r="H828" t="s">
        <v>15</v>
      </c>
      <c r="I828" t="s">
        <v>36</v>
      </c>
      <c r="J828" t="s">
        <v>41</v>
      </c>
    </row>
    <row r="829" spans="1:10" x14ac:dyDescent="0.35">
      <c r="A829" t="s">
        <v>1004</v>
      </c>
      <c r="B829" s="10">
        <v>45807</v>
      </c>
      <c r="C829" t="s">
        <v>376</v>
      </c>
      <c r="D829" t="s">
        <v>80</v>
      </c>
      <c r="E829" t="s">
        <v>117</v>
      </c>
      <c r="F829" t="s">
        <v>14</v>
      </c>
      <c r="G829">
        <v>63.11</v>
      </c>
      <c r="H829" t="s">
        <v>21</v>
      </c>
      <c r="I829" t="s">
        <v>22</v>
      </c>
      <c r="J829" t="s">
        <v>82</v>
      </c>
    </row>
    <row r="830" spans="1:10" x14ac:dyDescent="0.35">
      <c r="A830" t="s">
        <v>1005</v>
      </c>
      <c r="B830" s="10">
        <v>45807</v>
      </c>
      <c r="C830" t="s">
        <v>256</v>
      </c>
      <c r="D830" t="s">
        <v>34</v>
      </c>
      <c r="E830" t="s">
        <v>40</v>
      </c>
      <c r="F830" t="s">
        <v>14</v>
      </c>
      <c r="G830">
        <v>130.72999999999999</v>
      </c>
      <c r="H830" t="s">
        <v>21</v>
      </c>
      <c r="I830" t="s">
        <v>36</v>
      </c>
      <c r="J830" t="s">
        <v>239</v>
      </c>
    </row>
    <row r="831" spans="1:10" x14ac:dyDescent="0.35">
      <c r="A831" t="s">
        <v>1006</v>
      </c>
      <c r="B831" s="10">
        <v>45807</v>
      </c>
      <c r="C831" t="s">
        <v>63</v>
      </c>
      <c r="D831" t="s">
        <v>54</v>
      </c>
      <c r="E831" t="s">
        <v>64</v>
      </c>
      <c r="F831" t="s">
        <v>54</v>
      </c>
      <c r="G831">
        <v>351.91</v>
      </c>
      <c r="H831" t="s">
        <v>15</v>
      </c>
      <c r="I831" t="s">
        <v>47</v>
      </c>
      <c r="J831" t="s">
        <v>65</v>
      </c>
    </row>
    <row r="832" spans="1:10" x14ac:dyDescent="0.35">
      <c r="A832" t="s">
        <v>1007</v>
      </c>
      <c r="B832" s="10">
        <v>45807</v>
      </c>
      <c r="C832" t="s">
        <v>210</v>
      </c>
      <c r="D832" t="s">
        <v>59</v>
      </c>
      <c r="E832" t="s">
        <v>185</v>
      </c>
      <c r="F832" t="s">
        <v>14</v>
      </c>
      <c r="G832">
        <v>317.14</v>
      </c>
      <c r="H832" t="s">
        <v>15</v>
      </c>
      <c r="I832" t="s">
        <v>47</v>
      </c>
      <c r="J832" t="s">
        <v>211</v>
      </c>
    </row>
    <row r="833" spans="1:10" x14ac:dyDescent="0.35">
      <c r="A833" t="s">
        <v>1008</v>
      </c>
      <c r="B833" s="10">
        <v>45807</v>
      </c>
      <c r="C833" t="s">
        <v>76</v>
      </c>
      <c r="D833" t="s">
        <v>12</v>
      </c>
      <c r="E833" t="s">
        <v>13</v>
      </c>
      <c r="F833" t="s">
        <v>14</v>
      </c>
      <c r="G833">
        <v>33.83</v>
      </c>
      <c r="H833" t="s">
        <v>15</v>
      </c>
      <c r="I833" t="s">
        <v>22</v>
      </c>
      <c r="J833" t="s">
        <v>77</v>
      </c>
    </row>
    <row r="834" spans="1:10" x14ac:dyDescent="0.35">
      <c r="A834" t="s">
        <v>1009</v>
      </c>
      <c r="B834" s="10">
        <v>45807</v>
      </c>
      <c r="C834" t="s">
        <v>73</v>
      </c>
      <c r="D834" t="s">
        <v>54</v>
      </c>
      <c r="E834" t="s">
        <v>74</v>
      </c>
      <c r="F834" t="s">
        <v>54</v>
      </c>
      <c r="G834">
        <v>2619.31</v>
      </c>
      <c r="H834" t="s">
        <v>15</v>
      </c>
      <c r="I834" t="s">
        <v>22</v>
      </c>
      <c r="J834" t="s">
        <v>65</v>
      </c>
    </row>
    <row r="835" spans="1:10" x14ac:dyDescent="0.35">
      <c r="A835" t="s">
        <v>1010</v>
      </c>
      <c r="B835" s="10">
        <v>45807</v>
      </c>
      <c r="C835" t="s">
        <v>184</v>
      </c>
      <c r="D835" t="s">
        <v>59</v>
      </c>
      <c r="E835" t="s">
        <v>185</v>
      </c>
      <c r="F835" t="s">
        <v>14</v>
      </c>
      <c r="G835">
        <v>426.36</v>
      </c>
      <c r="H835" t="s">
        <v>21</v>
      </c>
      <c r="I835" t="s">
        <v>36</v>
      </c>
      <c r="J835" t="s">
        <v>61</v>
      </c>
    </row>
    <row r="836" spans="1:10" x14ac:dyDescent="0.35">
      <c r="A836" t="s">
        <v>1011</v>
      </c>
      <c r="B836" s="10">
        <v>45807</v>
      </c>
      <c r="C836" t="s">
        <v>298</v>
      </c>
      <c r="D836" t="s">
        <v>59</v>
      </c>
      <c r="E836" t="s">
        <v>185</v>
      </c>
      <c r="F836" t="s">
        <v>14</v>
      </c>
      <c r="G836">
        <v>446.63</v>
      </c>
      <c r="H836" t="s">
        <v>98</v>
      </c>
      <c r="I836" t="s">
        <v>36</v>
      </c>
      <c r="J836" t="s">
        <v>170</v>
      </c>
    </row>
    <row r="837" spans="1:10" x14ac:dyDescent="0.35">
      <c r="A837" t="s">
        <v>1012</v>
      </c>
      <c r="B837" s="10">
        <v>45808</v>
      </c>
      <c r="C837" t="s">
        <v>88</v>
      </c>
      <c r="D837" t="s">
        <v>54</v>
      </c>
      <c r="E837" t="s">
        <v>74</v>
      </c>
      <c r="F837" t="s">
        <v>54</v>
      </c>
      <c r="G837">
        <v>2730.09</v>
      </c>
      <c r="H837" t="s">
        <v>15</v>
      </c>
      <c r="I837" t="s">
        <v>22</v>
      </c>
      <c r="J837" t="s">
        <v>89</v>
      </c>
    </row>
    <row r="838" spans="1:10" x14ac:dyDescent="0.35">
      <c r="A838" t="s">
        <v>1013</v>
      </c>
      <c r="B838" s="10">
        <v>45808</v>
      </c>
      <c r="C838" t="s">
        <v>177</v>
      </c>
      <c r="D838" t="s">
        <v>54</v>
      </c>
      <c r="E838" t="s">
        <v>74</v>
      </c>
      <c r="F838" t="s">
        <v>54</v>
      </c>
      <c r="G838">
        <v>2525.19</v>
      </c>
      <c r="H838" t="s">
        <v>21</v>
      </c>
      <c r="I838" t="s">
        <v>47</v>
      </c>
      <c r="J838" t="s">
        <v>56</v>
      </c>
    </row>
    <row r="839" spans="1:10" x14ac:dyDescent="0.35">
      <c r="A839" t="s">
        <v>1014</v>
      </c>
      <c r="B839" s="10">
        <v>45809</v>
      </c>
      <c r="C839" t="s">
        <v>46</v>
      </c>
      <c r="D839" t="s">
        <v>12</v>
      </c>
      <c r="E839" t="s">
        <v>13</v>
      </c>
      <c r="F839" t="s">
        <v>14</v>
      </c>
      <c r="G839">
        <v>24.13</v>
      </c>
      <c r="H839" t="s">
        <v>15</v>
      </c>
      <c r="I839" t="s">
        <v>84</v>
      </c>
      <c r="J839" t="s">
        <v>48</v>
      </c>
    </row>
    <row r="840" spans="1:10" x14ac:dyDescent="0.35">
      <c r="A840" t="s">
        <v>1015</v>
      </c>
      <c r="B840" s="10">
        <v>45809</v>
      </c>
      <c r="C840" t="s">
        <v>324</v>
      </c>
      <c r="D840" t="s">
        <v>80</v>
      </c>
      <c r="E840" t="s">
        <v>92</v>
      </c>
      <c r="F840" t="s">
        <v>14</v>
      </c>
      <c r="G840">
        <v>131.94</v>
      </c>
      <c r="H840" t="s">
        <v>15</v>
      </c>
      <c r="I840" t="s">
        <v>36</v>
      </c>
      <c r="J840" t="s">
        <v>161</v>
      </c>
    </row>
    <row r="841" spans="1:10" x14ac:dyDescent="0.35">
      <c r="A841" t="s">
        <v>1016</v>
      </c>
      <c r="B841" s="10">
        <v>45809</v>
      </c>
      <c r="C841" t="s">
        <v>50</v>
      </c>
      <c r="D841" t="s">
        <v>12</v>
      </c>
      <c r="E841" t="s">
        <v>51</v>
      </c>
      <c r="F841" t="s">
        <v>14</v>
      </c>
      <c r="G841">
        <v>64.88</v>
      </c>
      <c r="H841" t="s">
        <v>15</v>
      </c>
      <c r="I841" t="s">
        <v>16</v>
      </c>
      <c r="J841" t="s">
        <v>44</v>
      </c>
    </row>
    <row r="842" spans="1:10" x14ac:dyDescent="0.35">
      <c r="A842" t="s">
        <v>1017</v>
      </c>
      <c r="B842" s="10">
        <v>45809</v>
      </c>
      <c r="C842" t="s">
        <v>296</v>
      </c>
      <c r="D842" t="s">
        <v>101</v>
      </c>
      <c r="E842" t="s">
        <v>136</v>
      </c>
      <c r="F842" t="s">
        <v>14</v>
      </c>
      <c r="G842">
        <v>30.2</v>
      </c>
      <c r="H842" t="s">
        <v>15</v>
      </c>
      <c r="I842" t="s">
        <v>16</v>
      </c>
      <c r="J842" t="s">
        <v>136</v>
      </c>
    </row>
    <row r="843" spans="1:10" x14ac:dyDescent="0.35">
      <c r="A843" t="s">
        <v>1018</v>
      </c>
      <c r="B843" s="10">
        <v>45810</v>
      </c>
      <c r="C843" t="s">
        <v>411</v>
      </c>
      <c r="D843" t="s">
        <v>29</v>
      </c>
      <c r="E843" t="s">
        <v>151</v>
      </c>
      <c r="F843" t="s">
        <v>14</v>
      </c>
      <c r="G843">
        <v>22.6</v>
      </c>
      <c r="H843" t="s">
        <v>15</v>
      </c>
      <c r="I843" t="s">
        <v>36</v>
      </c>
      <c r="J843" t="s">
        <v>151</v>
      </c>
    </row>
    <row r="844" spans="1:10" x14ac:dyDescent="0.35">
      <c r="A844" t="s">
        <v>1019</v>
      </c>
      <c r="B844" s="10">
        <v>45810</v>
      </c>
      <c r="C844" t="s">
        <v>138</v>
      </c>
      <c r="D844" t="s">
        <v>12</v>
      </c>
      <c r="E844" t="s">
        <v>26</v>
      </c>
      <c r="F844" t="s">
        <v>14</v>
      </c>
      <c r="G844">
        <v>180</v>
      </c>
      <c r="H844" t="s">
        <v>15</v>
      </c>
      <c r="I844" t="s">
        <v>47</v>
      </c>
      <c r="J844" t="s">
        <v>77</v>
      </c>
    </row>
    <row r="845" spans="1:10" x14ac:dyDescent="0.35">
      <c r="A845" t="s">
        <v>1020</v>
      </c>
      <c r="B845" s="10">
        <v>45810</v>
      </c>
      <c r="C845" t="s">
        <v>272</v>
      </c>
      <c r="D845" t="s">
        <v>54</v>
      </c>
      <c r="E845" t="s">
        <v>55</v>
      </c>
      <c r="F845" t="s">
        <v>54</v>
      </c>
      <c r="G845">
        <v>674.8</v>
      </c>
      <c r="H845" t="s">
        <v>21</v>
      </c>
      <c r="I845" t="s">
        <v>47</v>
      </c>
      <c r="J845" t="s">
        <v>65</v>
      </c>
    </row>
    <row r="846" spans="1:10" x14ac:dyDescent="0.35">
      <c r="A846" t="s">
        <v>1021</v>
      </c>
      <c r="B846" s="10">
        <v>45810</v>
      </c>
      <c r="C846" t="s">
        <v>198</v>
      </c>
      <c r="D846" t="s">
        <v>59</v>
      </c>
      <c r="E846" t="s">
        <v>199</v>
      </c>
      <c r="F846" t="s">
        <v>14</v>
      </c>
      <c r="G846">
        <v>190.34</v>
      </c>
      <c r="H846" t="s">
        <v>15</v>
      </c>
      <c r="I846" t="s">
        <v>84</v>
      </c>
      <c r="J846" t="s">
        <v>61</v>
      </c>
    </row>
    <row r="847" spans="1:10" x14ac:dyDescent="0.35">
      <c r="A847" t="s">
        <v>1022</v>
      </c>
      <c r="B847" s="10">
        <v>45810</v>
      </c>
      <c r="C847" t="s">
        <v>296</v>
      </c>
      <c r="D847" t="s">
        <v>101</v>
      </c>
      <c r="E847" t="s">
        <v>136</v>
      </c>
      <c r="F847" t="s">
        <v>14</v>
      </c>
      <c r="G847">
        <v>51.02</v>
      </c>
      <c r="H847" t="s">
        <v>15</v>
      </c>
      <c r="I847" t="s">
        <v>22</v>
      </c>
      <c r="J847" t="s">
        <v>136</v>
      </c>
    </row>
    <row r="848" spans="1:10" x14ac:dyDescent="0.35">
      <c r="A848" t="s">
        <v>1023</v>
      </c>
      <c r="B848" s="10">
        <v>45811</v>
      </c>
      <c r="C848" t="s">
        <v>206</v>
      </c>
      <c r="D848" t="s">
        <v>29</v>
      </c>
      <c r="E848" t="s">
        <v>95</v>
      </c>
      <c r="F848" t="s">
        <v>14</v>
      </c>
      <c r="G848">
        <v>46.51</v>
      </c>
      <c r="H848" t="s">
        <v>15</v>
      </c>
      <c r="I848" t="s">
        <v>47</v>
      </c>
      <c r="J848" t="s">
        <v>31</v>
      </c>
    </row>
    <row r="849" spans="1:10" x14ac:dyDescent="0.35">
      <c r="A849" t="s">
        <v>1024</v>
      </c>
      <c r="B849" s="10">
        <v>45811</v>
      </c>
      <c r="C849" t="s">
        <v>251</v>
      </c>
      <c r="D849" t="s">
        <v>29</v>
      </c>
      <c r="E849" t="s">
        <v>151</v>
      </c>
      <c r="F849" t="s">
        <v>14</v>
      </c>
      <c r="G849">
        <v>84.99</v>
      </c>
      <c r="H849" t="s">
        <v>98</v>
      </c>
      <c r="I849" t="s">
        <v>84</v>
      </c>
      <c r="J849" t="s">
        <v>31</v>
      </c>
    </row>
    <row r="850" spans="1:10" x14ac:dyDescent="0.35">
      <c r="A850" t="s">
        <v>1025</v>
      </c>
      <c r="B850" s="10">
        <v>45812</v>
      </c>
      <c r="C850" t="s">
        <v>172</v>
      </c>
      <c r="D850" t="s">
        <v>101</v>
      </c>
      <c r="E850" t="s">
        <v>102</v>
      </c>
      <c r="F850" t="s">
        <v>14</v>
      </c>
      <c r="G850">
        <v>35.36</v>
      </c>
      <c r="H850" t="s">
        <v>15</v>
      </c>
      <c r="I850" t="s">
        <v>47</v>
      </c>
      <c r="J850" t="s">
        <v>102</v>
      </c>
    </row>
    <row r="851" spans="1:10" x14ac:dyDescent="0.35">
      <c r="A851" t="s">
        <v>1026</v>
      </c>
      <c r="B851" s="10">
        <v>45812</v>
      </c>
      <c r="C851" t="s">
        <v>172</v>
      </c>
      <c r="D851" t="s">
        <v>101</v>
      </c>
      <c r="E851" t="s">
        <v>102</v>
      </c>
      <c r="F851" t="s">
        <v>14</v>
      </c>
      <c r="G851">
        <v>52.66</v>
      </c>
      <c r="H851" t="s">
        <v>21</v>
      </c>
      <c r="I851" t="s">
        <v>22</v>
      </c>
      <c r="J851" t="s">
        <v>102</v>
      </c>
    </row>
    <row r="852" spans="1:10" x14ac:dyDescent="0.35">
      <c r="A852" t="s">
        <v>1027</v>
      </c>
      <c r="B852" s="10">
        <v>45812</v>
      </c>
      <c r="C852" t="s">
        <v>113</v>
      </c>
      <c r="D852" t="s">
        <v>34</v>
      </c>
      <c r="E852" t="s">
        <v>40</v>
      </c>
      <c r="F852" t="s">
        <v>14</v>
      </c>
      <c r="G852">
        <v>356.34</v>
      </c>
      <c r="H852" t="s">
        <v>15</v>
      </c>
      <c r="I852" t="s">
        <v>16</v>
      </c>
      <c r="J852" t="s">
        <v>37</v>
      </c>
    </row>
    <row r="853" spans="1:10" x14ac:dyDescent="0.35">
      <c r="A853" t="s">
        <v>1028</v>
      </c>
      <c r="B853" s="10">
        <v>45813</v>
      </c>
      <c r="C853" t="s">
        <v>138</v>
      </c>
      <c r="D853" t="s">
        <v>12</v>
      </c>
      <c r="E853" t="s">
        <v>26</v>
      </c>
      <c r="F853" t="s">
        <v>14</v>
      </c>
      <c r="G853">
        <v>21.42</v>
      </c>
      <c r="H853" t="s">
        <v>15</v>
      </c>
      <c r="I853" t="s">
        <v>47</v>
      </c>
      <c r="J853" t="s">
        <v>77</v>
      </c>
    </row>
    <row r="854" spans="1:10" x14ac:dyDescent="0.35">
      <c r="A854" t="s">
        <v>1029</v>
      </c>
      <c r="B854" s="10">
        <v>45813</v>
      </c>
      <c r="C854" t="s">
        <v>143</v>
      </c>
      <c r="D854" t="s">
        <v>54</v>
      </c>
      <c r="E854" t="s">
        <v>55</v>
      </c>
      <c r="F854" t="s">
        <v>54</v>
      </c>
      <c r="G854">
        <v>916.54</v>
      </c>
      <c r="H854" t="s">
        <v>15</v>
      </c>
      <c r="I854" t="s">
        <v>36</v>
      </c>
      <c r="J854" t="s">
        <v>89</v>
      </c>
    </row>
    <row r="855" spans="1:10" x14ac:dyDescent="0.35">
      <c r="A855" t="s">
        <v>1030</v>
      </c>
      <c r="B855" s="10">
        <v>45813</v>
      </c>
      <c r="C855" t="s">
        <v>376</v>
      </c>
      <c r="D855" t="s">
        <v>80</v>
      </c>
      <c r="E855" t="s">
        <v>117</v>
      </c>
      <c r="F855" t="s">
        <v>14</v>
      </c>
      <c r="G855">
        <v>93.83</v>
      </c>
      <c r="H855" t="s">
        <v>98</v>
      </c>
      <c r="I855" t="s">
        <v>47</v>
      </c>
      <c r="J855" t="s">
        <v>82</v>
      </c>
    </row>
    <row r="856" spans="1:10" x14ac:dyDescent="0.35">
      <c r="A856" t="s">
        <v>1031</v>
      </c>
      <c r="B856" s="10">
        <v>45813</v>
      </c>
      <c r="C856" t="s">
        <v>140</v>
      </c>
      <c r="D856" t="s">
        <v>80</v>
      </c>
      <c r="E856" t="s">
        <v>81</v>
      </c>
      <c r="F856" t="s">
        <v>14</v>
      </c>
      <c r="G856">
        <v>91.49</v>
      </c>
      <c r="H856" t="s">
        <v>15</v>
      </c>
      <c r="I856" t="s">
        <v>36</v>
      </c>
      <c r="J856" t="s">
        <v>141</v>
      </c>
    </row>
    <row r="857" spans="1:10" x14ac:dyDescent="0.35">
      <c r="A857" t="s">
        <v>1032</v>
      </c>
      <c r="B857" s="10">
        <v>45813</v>
      </c>
      <c r="C857" t="s">
        <v>350</v>
      </c>
      <c r="D857" t="s">
        <v>29</v>
      </c>
      <c r="E857" t="s">
        <v>151</v>
      </c>
      <c r="F857" t="s">
        <v>14</v>
      </c>
      <c r="G857">
        <v>59.66</v>
      </c>
      <c r="H857" t="s">
        <v>21</v>
      </c>
      <c r="I857" t="s">
        <v>16</v>
      </c>
      <c r="J857" t="s">
        <v>158</v>
      </c>
    </row>
    <row r="858" spans="1:10" x14ac:dyDescent="0.35">
      <c r="A858" t="s">
        <v>1033</v>
      </c>
      <c r="B858" s="10">
        <v>45813</v>
      </c>
      <c r="C858" t="s">
        <v>267</v>
      </c>
      <c r="D858" t="s">
        <v>29</v>
      </c>
      <c r="E858" t="s">
        <v>30</v>
      </c>
      <c r="F858" t="s">
        <v>14</v>
      </c>
      <c r="G858">
        <v>40.22</v>
      </c>
      <c r="H858" t="s">
        <v>15</v>
      </c>
      <c r="I858" t="s">
        <v>36</v>
      </c>
      <c r="J858" t="s">
        <v>96</v>
      </c>
    </row>
    <row r="859" spans="1:10" x14ac:dyDescent="0.35">
      <c r="A859" t="s">
        <v>1034</v>
      </c>
      <c r="B859" s="10">
        <v>45813</v>
      </c>
      <c r="C859" t="s">
        <v>100</v>
      </c>
      <c r="D859" t="s">
        <v>101</v>
      </c>
      <c r="E859" t="s">
        <v>102</v>
      </c>
      <c r="F859" t="s">
        <v>14</v>
      </c>
      <c r="G859">
        <v>17.71</v>
      </c>
      <c r="H859" t="s">
        <v>15</v>
      </c>
      <c r="I859" t="s">
        <v>36</v>
      </c>
      <c r="J859" t="s">
        <v>103</v>
      </c>
    </row>
    <row r="860" spans="1:10" x14ac:dyDescent="0.35">
      <c r="A860" t="s">
        <v>1035</v>
      </c>
      <c r="B860" s="10">
        <v>45813</v>
      </c>
      <c r="C860" t="s">
        <v>238</v>
      </c>
      <c r="D860" t="s">
        <v>34</v>
      </c>
      <c r="E860" t="s">
        <v>35</v>
      </c>
      <c r="F860" t="s">
        <v>14</v>
      </c>
      <c r="G860">
        <v>25.74</v>
      </c>
      <c r="H860" t="s">
        <v>15</v>
      </c>
      <c r="I860" t="s">
        <v>22</v>
      </c>
      <c r="J860" t="s">
        <v>239</v>
      </c>
    </row>
    <row r="861" spans="1:10" x14ac:dyDescent="0.35">
      <c r="A861" t="s">
        <v>1036</v>
      </c>
      <c r="B861" s="10">
        <v>45813</v>
      </c>
      <c r="C861" t="s">
        <v>210</v>
      </c>
      <c r="D861" t="s">
        <v>59</v>
      </c>
      <c r="E861" t="s">
        <v>185</v>
      </c>
      <c r="F861" t="s">
        <v>14</v>
      </c>
      <c r="G861">
        <v>139.51</v>
      </c>
      <c r="H861" t="s">
        <v>15</v>
      </c>
      <c r="I861" t="s">
        <v>36</v>
      </c>
      <c r="J861" t="s">
        <v>211</v>
      </c>
    </row>
    <row r="862" spans="1:10" x14ac:dyDescent="0.35">
      <c r="A862" t="s">
        <v>1037</v>
      </c>
      <c r="B862" s="10">
        <v>45813</v>
      </c>
      <c r="C862" t="s">
        <v>324</v>
      </c>
      <c r="D862" t="s">
        <v>80</v>
      </c>
      <c r="E862" t="s">
        <v>92</v>
      </c>
      <c r="F862" t="s">
        <v>14</v>
      </c>
      <c r="G862">
        <v>166.17</v>
      </c>
      <c r="H862" t="s">
        <v>21</v>
      </c>
      <c r="I862" t="s">
        <v>47</v>
      </c>
      <c r="J862" t="s">
        <v>161</v>
      </c>
    </row>
    <row r="863" spans="1:10" x14ac:dyDescent="0.35">
      <c r="A863" t="s">
        <v>1038</v>
      </c>
      <c r="B863" s="10">
        <v>45813</v>
      </c>
      <c r="C863" t="s">
        <v>350</v>
      </c>
      <c r="D863" t="s">
        <v>29</v>
      </c>
      <c r="E863" t="s">
        <v>151</v>
      </c>
      <c r="F863" t="s">
        <v>14</v>
      </c>
      <c r="G863">
        <v>26.93</v>
      </c>
      <c r="H863" t="s">
        <v>15</v>
      </c>
      <c r="I863" t="s">
        <v>22</v>
      </c>
      <c r="J863" t="s">
        <v>158</v>
      </c>
    </row>
    <row r="864" spans="1:10" x14ac:dyDescent="0.35">
      <c r="A864" t="s">
        <v>1039</v>
      </c>
      <c r="B864" s="10">
        <v>45814</v>
      </c>
      <c r="C864" t="s">
        <v>269</v>
      </c>
      <c r="D864" t="s">
        <v>34</v>
      </c>
      <c r="E864" t="s">
        <v>35</v>
      </c>
      <c r="F864" t="s">
        <v>14</v>
      </c>
      <c r="G864">
        <v>251.93</v>
      </c>
      <c r="H864" t="s">
        <v>15</v>
      </c>
      <c r="I864" t="s">
        <v>22</v>
      </c>
      <c r="J864" t="s">
        <v>123</v>
      </c>
    </row>
    <row r="865" spans="1:10" x14ac:dyDescent="0.35">
      <c r="A865" t="s">
        <v>1040</v>
      </c>
      <c r="B865" s="10">
        <v>45814</v>
      </c>
      <c r="C865" t="s">
        <v>189</v>
      </c>
      <c r="D865" t="s">
        <v>34</v>
      </c>
      <c r="E865" t="s">
        <v>122</v>
      </c>
      <c r="F865" t="s">
        <v>14</v>
      </c>
      <c r="G865">
        <v>156.99</v>
      </c>
      <c r="H865" t="s">
        <v>15</v>
      </c>
      <c r="I865" t="s">
        <v>22</v>
      </c>
      <c r="J865" t="s">
        <v>37</v>
      </c>
    </row>
    <row r="866" spans="1:10" x14ac:dyDescent="0.35">
      <c r="A866" t="s">
        <v>1041</v>
      </c>
      <c r="B866" s="10">
        <v>45814</v>
      </c>
      <c r="C866" t="s">
        <v>411</v>
      </c>
      <c r="D866" t="s">
        <v>29</v>
      </c>
      <c r="E866" t="s">
        <v>151</v>
      </c>
      <c r="F866" t="s">
        <v>14</v>
      </c>
      <c r="G866">
        <v>12.73</v>
      </c>
      <c r="H866" t="s">
        <v>21</v>
      </c>
      <c r="I866" t="s">
        <v>36</v>
      </c>
      <c r="J866" t="s">
        <v>151</v>
      </c>
    </row>
    <row r="867" spans="1:10" x14ac:dyDescent="0.35">
      <c r="A867" t="s">
        <v>1042</v>
      </c>
      <c r="B867" s="10">
        <v>45814</v>
      </c>
      <c r="C867" t="s">
        <v>100</v>
      </c>
      <c r="D867" t="s">
        <v>101</v>
      </c>
      <c r="E867" t="s">
        <v>102</v>
      </c>
      <c r="F867" t="s">
        <v>14</v>
      </c>
      <c r="G867">
        <v>132.97</v>
      </c>
      <c r="H867" t="s">
        <v>21</v>
      </c>
      <c r="I867" t="s">
        <v>16</v>
      </c>
      <c r="J867" t="s">
        <v>103</v>
      </c>
    </row>
    <row r="868" spans="1:10" x14ac:dyDescent="0.35">
      <c r="A868" t="s">
        <v>1043</v>
      </c>
      <c r="B868" s="10">
        <v>45815</v>
      </c>
      <c r="C868" t="s">
        <v>256</v>
      </c>
      <c r="D868" t="s">
        <v>34</v>
      </c>
      <c r="E868" t="s">
        <v>40</v>
      </c>
      <c r="F868" t="s">
        <v>14</v>
      </c>
      <c r="G868">
        <v>101.17</v>
      </c>
      <c r="H868" t="s">
        <v>21</v>
      </c>
      <c r="I868" t="s">
        <v>84</v>
      </c>
      <c r="J868" t="s">
        <v>239</v>
      </c>
    </row>
    <row r="869" spans="1:10" x14ac:dyDescent="0.35">
      <c r="A869" t="s">
        <v>1044</v>
      </c>
      <c r="B869" s="10">
        <v>45815</v>
      </c>
      <c r="C869" t="s">
        <v>204</v>
      </c>
      <c r="D869" t="s">
        <v>12</v>
      </c>
      <c r="E869" t="s">
        <v>51</v>
      </c>
      <c r="F869" t="s">
        <v>14</v>
      </c>
      <c r="G869">
        <v>35.03</v>
      </c>
      <c r="H869" t="s">
        <v>15</v>
      </c>
      <c r="I869" t="s">
        <v>22</v>
      </c>
      <c r="J869" t="s">
        <v>23</v>
      </c>
    </row>
    <row r="870" spans="1:10" x14ac:dyDescent="0.35">
      <c r="A870" t="s">
        <v>1045</v>
      </c>
      <c r="B870" s="10">
        <v>45815</v>
      </c>
      <c r="C870" t="s">
        <v>248</v>
      </c>
      <c r="D870" t="s">
        <v>80</v>
      </c>
      <c r="E870" t="s">
        <v>81</v>
      </c>
      <c r="F870" t="s">
        <v>14</v>
      </c>
      <c r="G870">
        <v>86.65</v>
      </c>
      <c r="H870" t="s">
        <v>15</v>
      </c>
      <c r="I870" t="s">
        <v>22</v>
      </c>
      <c r="J870" t="s">
        <v>161</v>
      </c>
    </row>
    <row r="871" spans="1:10" x14ac:dyDescent="0.35">
      <c r="A871" t="s">
        <v>1046</v>
      </c>
      <c r="B871" s="10">
        <v>45815</v>
      </c>
      <c r="C871" t="s">
        <v>204</v>
      </c>
      <c r="D871" t="s">
        <v>12</v>
      </c>
      <c r="E871" t="s">
        <v>51</v>
      </c>
      <c r="F871" t="s">
        <v>14</v>
      </c>
      <c r="G871">
        <v>14.49</v>
      </c>
      <c r="H871" t="s">
        <v>21</v>
      </c>
      <c r="I871" t="s">
        <v>22</v>
      </c>
      <c r="J871" t="s">
        <v>23</v>
      </c>
    </row>
    <row r="872" spans="1:10" x14ac:dyDescent="0.35">
      <c r="A872" t="s">
        <v>1047</v>
      </c>
      <c r="B872" s="10">
        <v>45815</v>
      </c>
      <c r="C872" t="s">
        <v>229</v>
      </c>
      <c r="D872" t="s">
        <v>54</v>
      </c>
      <c r="E872" t="s">
        <v>64</v>
      </c>
      <c r="F872" t="s">
        <v>54</v>
      </c>
      <c r="G872">
        <v>356.27</v>
      </c>
      <c r="H872" t="s">
        <v>21</v>
      </c>
      <c r="I872" t="s">
        <v>22</v>
      </c>
      <c r="J872" t="s">
        <v>56</v>
      </c>
    </row>
    <row r="873" spans="1:10" x14ac:dyDescent="0.35">
      <c r="A873" t="s">
        <v>1048</v>
      </c>
      <c r="B873" s="10">
        <v>45815</v>
      </c>
      <c r="C873" t="s">
        <v>79</v>
      </c>
      <c r="D873" t="s">
        <v>80</v>
      </c>
      <c r="E873" t="s">
        <v>81</v>
      </c>
      <c r="F873" t="s">
        <v>14</v>
      </c>
      <c r="G873">
        <v>81.290000000000006</v>
      </c>
      <c r="H873" t="s">
        <v>98</v>
      </c>
      <c r="I873" t="s">
        <v>36</v>
      </c>
      <c r="J873" t="s">
        <v>82</v>
      </c>
    </row>
    <row r="874" spans="1:10" x14ac:dyDescent="0.35">
      <c r="A874" t="s">
        <v>1049</v>
      </c>
      <c r="B874" s="10">
        <v>45815</v>
      </c>
      <c r="C874" t="s">
        <v>138</v>
      </c>
      <c r="D874" t="s">
        <v>12</v>
      </c>
      <c r="E874" t="s">
        <v>26</v>
      </c>
      <c r="F874" t="s">
        <v>14</v>
      </c>
      <c r="G874">
        <v>32.61</v>
      </c>
      <c r="H874" t="s">
        <v>21</v>
      </c>
      <c r="I874" t="s">
        <v>47</v>
      </c>
      <c r="J874" t="s">
        <v>77</v>
      </c>
    </row>
    <row r="875" spans="1:10" x14ac:dyDescent="0.35">
      <c r="A875" t="s">
        <v>1050</v>
      </c>
      <c r="B875" s="10">
        <v>45815</v>
      </c>
      <c r="C875" t="s">
        <v>308</v>
      </c>
      <c r="D875" t="s">
        <v>54</v>
      </c>
      <c r="E875" t="s">
        <v>64</v>
      </c>
      <c r="F875" t="s">
        <v>54</v>
      </c>
      <c r="G875">
        <v>362.69</v>
      </c>
      <c r="H875" t="s">
        <v>21</v>
      </c>
      <c r="I875" t="s">
        <v>22</v>
      </c>
      <c r="J875" t="s">
        <v>89</v>
      </c>
    </row>
    <row r="876" spans="1:10" x14ac:dyDescent="0.35">
      <c r="A876" t="s">
        <v>1051</v>
      </c>
      <c r="B876" s="10">
        <v>45816</v>
      </c>
      <c r="C876" t="s">
        <v>116</v>
      </c>
      <c r="D876" t="s">
        <v>80</v>
      </c>
      <c r="E876" t="s">
        <v>117</v>
      </c>
      <c r="F876" t="s">
        <v>14</v>
      </c>
      <c r="G876">
        <v>99.78</v>
      </c>
      <c r="H876" t="s">
        <v>98</v>
      </c>
      <c r="I876" t="s">
        <v>36</v>
      </c>
      <c r="J876" t="s">
        <v>118</v>
      </c>
    </row>
    <row r="877" spans="1:10" x14ac:dyDescent="0.35">
      <c r="A877" t="s">
        <v>1052</v>
      </c>
      <c r="B877" s="10">
        <v>45817</v>
      </c>
      <c r="C877" t="s">
        <v>160</v>
      </c>
      <c r="D877" t="s">
        <v>80</v>
      </c>
      <c r="E877" t="s">
        <v>117</v>
      </c>
      <c r="F877" t="s">
        <v>14</v>
      </c>
      <c r="G877">
        <v>59.65</v>
      </c>
      <c r="H877" t="s">
        <v>15</v>
      </c>
      <c r="I877" t="s">
        <v>36</v>
      </c>
      <c r="J877" t="s">
        <v>161</v>
      </c>
    </row>
    <row r="878" spans="1:10" x14ac:dyDescent="0.35">
      <c r="A878" t="s">
        <v>1053</v>
      </c>
      <c r="B878" s="10">
        <v>45817</v>
      </c>
      <c r="C878" t="s">
        <v>445</v>
      </c>
      <c r="D878" t="s">
        <v>101</v>
      </c>
      <c r="E878" t="s">
        <v>244</v>
      </c>
      <c r="F878" t="s">
        <v>14</v>
      </c>
      <c r="G878">
        <v>41.75</v>
      </c>
      <c r="H878" t="s">
        <v>15</v>
      </c>
      <c r="I878" t="s">
        <v>22</v>
      </c>
      <c r="J878" t="s">
        <v>103</v>
      </c>
    </row>
    <row r="879" spans="1:10" x14ac:dyDescent="0.35">
      <c r="A879" t="s">
        <v>1054</v>
      </c>
      <c r="B879" s="10">
        <v>45817</v>
      </c>
      <c r="C879" t="s">
        <v>53</v>
      </c>
      <c r="D879" t="s">
        <v>54</v>
      </c>
      <c r="E879" t="s">
        <v>55</v>
      </c>
      <c r="F879" t="s">
        <v>54</v>
      </c>
      <c r="G879">
        <v>695.12</v>
      </c>
      <c r="H879" t="s">
        <v>15</v>
      </c>
      <c r="I879" t="s">
        <v>22</v>
      </c>
      <c r="J879" t="s">
        <v>56</v>
      </c>
    </row>
    <row r="880" spans="1:10" x14ac:dyDescent="0.35">
      <c r="A880" t="s">
        <v>1055</v>
      </c>
      <c r="B880" s="10">
        <v>45817</v>
      </c>
      <c r="C880" t="s">
        <v>76</v>
      </c>
      <c r="D880" t="s">
        <v>12</v>
      </c>
      <c r="E880" t="s">
        <v>13</v>
      </c>
      <c r="F880" t="s">
        <v>14</v>
      </c>
      <c r="G880">
        <v>63.87</v>
      </c>
      <c r="H880" t="s">
        <v>15</v>
      </c>
      <c r="I880" t="s">
        <v>47</v>
      </c>
      <c r="J880" t="s">
        <v>77</v>
      </c>
    </row>
    <row r="881" spans="1:10" x14ac:dyDescent="0.35">
      <c r="A881" t="s">
        <v>1056</v>
      </c>
      <c r="B881" s="10">
        <v>45817</v>
      </c>
      <c r="C881" t="s">
        <v>172</v>
      </c>
      <c r="D881" t="s">
        <v>101</v>
      </c>
      <c r="E881" t="s">
        <v>102</v>
      </c>
      <c r="F881" t="s">
        <v>14</v>
      </c>
      <c r="G881">
        <v>53.53</v>
      </c>
      <c r="H881" t="s">
        <v>15</v>
      </c>
      <c r="I881" t="s">
        <v>36</v>
      </c>
      <c r="J881" t="s">
        <v>102</v>
      </c>
    </row>
    <row r="882" spans="1:10" x14ac:dyDescent="0.35">
      <c r="A882" t="s">
        <v>1057</v>
      </c>
      <c r="B882" s="10">
        <v>45817</v>
      </c>
      <c r="C882" t="s">
        <v>415</v>
      </c>
      <c r="D882" t="s">
        <v>12</v>
      </c>
      <c r="E882" t="s">
        <v>51</v>
      </c>
      <c r="F882" t="s">
        <v>14</v>
      </c>
      <c r="G882">
        <v>51.98</v>
      </c>
      <c r="H882" t="s">
        <v>15</v>
      </c>
      <c r="I882" t="s">
        <v>47</v>
      </c>
      <c r="J882" t="s">
        <v>77</v>
      </c>
    </row>
    <row r="883" spans="1:10" x14ac:dyDescent="0.35">
      <c r="A883" t="s">
        <v>1058</v>
      </c>
      <c r="B883" s="10">
        <v>45817</v>
      </c>
      <c r="C883" t="s">
        <v>253</v>
      </c>
      <c r="D883" t="s">
        <v>29</v>
      </c>
      <c r="E883" t="s">
        <v>30</v>
      </c>
      <c r="F883" t="s">
        <v>14</v>
      </c>
      <c r="G883">
        <v>26.3</v>
      </c>
      <c r="H883" t="s">
        <v>15</v>
      </c>
      <c r="I883" t="s">
        <v>36</v>
      </c>
      <c r="J883" t="s">
        <v>158</v>
      </c>
    </row>
    <row r="884" spans="1:10" x14ac:dyDescent="0.35">
      <c r="A884" t="s">
        <v>1059</v>
      </c>
      <c r="B884" s="10">
        <v>45817</v>
      </c>
      <c r="C884" t="s">
        <v>331</v>
      </c>
      <c r="D884" t="s">
        <v>29</v>
      </c>
      <c r="E884" t="s">
        <v>95</v>
      </c>
      <c r="F884" t="s">
        <v>14</v>
      </c>
      <c r="G884">
        <v>33.99</v>
      </c>
      <c r="H884" t="s">
        <v>15</v>
      </c>
      <c r="I884" t="s">
        <v>22</v>
      </c>
      <c r="J884" t="s">
        <v>151</v>
      </c>
    </row>
    <row r="885" spans="1:10" x14ac:dyDescent="0.35">
      <c r="A885" t="s">
        <v>1060</v>
      </c>
      <c r="B885" s="10">
        <v>45817</v>
      </c>
      <c r="C885" t="s">
        <v>269</v>
      </c>
      <c r="D885" t="s">
        <v>34</v>
      </c>
      <c r="E885" t="s">
        <v>35</v>
      </c>
      <c r="F885" t="s">
        <v>14</v>
      </c>
      <c r="G885">
        <v>278.8</v>
      </c>
      <c r="H885" t="s">
        <v>15</v>
      </c>
      <c r="I885" t="s">
        <v>16</v>
      </c>
      <c r="J885" t="s">
        <v>123</v>
      </c>
    </row>
    <row r="886" spans="1:10" x14ac:dyDescent="0.35">
      <c r="A886" t="s">
        <v>1061</v>
      </c>
      <c r="B886" s="10">
        <v>45818</v>
      </c>
      <c r="C886" t="s">
        <v>464</v>
      </c>
      <c r="D886" t="s">
        <v>34</v>
      </c>
      <c r="E886" t="s">
        <v>122</v>
      </c>
      <c r="F886" t="s">
        <v>14</v>
      </c>
      <c r="G886">
        <v>138.41</v>
      </c>
      <c r="H886" t="s">
        <v>15</v>
      </c>
      <c r="I886" t="s">
        <v>47</v>
      </c>
      <c r="J886" t="s">
        <v>239</v>
      </c>
    </row>
    <row r="887" spans="1:10" x14ac:dyDescent="0.35">
      <c r="A887" t="s">
        <v>1062</v>
      </c>
      <c r="B887" s="10">
        <v>45818</v>
      </c>
      <c r="C887" t="s">
        <v>63</v>
      </c>
      <c r="D887" t="s">
        <v>54</v>
      </c>
      <c r="E887" t="s">
        <v>64</v>
      </c>
      <c r="F887" t="s">
        <v>54</v>
      </c>
      <c r="G887">
        <v>330.41</v>
      </c>
      <c r="H887" t="s">
        <v>21</v>
      </c>
      <c r="I887" t="s">
        <v>22</v>
      </c>
      <c r="J887" t="s">
        <v>65</v>
      </c>
    </row>
    <row r="888" spans="1:10" x14ac:dyDescent="0.35">
      <c r="A888" t="s">
        <v>1063</v>
      </c>
      <c r="B888" s="10">
        <v>45818</v>
      </c>
      <c r="C888" t="s">
        <v>153</v>
      </c>
      <c r="D888" t="s">
        <v>34</v>
      </c>
      <c r="E888" t="s">
        <v>122</v>
      </c>
      <c r="F888" t="s">
        <v>14</v>
      </c>
      <c r="G888">
        <v>82.46</v>
      </c>
      <c r="H888" t="s">
        <v>15</v>
      </c>
      <c r="I888" t="s">
        <v>22</v>
      </c>
      <c r="J888" t="s">
        <v>41</v>
      </c>
    </row>
    <row r="889" spans="1:10" x14ac:dyDescent="0.35">
      <c r="A889" t="s">
        <v>1064</v>
      </c>
      <c r="B889" s="10">
        <v>45818</v>
      </c>
      <c r="C889" t="s">
        <v>140</v>
      </c>
      <c r="D889" t="s">
        <v>80</v>
      </c>
      <c r="E889" t="s">
        <v>81</v>
      </c>
      <c r="F889" t="s">
        <v>14</v>
      </c>
      <c r="G889">
        <v>69.27</v>
      </c>
      <c r="H889" t="s">
        <v>15</v>
      </c>
      <c r="I889" t="s">
        <v>22</v>
      </c>
      <c r="J889" t="s">
        <v>141</v>
      </c>
    </row>
    <row r="890" spans="1:10" x14ac:dyDescent="0.35">
      <c r="A890" t="s">
        <v>1065</v>
      </c>
      <c r="B890" s="10">
        <v>45818</v>
      </c>
      <c r="C890" t="s">
        <v>184</v>
      </c>
      <c r="D890" t="s">
        <v>59</v>
      </c>
      <c r="E890" t="s">
        <v>185</v>
      </c>
      <c r="F890" t="s">
        <v>14</v>
      </c>
      <c r="G890">
        <v>151.38</v>
      </c>
      <c r="H890" t="s">
        <v>21</v>
      </c>
      <c r="I890" t="s">
        <v>36</v>
      </c>
      <c r="J890" t="s">
        <v>61</v>
      </c>
    </row>
    <row r="891" spans="1:10" x14ac:dyDescent="0.35">
      <c r="A891" t="s">
        <v>1066</v>
      </c>
      <c r="B891" s="10">
        <v>45818</v>
      </c>
      <c r="C891" t="s">
        <v>168</v>
      </c>
      <c r="D891" t="s">
        <v>59</v>
      </c>
      <c r="E891" t="s">
        <v>60</v>
      </c>
      <c r="F891" t="s">
        <v>14</v>
      </c>
      <c r="G891">
        <v>148.54</v>
      </c>
      <c r="H891" t="s">
        <v>15</v>
      </c>
      <c r="I891" t="s">
        <v>47</v>
      </c>
      <c r="J891" t="s">
        <v>170</v>
      </c>
    </row>
    <row r="892" spans="1:10" x14ac:dyDescent="0.35">
      <c r="A892" t="s">
        <v>1067</v>
      </c>
      <c r="B892" s="10">
        <v>45818</v>
      </c>
      <c r="C892" t="s">
        <v>121</v>
      </c>
      <c r="D892" t="s">
        <v>34</v>
      </c>
      <c r="E892" t="s">
        <v>122</v>
      </c>
      <c r="F892" t="s">
        <v>14</v>
      </c>
      <c r="G892">
        <v>392.4</v>
      </c>
      <c r="H892" t="s">
        <v>21</v>
      </c>
      <c r="I892" t="s">
        <v>22</v>
      </c>
      <c r="J892" t="s">
        <v>123</v>
      </c>
    </row>
    <row r="893" spans="1:10" x14ac:dyDescent="0.35">
      <c r="A893" t="s">
        <v>1068</v>
      </c>
      <c r="B893" s="10">
        <v>45819</v>
      </c>
      <c r="C893" t="s">
        <v>296</v>
      </c>
      <c r="D893" t="s">
        <v>101</v>
      </c>
      <c r="E893" t="s">
        <v>136</v>
      </c>
      <c r="F893" t="s">
        <v>14</v>
      </c>
      <c r="G893">
        <v>173.42</v>
      </c>
      <c r="H893" t="s">
        <v>15</v>
      </c>
      <c r="I893" t="s">
        <v>16</v>
      </c>
      <c r="J893" t="s">
        <v>136</v>
      </c>
    </row>
    <row r="894" spans="1:10" x14ac:dyDescent="0.35">
      <c r="A894" t="s">
        <v>1069</v>
      </c>
      <c r="B894" s="10">
        <v>45819</v>
      </c>
      <c r="C894" t="s">
        <v>238</v>
      </c>
      <c r="D894" t="s">
        <v>34</v>
      </c>
      <c r="E894" t="s">
        <v>35</v>
      </c>
      <c r="F894" t="s">
        <v>14</v>
      </c>
      <c r="G894">
        <v>332.87</v>
      </c>
      <c r="H894" t="s">
        <v>15</v>
      </c>
      <c r="I894" t="s">
        <v>16</v>
      </c>
      <c r="J894" t="s">
        <v>239</v>
      </c>
    </row>
    <row r="895" spans="1:10" x14ac:dyDescent="0.35">
      <c r="A895" t="s">
        <v>1070</v>
      </c>
      <c r="B895" s="10">
        <v>45819</v>
      </c>
      <c r="C895" t="s">
        <v>79</v>
      </c>
      <c r="D895" t="s">
        <v>80</v>
      </c>
      <c r="E895" t="s">
        <v>81</v>
      </c>
      <c r="F895" t="s">
        <v>14</v>
      </c>
      <c r="G895">
        <v>230.32</v>
      </c>
      <c r="H895" t="s">
        <v>21</v>
      </c>
      <c r="I895" t="s">
        <v>36</v>
      </c>
      <c r="J895" t="s">
        <v>82</v>
      </c>
    </row>
    <row r="896" spans="1:10" x14ac:dyDescent="0.35">
      <c r="A896" t="s">
        <v>1071</v>
      </c>
      <c r="B896" s="10">
        <v>45819</v>
      </c>
      <c r="C896" t="s">
        <v>272</v>
      </c>
      <c r="D896" t="s">
        <v>54</v>
      </c>
      <c r="E896" t="s">
        <v>55</v>
      </c>
      <c r="F896" t="s">
        <v>54</v>
      </c>
      <c r="G896">
        <v>796.65</v>
      </c>
      <c r="H896" t="s">
        <v>15</v>
      </c>
      <c r="I896" t="s">
        <v>36</v>
      </c>
      <c r="J896" t="s">
        <v>65</v>
      </c>
    </row>
    <row r="897" spans="1:10" x14ac:dyDescent="0.35">
      <c r="A897" t="s">
        <v>1072</v>
      </c>
      <c r="B897" s="10">
        <v>45819</v>
      </c>
      <c r="C897" t="s">
        <v>140</v>
      </c>
      <c r="D897" t="s">
        <v>80</v>
      </c>
      <c r="E897" t="s">
        <v>81</v>
      </c>
      <c r="F897" t="s">
        <v>14</v>
      </c>
      <c r="G897">
        <v>33.950000000000003</v>
      </c>
      <c r="H897" t="s">
        <v>15</v>
      </c>
      <c r="I897" t="s">
        <v>36</v>
      </c>
      <c r="J897" t="s">
        <v>141</v>
      </c>
    </row>
    <row r="898" spans="1:10" x14ac:dyDescent="0.35">
      <c r="A898" t="s">
        <v>1073</v>
      </c>
      <c r="B898" s="10">
        <v>45819</v>
      </c>
      <c r="C898" t="s">
        <v>28</v>
      </c>
      <c r="D898" t="s">
        <v>29</v>
      </c>
      <c r="E898" t="s">
        <v>30</v>
      </c>
      <c r="F898" t="s">
        <v>14</v>
      </c>
      <c r="G898">
        <v>118.89</v>
      </c>
      <c r="H898" t="s">
        <v>15</v>
      </c>
      <c r="I898" t="s">
        <v>16</v>
      </c>
      <c r="J898" t="s">
        <v>31</v>
      </c>
    </row>
    <row r="899" spans="1:10" x14ac:dyDescent="0.35">
      <c r="A899" t="s">
        <v>1074</v>
      </c>
      <c r="B899" s="10">
        <v>45820</v>
      </c>
      <c r="C899" t="s">
        <v>175</v>
      </c>
      <c r="D899" t="s">
        <v>80</v>
      </c>
      <c r="E899" t="s">
        <v>92</v>
      </c>
      <c r="F899" t="s">
        <v>14</v>
      </c>
      <c r="G899">
        <v>199.74</v>
      </c>
      <c r="H899" t="s">
        <v>15</v>
      </c>
      <c r="I899" t="s">
        <v>16</v>
      </c>
      <c r="J899" t="s">
        <v>141</v>
      </c>
    </row>
    <row r="900" spans="1:10" x14ac:dyDescent="0.35">
      <c r="A900" t="s">
        <v>1075</v>
      </c>
      <c r="B900" s="10">
        <v>45820</v>
      </c>
      <c r="C900" t="s">
        <v>11</v>
      </c>
      <c r="D900" t="s">
        <v>12</v>
      </c>
      <c r="E900" t="s">
        <v>13</v>
      </c>
      <c r="F900" t="s">
        <v>14</v>
      </c>
      <c r="G900">
        <v>66.56</v>
      </c>
      <c r="H900" t="s">
        <v>15</v>
      </c>
      <c r="I900" t="s">
        <v>22</v>
      </c>
      <c r="J900" t="s">
        <v>17</v>
      </c>
    </row>
    <row r="901" spans="1:10" x14ac:dyDescent="0.35">
      <c r="A901" t="s">
        <v>1076</v>
      </c>
      <c r="B901" s="10">
        <v>45820</v>
      </c>
      <c r="C901" t="s">
        <v>345</v>
      </c>
      <c r="D901" t="s">
        <v>59</v>
      </c>
      <c r="E901" t="s">
        <v>60</v>
      </c>
      <c r="F901" t="s">
        <v>14</v>
      </c>
      <c r="G901">
        <v>261.25</v>
      </c>
      <c r="H901" t="s">
        <v>15</v>
      </c>
      <c r="I901" t="s">
        <v>84</v>
      </c>
      <c r="J901" t="s">
        <v>211</v>
      </c>
    </row>
    <row r="902" spans="1:10" x14ac:dyDescent="0.35">
      <c r="A902" t="s">
        <v>1077</v>
      </c>
      <c r="B902" s="10">
        <v>45820</v>
      </c>
      <c r="C902" t="s">
        <v>125</v>
      </c>
      <c r="D902" t="s">
        <v>12</v>
      </c>
      <c r="E902" t="s">
        <v>13</v>
      </c>
      <c r="F902" t="s">
        <v>14</v>
      </c>
      <c r="G902">
        <v>24.12</v>
      </c>
      <c r="H902" t="s">
        <v>15</v>
      </c>
      <c r="I902" t="s">
        <v>22</v>
      </c>
      <c r="J902" t="s">
        <v>44</v>
      </c>
    </row>
    <row r="903" spans="1:10" x14ac:dyDescent="0.35">
      <c r="A903" t="s">
        <v>1078</v>
      </c>
      <c r="B903" s="10">
        <v>45820</v>
      </c>
      <c r="C903" t="s">
        <v>113</v>
      </c>
      <c r="D903" t="s">
        <v>34</v>
      </c>
      <c r="E903" t="s">
        <v>40</v>
      </c>
      <c r="F903" t="s">
        <v>14</v>
      </c>
      <c r="G903">
        <v>89.15</v>
      </c>
      <c r="H903" t="s">
        <v>15</v>
      </c>
      <c r="I903" t="s">
        <v>16</v>
      </c>
      <c r="J903" t="s">
        <v>37</v>
      </c>
    </row>
    <row r="904" spans="1:10" x14ac:dyDescent="0.35">
      <c r="A904" t="s">
        <v>1079</v>
      </c>
      <c r="B904" s="10">
        <v>45821</v>
      </c>
      <c r="C904" t="s">
        <v>543</v>
      </c>
      <c r="D904" t="s">
        <v>69</v>
      </c>
      <c r="E904" t="s">
        <v>70</v>
      </c>
      <c r="F904" t="s">
        <v>14</v>
      </c>
      <c r="G904">
        <v>584.61</v>
      </c>
      <c r="H904" t="s">
        <v>15</v>
      </c>
      <c r="I904" t="s">
        <v>36</v>
      </c>
      <c r="J904" t="s">
        <v>292</v>
      </c>
    </row>
    <row r="905" spans="1:10" x14ac:dyDescent="0.35">
      <c r="A905" t="s">
        <v>1080</v>
      </c>
      <c r="B905" s="10">
        <v>45821</v>
      </c>
      <c r="C905" t="s">
        <v>217</v>
      </c>
      <c r="D905" t="s">
        <v>80</v>
      </c>
      <c r="E905" t="s">
        <v>81</v>
      </c>
      <c r="F905" t="s">
        <v>14</v>
      </c>
      <c r="G905">
        <v>17.3</v>
      </c>
      <c r="H905" t="s">
        <v>98</v>
      </c>
      <c r="I905" t="s">
        <v>84</v>
      </c>
      <c r="J905" t="s">
        <v>180</v>
      </c>
    </row>
    <row r="906" spans="1:10" x14ac:dyDescent="0.35">
      <c r="A906" t="s">
        <v>1081</v>
      </c>
      <c r="B906" s="10">
        <v>45821</v>
      </c>
      <c r="C906" t="s">
        <v>130</v>
      </c>
      <c r="D906" t="s">
        <v>12</v>
      </c>
      <c r="E906" t="s">
        <v>26</v>
      </c>
      <c r="F906" t="s">
        <v>14</v>
      </c>
      <c r="G906">
        <v>52.45</v>
      </c>
      <c r="H906" t="s">
        <v>15</v>
      </c>
      <c r="I906" t="s">
        <v>22</v>
      </c>
      <c r="J906" t="s">
        <v>48</v>
      </c>
    </row>
    <row r="907" spans="1:10" x14ac:dyDescent="0.35">
      <c r="A907" t="s">
        <v>1082</v>
      </c>
      <c r="B907" s="10">
        <v>45821</v>
      </c>
      <c r="C907" t="s">
        <v>125</v>
      </c>
      <c r="D907" t="s">
        <v>12</v>
      </c>
      <c r="E907" t="s">
        <v>13</v>
      </c>
      <c r="F907" t="s">
        <v>14</v>
      </c>
      <c r="G907">
        <v>63.91</v>
      </c>
      <c r="H907" t="s">
        <v>15</v>
      </c>
      <c r="I907" t="s">
        <v>22</v>
      </c>
      <c r="J907" t="s">
        <v>44</v>
      </c>
    </row>
    <row r="908" spans="1:10" x14ac:dyDescent="0.35">
      <c r="A908" t="s">
        <v>1083</v>
      </c>
      <c r="B908" s="10">
        <v>45821</v>
      </c>
      <c r="C908" t="s">
        <v>267</v>
      </c>
      <c r="D908" t="s">
        <v>29</v>
      </c>
      <c r="E908" t="s">
        <v>30</v>
      </c>
      <c r="F908" t="s">
        <v>14</v>
      </c>
      <c r="G908">
        <v>23.77</v>
      </c>
      <c r="H908" t="s">
        <v>15</v>
      </c>
      <c r="I908" t="s">
        <v>16</v>
      </c>
      <c r="J908" t="s">
        <v>96</v>
      </c>
    </row>
    <row r="909" spans="1:10" x14ac:dyDescent="0.35">
      <c r="A909" t="s">
        <v>1084</v>
      </c>
      <c r="B909" s="10">
        <v>45821</v>
      </c>
      <c r="C909" t="s">
        <v>58</v>
      </c>
      <c r="D909" t="s">
        <v>59</v>
      </c>
      <c r="E909" t="s">
        <v>60</v>
      </c>
      <c r="F909" t="s">
        <v>14</v>
      </c>
      <c r="G909">
        <v>409.97</v>
      </c>
      <c r="H909" t="s">
        <v>15</v>
      </c>
      <c r="I909" t="s">
        <v>84</v>
      </c>
      <c r="J909" t="s">
        <v>61</v>
      </c>
    </row>
    <row r="910" spans="1:10" x14ac:dyDescent="0.35">
      <c r="A910" t="s">
        <v>1085</v>
      </c>
      <c r="B910" s="10">
        <v>45821</v>
      </c>
      <c r="C910" t="s">
        <v>143</v>
      </c>
      <c r="D910" t="s">
        <v>54</v>
      </c>
      <c r="E910" t="s">
        <v>55</v>
      </c>
      <c r="F910" t="s">
        <v>54</v>
      </c>
      <c r="G910">
        <v>751.38</v>
      </c>
      <c r="H910" t="s">
        <v>15</v>
      </c>
      <c r="I910" t="s">
        <v>47</v>
      </c>
      <c r="J910" t="s">
        <v>89</v>
      </c>
    </row>
    <row r="911" spans="1:10" x14ac:dyDescent="0.35">
      <c r="A911" t="s">
        <v>1086</v>
      </c>
      <c r="B911" s="10">
        <v>45822</v>
      </c>
      <c r="C911" t="s">
        <v>121</v>
      </c>
      <c r="D911" t="s">
        <v>34</v>
      </c>
      <c r="E911" t="s">
        <v>122</v>
      </c>
      <c r="F911" t="s">
        <v>14</v>
      </c>
      <c r="G911">
        <v>142.66999999999999</v>
      </c>
      <c r="H911" t="s">
        <v>15</v>
      </c>
      <c r="I911" t="s">
        <v>36</v>
      </c>
      <c r="J911" t="s">
        <v>123</v>
      </c>
    </row>
    <row r="912" spans="1:10" x14ac:dyDescent="0.35">
      <c r="A912" t="s">
        <v>1087</v>
      </c>
      <c r="B912" s="10">
        <v>45822</v>
      </c>
      <c r="C912" t="s">
        <v>248</v>
      </c>
      <c r="D912" t="s">
        <v>80</v>
      </c>
      <c r="E912" t="s">
        <v>81</v>
      </c>
      <c r="F912" t="s">
        <v>14</v>
      </c>
      <c r="G912">
        <v>50.65</v>
      </c>
      <c r="H912" t="s">
        <v>15</v>
      </c>
      <c r="I912" t="s">
        <v>22</v>
      </c>
      <c r="J912" t="s">
        <v>161</v>
      </c>
    </row>
    <row r="913" spans="1:10" x14ac:dyDescent="0.35">
      <c r="A913" t="s">
        <v>1088</v>
      </c>
      <c r="B913" s="10">
        <v>45822</v>
      </c>
      <c r="C913" t="s">
        <v>229</v>
      </c>
      <c r="D913" t="s">
        <v>54</v>
      </c>
      <c r="E913" t="s">
        <v>64</v>
      </c>
      <c r="F913" t="s">
        <v>54</v>
      </c>
      <c r="G913">
        <v>374.76</v>
      </c>
      <c r="H913" t="s">
        <v>15</v>
      </c>
      <c r="I913" t="s">
        <v>84</v>
      </c>
      <c r="J913" t="s">
        <v>56</v>
      </c>
    </row>
    <row r="914" spans="1:10" x14ac:dyDescent="0.35">
      <c r="A914" t="s">
        <v>1089</v>
      </c>
      <c r="B914" s="10">
        <v>45822</v>
      </c>
      <c r="C914" t="s">
        <v>43</v>
      </c>
      <c r="D914" t="s">
        <v>12</v>
      </c>
      <c r="E914" t="s">
        <v>26</v>
      </c>
      <c r="F914" t="s">
        <v>14</v>
      </c>
      <c r="G914">
        <v>26.13</v>
      </c>
      <c r="H914" t="s">
        <v>15</v>
      </c>
      <c r="I914" t="s">
        <v>47</v>
      </c>
      <c r="J914" t="s">
        <v>44</v>
      </c>
    </row>
    <row r="915" spans="1:10" x14ac:dyDescent="0.35">
      <c r="A915" t="s">
        <v>1090</v>
      </c>
      <c r="B915" s="10">
        <v>45822</v>
      </c>
      <c r="C915" t="s">
        <v>19</v>
      </c>
      <c r="D915" t="s">
        <v>12</v>
      </c>
      <c r="E915" t="s">
        <v>13</v>
      </c>
      <c r="F915" t="s">
        <v>14</v>
      </c>
      <c r="G915">
        <v>43.49</v>
      </c>
      <c r="H915" t="s">
        <v>21</v>
      </c>
      <c r="I915" t="s">
        <v>22</v>
      </c>
      <c r="J915" t="s">
        <v>23</v>
      </c>
    </row>
    <row r="916" spans="1:10" x14ac:dyDescent="0.35">
      <c r="A916" t="s">
        <v>1091</v>
      </c>
      <c r="B916" s="10">
        <v>45822</v>
      </c>
      <c r="C916" t="s">
        <v>125</v>
      </c>
      <c r="D916" t="s">
        <v>12</v>
      </c>
      <c r="E916" t="s">
        <v>13</v>
      </c>
      <c r="F916" t="s">
        <v>14</v>
      </c>
      <c r="G916">
        <v>62.01</v>
      </c>
      <c r="H916" t="s">
        <v>21</v>
      </c>
      <c r="I916" t="s">
        <v>36</v>
      </c>
      <c r="J916" t="s">
        <v>44</v>
      </c>
    </row>
    <row r="917" spans="1:10" x14ac:dyDescent="0.35">
      <c r="A917" t="s">
        <v>1092</v>
      </c>
      <c r="B917" s="10">
        <v>45822</v>
      </c>
      <c r="C917" t="s">
        <v>88</v>
      </c>
      <c r="D917" t="s">
        <v>54</v>
      </c>
      <c r="E917" t="s">
        <v>74</v>
      </c>
      <c r="F917" t="s">
        <v>54</v>
      </c>
      <c r="G917">
        <v>2725.53</v>
      </c>
      <c r="H917" t="s">
        <v>15</v>
      </c>
      <c r="I917" t="s">
        <v>47</v>
      </c>
      <c r="J917" t="s">
        <v>89</v>
      </c>
    </row>
    <row r="918" spans="1:10" x14ac:dyDescent="0.35">
      <c r="A918" t="s">
        <v>1093</v>
      </c>
      <c r="B918" s="10">
        <v>45823</v>
      </c>
      <c r="C918" t="s">
        <v>63</v>
      </c>
      <c r="D918" t="s">
        <v>54</v>
      </c>
      <c r="E918" t="s">
        <v>64</v>
      </c>
      <c r="F918" t="s">
        <v>54</v>
      </c>
      <c r="G918">
        <v>346.4</v>
      </c>
      <c r="H918" t="s">
        <v>15</v>
      </c>
      <c r="I918" t="s">
        <v>22</v>
      </c>
      <c r="J918" t="s">
        <v>65</v>
      </c>
    </row>
    <row r="919" spans="1:10" x14ac:dyDescent="0.35">
      <c r="A919" t="s">
        <v>1094</v>
      </c>
      <c r="B919" s="10">
        <v>45823</v>
      </c>
      <c r="C919" t="s">
        <v>121</v>
      </c>
      <c r="D919" t="s">
        <v>34</v>
      </c>
      <c r="E919" t="s">
        <v>122</v>
      </c>
      <c r="F919" t="s">
        <v>14</v>
      </c>
      <c r="G919">
        <v>84.17</v>
      </c>
      <c r="H919" t="s">
        <v>15</v>
      </c>
      <c r="I919" t="s">
        <v>16</v>
      </c>
      <c r="J919" t="s">
        <v>123</v>
      </c>
    </row>
    <row r="920" spans="1:10" x14ac:dyDescent="0.35">
      <c r="A920" t="s">
        <v>1095</v>
      </c>
      <c r="B920" s="10">
        <v>45823</v>
      </c>
      <c r="C920" t="s">
        <v>50</v>
      </c>
      <c r="D920" t="s">
        <v>12</v>
      </c>
      <c r="E920" t="s">
        <v>51</v>
      </c>
      <c r="F920" t="s">
        <v>14</v>
      </c>
      <c r="G920">
        <v>88.02</v>
      </c>
      <c r="H920" t="s">
        <v>15</v>
      </c>
      <c r="I920" t="s">
        <v>22</v>
      </c>
      <c r="J920" t="s">
        <v>44</v>
      </c>
    </row>
    <row r="921" spans="1:10" x14ac:dyDescent="0.35">
      <c r="A921" t="s">
        <v>1096</v>
      </c>
      <c r="B921" s="10">
        <v>45823</v>
      </c>
      <c r="C921" t="s">
        <v>198</v>
      </c>
      <c r="D921" t="s">
        <v>59</v>
      </c>
      <c r="E921" t="s">
        <v>199</v>
      </c>
      <c r="F921" t="s">
        <v>14</v>
      </c>
      <c r="G921">
        <v>114.22</v>
      </c>
      <c r="H921" t="s">
        <v>15</v>
      </c>
      <c r="I921" t="s">
        <v>36</v>
      </c>
      <c r="J921" t="s">
        <v>61</v>
      </c>
    </row>
    <row r="922" spans="1:10" x14ac:dyDescent="0.35">
      <c r="A922" t="s">
        <v>1097</v>
      </c>
      <c r="B922" s="10">
        <v>45823</v>
      </c>
      <c r="C922" t="s">
        <v>111</v>
      </c>
      <c r="D922" t="s">
        <v>12</v>
      </c>
      <c r="E922" t="s">
        <v>26</v>
      </c>
      <c r="F922" t="s">
        <v>14</v>
      </c>
      <c r="G922">
        <v>17.149999999999999</v>
      </c>
      <c r="H922" t="s">
        <v>15</v>
      </c>
      <c r="I922" t="s">
        <v>22</v>
      </c>
      <c r="J922" t="s">
        <v>23</v>
      </c>
    </row>
    <row r="923" spans="1:10" x14ac:dyDescent="0.35">
      <c r="A923" t="s">
        <v>1098</v>
      </c>
      <c r="B923" s="10">
        <v>45823</v>
      </c>
      <c r="C923" t="s">
        <v>138</v>
      </c>
      <c r="D923" t="s">
        <v>12</v>
      </c>
      <c r="E923" t="s">
        <v>26</v>
      </c>
      <c r="F923" t="s">
        <v>14</v>
      </c>
      <c r="G923">
        <v>29.23</v>
      </c>
      <c r="H923" t="s">
        <v>15</v>
      </c>
      <c r="I923" t="s">
        <v>22</v>
      </c>
      <c r="J923" t="s">
        <v>77</v>
      </c>
    </row>
    <row r="924" spans="1:10" x14ac:dyDescent="0.35">
      <c r="A924" t="s">
        <v>1099</v>
      </c>
      <c r="B924" s="10">
        <v>45823</v>
      </c>
      <c r="C924" t="s">
        <v>184</v>
      </c>
      <c r="D924" t="s">
        <v>59</v>
      </c>
      <c r="E924" t="s">
        <v>185</v>
      </c>
      <c r="F924" t="s">
        <v>14</v>
      </c>
      <c r="G924">
        <v>206.65</v>
      </c>
      <c r="H924" t="s">
        <v>21</v>
      </c>
      <c r="I924" t="s">
        <v>47</v>
      </c>
      <c r="J924" t="s">
        <v>61</v>
      </c>
    </row>
    <row r="925" spans="1:10" x14ac:dyDescent="0.35">
      <c r="A925" t="s">
        <v>1100</v>
      </c>
      <c r="B925" s="10">
        <v>45824</v>
      </c>
      <c r="C925" t="s">
        <v>464</v>
      </c>
      <c r="D925" t="s">
        <v>34</v>
      </c>
      <c r="E925" t="s">
        <v>122</v>
      </c>
      <c r="F925" t="s">
        <v>14</v>
      </c>
      <c r="G925">
        <v>170.25</v>
      </c>
      <c r="H925" t="s">
        <v>15</v>
      </c>
      <c r="I925" t="s">
        <v>22</v>
      </c>
      <c r="J925" t="s">
        <v>239</v>
      </c>
    </row>
    <row r="926" spans="1:10" x14ac:dyDescent="0.35">
      <c r="A926" t="s">
        <v>1101</v>
      </c>
      <c r="B926" s="10">
        <v>45824</v>
      </c>
      <c r="C926" t="s">
        <v>11</v>
      </c>
      <c r="D926" t="s">
        <v>12</v>
      </c>
      <c r="E926" t="s">
        <v>13</v>
      </c>
      <c r="F926" t="s">
        <v>14</v>
      </c>
      <c r="G926">
        <v>29.21</v>
      </c>
      <c r="H926" t="s">
        <v>15</v>
      </c>
      <c r="I926" t="s">
        <v>16</v>
      </c>
      <c r="J926" t="s">
        <v>17</v>
      </c>
    </row>
    <row r="927" spans="1:10" x14ac:dyDescent="0.35">
      <c r="A927" t="s">
        <v>1102</v>
      </c>
      <c r="B927" s="10">
        <v>45824</v>
      </c>
      <c r="C927" t="s">
        <v>153</v>
      </c>
      <c r="D927" t="s">
        <v>34</v>
      </c>
      <c r="E927" t="s">
        <v>122</v>
      </c>
      <c r="F927" t="s">
        <v>14</v>
      </c>
      <c r="G927">
        <v>131.94</v>
      </c>
      <c r="H927" t="s">
        <v>21</v>
      </c>
      <c r="I927" t="s">
        <v>22</v>
      </c>
      <c r="J927" t="s">
        <v>41</v>
      </c>
    </row>
    <row r="928" spans="1:10" x14ac:dyDescent="0.35">
      <c r="A928" t="s">
        <v>1103</v>
      </c>
      <c r="B928" s="10">
        <v>45824</v>
      </c>
      <c r="C928" t="s">
        <v>76</v>
      </c>
      <c r="D928" t="s">
        <v>12</v>
      </c>
      <c r="E928" t="s">
        <v>13</v>
      </c>
      <c r="F928" t="s">
        <v>14</v>
      </c>
      <c r="G928">
        <v>45.2</v>
      </c>
      <c r="H928" t="s">
        <v>15</v>
      </c>
      <c r="I928" t="s">
        <v>16</v>
      </c>
      <c r="J928" t="s">
        <v>77</v>
      </c>
    </row>
    <row r="929" spans="1:10" x14ac:dyDescent="0.35">
      <c r="A929" t="s">
        <v>1104</v>
      </c>
      <c r="B929" s="10">
        <v>45825</v>
      </c>
      <c r="C929" t="s">
        <v>73</v>
      </c>
      <c r="D929" t="s">
        <v>54</v>
      </c>
      <c r="E929" t="s">
        <v>74</v>
      </c>
      <c r="F929" t="s">
        <v>54</v>
      </c>
      <c r="G929">
        <v>2774.24</v>
      </c>
      <c r="H929" t="s">
        <v>98</v>
      </c>
      <c r="I929" t="s">
        <v>22</v>
      </c>
      <c r="J929" t="s">
        <v>65</v>
      </c>
    </row>
    <row r="930" spans="1:10" x14ac:dyDescent="0.35">
      <c r="A930" t="s">
        <v>1105</v>
      </c>
      <c r="B930" s="10">
        <v>45825</v>
      </c>
      <c r="C930" t="s">
        <v>76</v>
      </c>
      <c r="D930" t="s">
        <v>12</v>
      </c>
      <c r="E930" t="s">
        <v>13</v>
      </c>
      <c r="F930" t="s">
        <v>14</v>
      </c>
      <c r="G930">
        <v>39.21</v>
      </c>
      <c r="H930" t="s">
        <v>15</v>
      </c>
      <c r="I930" t="s">
        <v>22</v>
      </c>
      <c r="J930" t="s">
        <v>77</v>
      </c>
    </row>
    <row r="931" spans="1:10" x14ac:dyDescent="0.35">
      <c r="A931" t="s">
        <v>1106</v>
      </c>
      <c r="B931" s="10">
        <v>45825</v>
      </c>
      <c r="C931" t="s">
        <v>50</v>
      </c>
      <c r="D931" t="s">
        <v>12</v>
      </c>
      <c r="E931" t="s">
        <v>51</v>
      </c>
      <c r="F931" t="s">
        <v>14</v>
      </c>
      <c r="G931">
        <v>36.25</v>
      </c>
      <c r="H931" t="s">
        <v>15</v>
      </c>
      <c r="I931" t="s">
        <v>22</v>
      </c>
      <c r="J931" t="s">
        <v>44</v>
      </c>
    </row>
    <row r="932" spans="1:10" x14ac:dyDescent="0.35">
      <c r="A932" t="s">
        <v>1107</v>
      </c>
      <c r="B932" s="10">
        <v>45825</v>
      </c>
      <c r="C932" t="s">
        <v>256</v>
      </c>
      <c r="D932" t="s">
        <v>34</v>
      </c>
      <c r="E932" t="s">
        <v>40</v>
      </c>
      <c r="F932" t="s">
        <v>14</v>
      </c>
      <c r="G932">
        <v>347.74</v>
      </c>
      <c r="H932" t="s">
        <v>15</v>
      </c>
      <c r="I932" t="s">
        <v>22</v>
      </c>
      <c r="J932" t="s">
        <v>239</v>
      </c>
    </row>
    <row r="933" spans="1:10" x14ac:dyDescent="0.35">
      <c r="A933" t="s">
        <v>1108</v>
      </c>
      <c r="B933" s="10">
        <v>45825</v>
      </c>
      <c r="C933" t="s">
        <v>19</v>
      </c>
      <c r="D933" t="s">
        <v>12</v>
      </c>
      <c r="E933" t="s">
        <v>13</v>
      </c>
      <c r="F933" t="s">
        <v>14</v>
      </c>
      <c r="G933">
        <v>64.09</v>
      </c>
      <c r="H933" t="s">
        <v>21</v>
      </c>
      <c r="I933" t="s">
        <v>36</v>
      </c>
      <c r="J933" t="s">
        <v>23</v>
      </c>
    </row>
    <row r="934" spans="1:10" x14ac:dyDescent="0.35">
      <c r="A934" t="s">
        <v>1109</v>
      </c>
      <c r="B934" s="10">
        <v>45825</v>
      </c>
      <c r="C934" t="s">
        <v>53</v>
      </c>
      <c r="D934" t="s">
        <v>54</v>
      </c>
      <c r="E934" t="s">
        <v>55</v>
      </c>
      <c r="F934" t="s">
        <v>54</v>
      </c>
      <c r="G934">
        <v>705.91</v>
      </c>
      <c r="H934" t="s">
        <v>21</v>
      </c>
      <c r="I934" t="s">
        <v>47</v>
      </c>
      <c r="J934" t="s">
        <v>56</v>
      </c>
    </row>
    <row r="935" spans="1:10" x14ac:dyDescent="0.35">
      <c r="A935" t="s">
        <v>1110</v>
      </c>
      <c r="B935" s="10">
        <v>45826</v>
      </c>
      <c r="C935" t="s">
        <v>19</v>
      </c>
      <c r="D935" t="s">
        <v>12</v>
      </c>
      <c r="E935" t="s">
        <v>13</v>
      </c>
      <c r="F935" t="s">
        <v>14</v>
      </c>
      <c r="G935">
        <v>49.47</v>
      </c>
      <c r="H935" t="s">
        <v>21</v>
      </c>
      <c r="I935" t="s">
        <v>36</v>
      </c>
      <c r="J935" t="s">
        <v>23</v>
      </c>
    </row>
    <row r="936" spans="1:10" x14ac:dyDescent="0.35">
      <c r="A936" t="s">
        <v>1111</v>
      </c>
      <c r="B936" s="10">
        <v>45826</v>
      </c>
      <c r="C936" t="s">
        <v>331</v>
      </c>
      <c r="D936" t="s">
        <v>29</v>
      </c>
      <c r="E936" t="s">
        <v>95</v>
      </c>
      <c r="F936" t="s">
        <v>14</v>
      </c>
      <c r="G936">
        <v>51.4</v>
      </c>
      <c r="H936" t="s">
        <v>15</v>
      </c>
      <c r="I936" t="s">
        <v>36</v>
      </c>
      <c r="J936" t="s">
        <v>151</v>
      </c>
    </row>
    <row r="937" spans="1:10" x14ac:dyDescent="0.35">
      <c r="A937" t="s">
        <v>1112</v>
      </c>
      <c r="B937" s="10">
        <v>45826</v>
      </c>
      <c r="C937" t="s">
        <v>210</v>
      </c>
      <c r="D937" t="s">
        <v>59</v>
      </c>
      <c r="E937" t="s">
        <v>185</v>
      </c>
      <c r="F937" t="s">
        <v>14</v>
      </c>
      <c r="G937">
        <v>65</v>
      </c>
      <c r="H937" t="s">
        <v>21</v>
      </c>
      <c r="I937" t="s">
        <v>22</v>
      </c>
      <c r="J937" t="s">
        <v>211</v>
      </c>
    </row>
    <row r="938" spans="1:10" x14ac:dyDescent="0.35">
      <c r="A938" t="s">
        <v>1113</v>
      </c>
      <c r="B938" s="10">
        <v>45826</v>
      </c>
      <c r="C938" t="s">
        <v>25</v>
      </c>
      <c r="D938" t="s">
        <v>12</v>
      </c>
      <c r="E938" t="s">
        <v>26</v>
      </c>
      <c r="F938" t="s">
        <v>14</v>
      </c>
      <c r="G938">
        <v>21.56</v>
      </c>
      <c r="H938" t="s">
        <v>21</v>
      </c>
      <c r="I938" t="s">
        <v>84</v>
      </c>
      <c r="J938" t="s">
        <v>17</v>
      </c>
    </row>
    <row r="939" spans="1:10" x14ac:dyDescent="0.35">
      <c r="A939" t="s">
        <v>1114</v>
      </c>
      <c r="B939" s="10">
        <v>45827</v>
      </c>
      <c r="C939" t="s">
        <v>177</v>
      </c>
      <c r="D939" t="s">
        <v>54</v>
      </c>
      <c r="E939" t="s">
        <v>74</v>
      </c>
      <c r="F939" t="s">
        <v>54</v>
      </c>
      <c r="G939">
        <v>2678.13</v>
      </c>
      <c r="H939" t="s">
        <v>15</v>
      </c>
      <c r="I939" t="s">
        <v>47</v>
      </c>
      <c r="J939" t="s">
        <v>56</v>
      </c>
    </row>
    <row r="940" spans="1:10" x14ac:dyDescent="0.35">
      <c r="A940" t="s">
        <v>1115</v>
      </c>
      <c r="B940" s="10">
        <v>45827</v>
      </c>
      <c r="C940" t="s">
        <v>298</v>
      </c>
      <c r="D940" t="s">
        <v>59</v>
      </c>
      <c r="E940" t="s">
        <v>185</v>
      </c>
      <c r="F940" t="s">
        <v>14</v>
      </c>
      <c r="G940">
        <v>98.13</v>
      </c>
      <c r="H940" t="s">
        <v>15</v>
      </c>
      <c r="I940" t="s">
        <v>16</v>
      </c>
      <c r="J940" t="s">
        <v>170</v>
      </c>
    </row>
    <row r="941" spans="1:10" x14ac:dyDescent="0.35">
      <c r="A941" t="s">
        <v>1116</v>
      </c>
      <c r="B941" s="10">
        <v>45827</v>
      </c>
      <c r="C941" t="s">
        <v>415</v>
      </c>
      <c r="D941" t="s">
        <v>12</v>
      </c>
      <c r="E941" t="s">
        <v>51</v>
      </c>
      <c r="F941" t="s">
        <v>14</v>
      </c>
      <c r="G941">
        <v>154.61000000000001</v>
      </c>
      <c r="H941" t="s">
        <v>21</v>
      </c>
      <c r="I941" t="s">
        <v>22</v>
      </c>
      <c r="J941" t="s">
        <v>77</v>
      </c>
    </row>
    <row r="942" spans="1:10" x14ac:dyDescent="0.35">
      <c r="A942" t="s">
        <v>1117</v>
      </c>
      <c r="B942" s="10">
        <v>45827</v>
      </c>
      <c r="C942" t="s">
        <v>160</v>
      </c>
      <c r="D942" t="s">
        <v>80</v>
      </c>
      <c r="E942" t="s">
        <v>117</v>
      </c>
      <c r="F942" t="s">
        <v>14</v>
      </c>
      <c r="G942">
        <v>90.79</v>
      </c>
      <c r="H942" t="s">
        <v>15</v>
      </c>
      <c r="I942" t="s">
        <v>47</v>
      </c>
      <c r="J942" t="s">
        <v>161</v>
      </c>
    </row>
    <row r="943" spans="1:10" x14ac:dyDescent="0.35">
      <c r="A943" t="s">
        <v>1118</v>
      </c>
      <c r="B943" s="10">
        <v>45827</v>
      </c>
      <c r="C943" t="s">
        <v>46</v>
      </c>
      <c r="D943" t="s">
        <v>12</v>
      </c>
      <c r="E943" t="s">
        <v>13</v>
      </c>
      <c r="F943" t="s">
        <v>14</v>
      </c>
      <c r="G943">
        <v>46.96</v>
      </c>
      <c r="H943" t="s">
        <v>21</v>
      </c>
      <c r="I943" t="s">
        <v>36</v>
      </c>
      <c r="J943" t="s">
        <v>48</v>
      </c>
    </row>
    <row r="944" spans="1:10" x14ac:dyDescent="0.35">
      <c r="A944" t="s">
        <v>1119</v>
      </c>
      <c r="B944" s="10">
        <v>45827</v>
      </c>
      <c r="C944" t="s">
        <v>155</v>
      </c>
      <c r="D944" t="s">
        <v>12</v>
      </c>
      <c r="E944" t="s">
        <v>51</v>
      </c>
      <c r="F944" t="s">
        <v>14</v>
      </c>
      <c r="G944">
        <v>53.59</v>
      </c>
      <c r="H944" t="s">
        <v>15</v>
      </c>
      <c r="I944" t="s">
        <v>22</v>
      </c>
      <c r="J944" t="s">
        <v>48</v>
      </c>
    </row>
    <row r="945" spans="1:10" x14ac:dyDescent="0.35">
      <c r="A945" t="s">
        <v>1120</v>
      </c>
      <c r="B945" s="10">
        <v>45828</v>
      </c>
      <c r="C945" t="s">
        <v>73</v>
      </c>
      <c r="D945" t="s">
        <v>54</v>
      </c>
      <c r="E945" t="s">
        <v>74</v>
      </c>
      <c r="F945" t="s">
        <v>54</v>
      </c>
      <c r="G945">
        <v>2032.33</v>
      </c>
      <c r="H945" t="s">
        <v>21</v>
      </c>
      <c r="I945" t="s">
        <v>22</v>
      </c>
      <c r="J945" t="s">
        <v>65</v>
      </c>
    </row>
    <row r="946" spans="1:10" x14ac:dyDescent="0.35">
      <c r="A946" t="s">
        <v>1121</v>
      </c>
      <c r="B946" s="10">
        <v>45828</v>
      </c>
      <c r="C946" t="s">
        <v>875</v>
      </c>
      <c r="D946" t="s">
        <v>69</v>
      </c>
      <c r="E946" t="s">
        <v>291</v>
      </c>
      <c r="F946" t="s">
        <v>14</v>
      </c>
      <c r="G946">
        <v>308.99</v>
      </c>
      <c r="H946" t="s">
        <v>15</v>
      </c>
      <c r="I946" t="s">
        <v>22</v>
      </c>
      <c r="J946" t="s">
        <v>133</v>
      </c>
    </row>
    <row r="947" spans="1:10" x14ac:dyDescent="0.35">
      <c r="A947" t="s">
        <v>1122</v>
      </c>
      <c r="B947" s="10">
        <v>45828</v>
      </c>
      <c r="C947" t="s">
        <v>464</v>
      </c>
      <c r="D947" t="s">
        <v>34</v>
      </c>
      <c r="E947" t="s">
        <v>122</v>
      </c>
      <c r="F947" t="s">
        <v>14</v>
      </c>
      <c r="G947">
        <v>41.57</v>
      </c>
      <c r="H947" t="s">
        <v>21</v>
      </c>
      <c r="I947" t="s">
        <v>22</v>
      </c>
      <c r="J947" t="s">
        <v>239</v>
      </c>
    </row>
    <row r="948" spans="1:10" x14ac:dyDescent="0.35">
      <c r="A948" t="s">
        <v>1123</v>
      </c>
      <c r="B948" s="10">
        <v>45828</v>
      </c>
      <c r="C948" t="s">
        <v>424</v>
      </c>
      <c r="D948" t="s">
        <v>101</v>
      </c>
      <c r="E948" t="s">
        <v>136</v>
      </c>
      <c r="F948" t="s">
        <v>14</v>
      </c>
      <c r="G948">
        <v>23.93</v>
      </c>
      <c r="H948" t="s">
        <v>15</v>
      </c>
      <c r="I948" t="s">
        <v>22</v>
      </c>
      <c r="J948" t="s">
        <v>102</v>
      </c>
    </row>
    <row r="949" spans="1:10" x14ac:dyDescent="0.35">
      <c r="A949" t="s">
        <v>1124</v>
      </c>
      <c r="B949" s="10">
        <v>45828</v>
      </c>
      <c r="C949" t="s">
        <v>50</v>
      </c>
      <c r="D949" t="s">
        <v>12</v>
      </c>
      <c r="E949" t="s">
        <v>51</v>
      </c>
      <c r="F949" t="s">
        <v>14</v>
      </c>
      <c r="G949">
        <v>41.07</v>
      </c>
      <c r="H949" t="s">
        <v>21</v>
      </c>
      <c r="I949" t="s">
        <v>22</v>
      </c>
      <c r="J949" t="s">
        <v>44</v>
      </c>
    </row>
    <row r="950" spans="1:10" x14ac:dyDescent="0.35">
      <c r="A950" t="s">
        <v>1125</v>
      </c>
      <c r="B950" s="10">
        <v>45829</v>
      </c>
      <c r="C950" t="s">
        <v>192</v>
      </c>
      <c r="D950" t="s">
        <v>80</v>
      </c>
      <c r="E950" t="s">
        <v>92</v>
      </c>
      <c r="F950" t="s">
        <v>14</v>
      </c>
      <c r="G950">
        <v>69.599999999999994</v>
      </c>
      <c r="H950" t="s">
        <v>15</v>
      </c>
      <c r="I950" t="s">
        <v>36</v>
      </c>
      <c r="J950" t="s">
        <v>180</v>
      </c>
    </row>
    <row r="951" spans="1:10" x14ac:dyDescent="0.35">
      <c r="A951" t="s">
        <v>1126</v>
      </c>
      <c r="B951" s="10">
        <v>45829</v>
      </c>
      <c r="C951" t="s">
        <v>415</v>
      </c>
      <c r="D951" t="s">
        <v>12</v>
      </c>
      <c r="E951" t="s">
        <v>51</v>
      </c>
      <c r="F951" t="s">
        <v>14</v>
      </c>
      <c r="G951">
        <v>110.17</v>
      </c>
      <c r="H951" t="s">
        <v>21</v>
      </c>
      <c r="I951" t="s">
        <v>22</v>
      </c>
      <c r="J951" t="s">
        <v>77</v>
      </c>
    </row>
    <row r="952" spans="1:10" x14ac:dyDescent="0.35">
      <c r="A952" t="s">
        <v>1127</v>
      </c>
      <c r="B952" s="10">
        <v>45829</v>
      </c>
      <c r="C952" t="s">
        <v>308</v>
      </c>
      <c r="D952" t="s">
        <v>54</v>
      </c>
      <c r="E952" t="s">
        <v>64</v>
      </c>
      <c r="F952" t="s">
        <v>54</v>
      </c>
      <c r="G952">
        <v>314.3</v>
      </c>
      <c r="H952" t="s">
        <v>15</v>
      </c>
      <c r="I952" t="s">
        <v>16</v>
      </c>
      <c r="J952" t="s">
        <v>89</v>
      </c>
    </row>
    <row r="953" spans="1:10" x14ac:dyDescent="0.35">
      <c r="A953" t="s">
        <v>1128</v>
      </c>
      <c r="B953" s="10">
        <v>45829</v>
      </c>
      <c r="C953" t="s">
        <v>140</v>
      </c>
      <c r="D953" t="s">
        <v>80</v>
      </c>
      <c r="E953" t="s">
        <v>81</v>
      </c>
      <c r="F953" t="s">
        <v>14</v>
      </c>
      <c r="G953">
        <v>36.79</v>
      </c>
      <c r="H953" t="s">
        <v>15</v>
      </c>
      <c r="I953" t="s">
        <v>47</v>
      </c>
      <c r="J953" t="s">
        <v>141</v>
      </c>
    </row>
    <row r="954" spans="1:10" x14ac:dyDescent="0.35">
      <c r="A954" t="s">
        <v>1129</v>
      </c>
      <c r="B954" s="10">
        <v>45829</v>
      </c>
      <c r="C954" t="s">
        <v>238</v>
      </c>
      <c r="D954" t="s">
        <v>34</v>
      </c>
      <c r="E954" t="s">
        <v>35</v>
      </c>
      <c r="F954" t="s">
        <v>14</v>
      </c>
      <c r="G954">
        <v>114.96</v>
      </c>
      <c r="H954" t="s">
        <v>15</v>
      </c>
      <c r="I954" t="s">
        <v>22</v>
      </c>
      <c r="J954" t="s">
        <v>239</v>
      </c>
    </row>
    <row r="955" spans="1:10" x14ac:dyDescent="0.35">
      <c r="A955" t="s">
        <v>1130</v>
      </c>
      <c r="B955" s="10">
        <v>45829</v>
      </c>
      <c r="C955" t="s">
        <v>73</v>
      </c>
      <c r="D955" t="s">
        <v>54</v>
      </c>
      <c r="E955" t="s">
        <v>74</v>
      </c>
      <c r="F955" t="s">
        <v>54</v>
      </c>
      <c r="G955">
        <v>2339.5300000000002</v>
      </c>
      <c r="H955" t="s">
        <v>15</v>
      </c>
      <c r="I955" t="s">
        <v>36</v>
      </c>
      <c r="J955" t="s">
        <v>65</v>
      </c>
    </row>
    <row r="956" spans="1:10" x14ac:dyDescent="0.35">
      <c r="A956" t="s">
        <v>1131</v>
      </c>
      <c r="B956" s="10">
        <v>45830</v>
      </c>
      <c r="C956" t="s">
        <v>580</v>
      </c>
      <c r="D956" t="s">
        <v>80</v>
      </c>
      <c r="E956" t="s">
        <v>81</v>
      </c>
      <c r="F956" t="s">
        <v>14</v>
      </c>
      <c r="G956">
        <v>85.82</v>
      </c>
      <c r="H956" t="s">
        <v>15</v>
      </c>
      <c r="I956" t="s">
        <v>22</v>
      </c>
      <c r="J956" t="s">
        <v>118</v>
      </c>
    </row>
    <row r="957" spans="1:10" x14ac:dyDescent="0.35">
      <c r="A957" t="s">
        <v>1132</v>
      </c>
      <c r="B957" s="10">
        <v>45830</v>
      </c>
      <c r="C957" t="s">
        <v>155</v>
      </c>
      <c r="D957" t="s">
        <v>12</v>
      </c>
      <c r="E957" t="s">
        <v>51</v>
      </c>
      <c r="F957" t="s">
        <v>14</v>
      </c>
      <c r="G957">
        <v>32.56</v>
      </c>
      <c r="H957" t="s">
        <v>15</v>
      </c>
      <c r="I957" t="s">
        <v>22</v>
      </c>
      <c r="J957" t="s">
        <v>48</v>
      </c>
    </row>
    <row r="958" spans="1:10" x14ac:dyDescent="0.35">
      <c r="A958" t="s">
        <v>1133</v>
      </c>
      <c r="B958" s="10">
        <v>45830</v>
      </c>
      <c r="C958" t="s">
        <v>272</v>
      </c>
      <c r="D958" t="s">
        <v>54</v>
      </c>
      <c r="E958" t="s">
        <v>55</v>
      </c>
      <c r="F958" t="s">
        <v>54</v>
      </c>
      <c r="G958">
        <v>698.3</v>
      </c>
      <c r="H958" t="s">
        <v>15</v>
      </c>
      <c r="I958" t="s">
        <v>16</v>
      </c>
      <c r="J958" t="s">
        <v>65</v>
      </c>
    </row>
    <row r="959" spans="1:10" x14ac:dyDescent="0.35">
      <c r="A959" t="s">
        <v>1134</v>
      </c>
      <c r="B959" s="10">
        <v>45830</v>
      </c>
      <c r="C959" t="s">
        <v>229</v>
      </c>
      <c r="D959" t="s">
        <v>54</v>
      </c>
      <c r="E959" t="s">
        <v>64</v>
      </c>
      <c r="F959" t="s">
        <v>54</v>
      </c>
      <c r="G959">
        <v>341.32</v>
      </c>
      <c r="H959" t="s">
        <v>15</v>
      </c>
      <c r="I959" t="s">
        <v>22</v>
      </c>
      <c r="J959" t="s">
        <v>56</v>
      </c>
    </row>
    <row r="960" spans="1:10" x14ac:dyDescent="0.35">
      <c r="A960" t="s">
        <v>1135</v>
      </c>
      <c r="B960" s="10">
        <v>45830</v>
      </c>
      <c r="C960" t="s">
        <v>267</v>
      </c>
      <c r="D960" t="s">
        <v>29</v>
      </c>
      <c r="E960" t="s">
        <v>30</v>
      </c>
      <c r="F960" t="s">
        <v>14</v>
      </c>
      <c r="G960">
        <v>22.11</v>
      </c>
      <c r="H960" t="s">
        <v>21</v>
      </c>
      <c r="I960" t="s">
        <v>22</v>
      </c>
      <c r="J960" t="s">
        <v>96</v>
      </c>
    </row>
    <row r="961" spans="1:10" x14ac:dyDescent="0.35">
      <c r="A961" t="s">
        <v>1136</v>
      </c>
      <c r="B961" s="10">
        <v>45830</v>
      </c>
      <c r="C961" t="s">
        <v>43</v>
      </c>
      <c r="D961" t="s">
        <v>12</v>
      </c>
      <c r="E961" t="s">
        <v>26</v>
      </c>
      <c r="F961" t="s">
        <v>14</v>
      </c>
      <c r="G961">
        <v>45.12</v>
      </c>
      <c r="H961" t="s">
        <v>21</v>
      </c>
      <c r="I961" t="s">
        <v>22</v>
      </c>
      <c r="J961" t="s">
        <v>44</v>
      </c>
    </row>
    <row r="962" spans="1:10" x14ac:dyDescent="0.35">
      <c r="A962" t="s">
        <v>1137</v>
      </c>
      <c r="B962" s="10">
        <v>45831</v>
      </c>
      <c r="C962" t="s">
        <v>130</v>
      </c>
      <c r="D962" t="s">
        <v>12</v>
      </c>
      <c r="E962" t="s">
        <v>26</v>
      </c>
      <c r="F962" t="s">
        <v>14</v>
      </c>
      <c r="G962">
        <v>19.12</v>
      </c>
      <c r="H962" t="s">
        <v>15</v>
      </c>
      <c r="I962" t="s">
        <v>36</v>
      </c>
      <c r="J962" t="s">
        <v>48</v>
      </c>
    </row>
    <row r="963" spans="1:10" x14ac:dyDescent="0.35">
      <c r="A963" t="s">
        <v>1138</v>
      </c>
      <c r="B963" s="10">
        <v>45831</v>
      </c>
      <c r="C963" t="s">
        <v>194</v>
      </c>
      <c r="D963" t="s">
        <v>101</v>
      </c>
      <c r="E963" t="s">
        <v>136</v>
      </c>
      <c r="F963" t="s">
        <v>14</v>
      </c>
      <c r="G963">
        <v>121.38</v>
      </c>
      <c r="H963" t="s">
        <v>15</v>
      </c>
      <c r="I963" t="s">
        <v>36</v>
      </c>
      <c r="J963" t="s">
        <v>103</v>
      </c>
    </row>
    <row r="964" spans="1:10" x14ac:dyDescent="0.35">
      <c r="A964" t="s">
        <v>1139</v>
      </c>
      <c r="B964" s="10">
        <v>45831</v>
      </c>
      <c r="C964" t="s">
        <v>184</v>
      </c>
      <c r="D964" t="s">
        <v>59</v>
      </c>
      <c r="E964" t="s">
        <v>185</v>
      </c>
      <c r="F964" t="s">
        <v>14</v>
      </c>
      <c r="G964">
        <v>75.92</v>
      </c>
      <c r="H964" t="s">
        <v>15</v>
      </c>
      <c r="I964" t="s">
        <v>22</v>
      </c>
      <c r="J964" t="s">
        <v>61</v>
      </c>
    </row>
    <row r="965" spans="1:10" x14ac:dyDescent="0.35">
      <c r="A965" t="s">
        <v>1140</v>
      </c>
      <c r="B965" s="10">
        <v>45831</v>
      </c>
      <c r="C965" t="s">
        <v>331</v>
      </c>
      <c r="D965" t="s">
        <v>29</v>
      </c>
      <c r="E965" t="s">
        <v>95</v>
      </c>
      <c r="F965" t="s">
        <v>14</v>
      </c>
      <c r="G965">
        <v>38.74</v>
      </c>
      <c r="H965" t="s">
        <v>15</v>
      </c>
      <c r="I965" t="s">
        <v>22</v>
      </c>
      <c r="J965" t="s">
        <v>151</v>
      </c>
    </row>
    <row r="966" spans="1:10" x14ac:dyDescent="0.35">
      <c r="A966" t="s">
        <v>1141</v>
      </c>
      <c r="B966" s="10">
        <v>45831</v>
      </c>
      <c r="C966" t="s">
        <v>116</v>
      </c>
      <c r="D966" t="s">
        <v>80</v>
      </c>
      <c r="E966" t="s">
        <v>117</v>
      </c>
      <c r="F966" t="s">
        <v>14</v>
      </c>
      <c r="G966">
        <v>73.91</v>
      </c>
      <c r="H966" t="s">
        <v>21</v>
      </c>
      <c r="I966" t="s">
        <v>16</v>
      </c>
      <c r="J966" t="s">
        <v>118</v>
      </c>
    </row>
    <row r="967" spans="1:10" x14ac:dyDescent="0.35">
      <c r="A967" t="s">
        <v>1142</v>
      </c>
      <c r="B967" s="10">
        <v>45831</v>
      </c>
      <c r="C967" t="s">
        <v>46</v>
      </c>
      <c r="D967" t="s">
        <v>12</v>
      </c>
      <c r="E967" t="s">
        <v>13</v>
      </c>
      <c r="F967" t="s">
        <v>14</v>
      </c>
      <c r="G967">
        <v>180</v>
      </c>
      <c r="H967" t="s">
        <v>15</v>
      </c>
      <c r="I967" t="s">
        <v>47</v>
      </c>
      <c r="J967" t="s">
        <v>48</v>
      </c>
    </row>
    <row r="968" spans="1:10" x14ac:dyDescent="0.35">
      <c r="A968" t="s">
        <v>1143</v>
      </c>
      <c r="B968" s="10">
        <v>45831</v>
      </c>
      <c r="C968" t="s">
        <v>46</v>
      </c>
      <c r="D968" t="s">
        <v>12</v>
      </c>
      <c r="E968" t="s">
        <v>13</v>
      </c>
      <c r="F968" t="s">
        <v>14</v>
      </c>
      <c r="G968">
        <v>81.41</v>
      </c>
      <c r="H968" t="s">
        <v>98</v>
      </c>
      <c r="I968" t="s">
        <v>47</v>
      </c>
      <c r="J968" t="s">
        <v>48</v>
      </c>
    </row>
    <row r="969" spans="1:10" x14ac:dyDescent="0.35">
      <c r="A969" t="s">
        <v>1144</v>
      </c>
      <c r="B969" s="10">
        <v>45832</v>
      </c>
      <c r="C969" t="s">
        <v>88</v>
      </c>
      <c r="D969" t="s">
        <v>54</v>
      </c>
      <c r="E969" t="s">
        <v>74</v>
      </c>
      <c r="F969" t="s">
        <v>54</v>
      </c>
      <c r="G969">
        <v>2146.12</v>
      </c>
      <c r="H969" t="s">
        <v>15</v>
      </c>
      <c r="I969" t="s">
        <v>36</v>
      </c>
      <c r="J969" t="s">
        <v>89</v>
      </c>
    </row>
    <row r="970" spans="1:10" x14ac:dyDescent="0.35">
      <c r="A970" t="s">
        <v>1145</v>
      </c>
      <c r="B970" s="10">
        <v>45832</v>
      </c>
      <c r="C970" t="s">
        <v>88</v>
      </c>
      <c r="D970" t="s">
        <v>54</v>
      </c>
      <c r="E970" t="s">
        <v>74</v>
      </c>
      <c r="F970" t="s">
        <v>54</v>
      </c>
      <c r="G970">
        <v>2364.11</v>
      </c>
      <c r="H970" t="s">
        <v>98</v>
      </c>
      <c r="I970" t="s">
        <v>36</v>
      </c>
      <c r="J970" t="s">
        <v>89</v>
      </c>
    </row>
    <row r="971" spans="1:10" x14ac:dyDescent="0.35">
      <c r="A971" t="s">
        <v>1146</v>
      </c>
      <c r="B971" s="10">
        <v>45832</v>
      </c>
      <c r="C971" t="s">
        <v>125</v>
      </c>
      <c r="D971" t="s">
        <v>12</v>
      </c>
      <c r="E971" t="s">
        <v>13</v>
      </c>
      <c r="F971" t="s">
        <v>14</v>
      </c>
      <c r="G971">
        <v>49.58</v>
      </c>
      <c r="H971" t="s">
        <v>15</v>
      </c>
      <c r="I971" t="s">
        <v>22</v>
      </c>
      <c r="J971" t="s">
        <v>44</v>
      </c>
    </row>
    <row r="972" spans="1:10" x14ac:dyDescent="0.35">
      <c r="A972" t="s">
        <v>1147</v>
      </c>
      <c r="B972" s="10">
        <v>45832</v>
      </c>
      <c r="C972" t="s">
        <v>121</v>
      </c>
      <c r="D972" t="s">
        <v>34</v>
      </c>
      <c r="E972" t="s">
        <v>122</v>
      </c>
      <c r="F972" t="s">
        <v>14</v>
      </c>
      <c r="G972">
        <v>317.97000000000003</v>
      </c>
      <c r="H972" t="s">
        <v>15</v>
      </c>
      <c r="I972" t="s">
        <v>22</v>
      </c>
      <c r="J972" t="s">
        <v>123</v>
      </c>
    </row>
    <row r="973" spans="1:10" x14ac:dyDescent="0.35">
      <c r="A973" t="s">
        <v>1148</v>
      </c>
      <c r="B973" s="10">
        <v>45832</v>
      </c>
      <c r="C973" t="s">
        <v>198</v>
      </c>
      <c r="D973" t="s">
        <v>59</v>
      </c>
      <c r="E973" t="s">
        <v>199</v>
      </c>
      <c r="F973" t="s">
        <v>14</v>
      </c>
      <c r="G973">
        <v>53.1</v>
      </c>
      <c r="H973" t="s">
        <v>21</v>
      </c>
      <c r="I973" t="s">
        <v>22</v>
      </c>
      <c r="J973" t="s">
        <v>61</v>
      </c>
    </row>
    <row r="974" spans="1:10" x14ac:dyDescent="0.35">
      <c r="A974" t="s">
        <v>1149</v>
      </c>
      <c r="B974" s="10">
        <v>45833</v>
      </c>
      <c r="C974" t="s">
        <v>25</v>
      </c>
      <c r="D974" t="s">
        <v>12</v>
      </c>
      <c r="E974" t="s">
        <v>26</v>
      </c>
      <c r="F974" t="s">
        <v>14</v>
      </c>
      <c r="G974">
        <v>25.77</v>
      </c>
      <c r="H974" t="s">
        <v>15</v>
      </c>
      <c r="I974" t="s">
        <v>22</v>
      </c>
      <c r="J974" t="s">
        <v>17</v>
      </c>
    </row>
    <row r="975" spans="1:10" x14ac:dyDescent="0.35">
      <c r="A975" t="s">
        <v>1150</v>
      </c>
      <c r="B975" s="10">
        <v>45833</v>
      </c>
      <c r="C975" t="s">
        <v>94</v>
      </c>
      <c r="D975" t="s">
        <v>29</v>
      </c>
      <c r="E975" t="s">
        <v>95</v>
      </c>
      <c r="F975" t="s">
        <v>14</v>
      </c>
      <c r="G975">
        <v>37.72</v>
      </c>
      <c r="H975" t="s">
        <v>15</v>
      </c>
      <c r="I975" t="s">
        <v>22</v>
      </c>
      <c r="J975" t="s">
        <v>96</v>
      </c>
    </row>
    <row r="976" spans="1:10" x14ac:dyDescent="0.35">
      <c r="A976" t="s">
        <v>1151</v>
      </c>
      <c r="B976" s="10">
        <v>45833</v>
      </c>
      <c r="C976" t="s">
        <v>229</v>
      </c>
      <c r="D976" t="s">
        <v>54</v>
      </c>
      <c r="E976" t="s">
        <v>64</v>
      </c>
      <c r="F976" t="s">
        <v>54</v>
      </c>
      <c r="G976">
        <v>329.4</v>
      </c>
      <c r="H976" t="s">
        <v>21</v>
      </c>
      <c r="I976" t="s">
        <v>47</v>
      </c>
      <c r="J976" t="s">
        <v>56</v>
      </c>
    </row>
    <row r="977" spans="1:10" x14ac:dyDescent="0.35">
      <c r="A977" t="s">
        <v>1152</v>
      </c>
      <c r="B977" s="10">
        <v>45833</v>
      </c>
      <c r="C977" t="s">
        <v>298</v>
      </c>
      <c r="D977" t="s">
        <v>59</v>
      </c>
      <c r="E977" t="s">
        <v>185</v>
      </c>
      <c r="F977" t="s">
        <v>14</v>
      </c>
      <c r="G977">
        <v>101.51</v>
      </c>
      <c r="H977" t="s">
        <v>15</v>
      </c>
      <c r="I977" t="s">
        <v>16</v>
      </c>
      <c r="J977" t="s">
        <v>170</v>
      </c>
    </row>
    <row r="978" spans="1:10" x14ac:dyDescent="0.35">
      <c r="A978" t="s">
        <v>1153</v>
      </c>
      <c r="B978" s="10">
        <v>45833</v>
      </c>
      <c r="C978" t="s">
        <v>411</v>
      </c>
      <c r="D978" t="s">
        <v>29</v>
      </c>
      <c r="E978" t="s">
        <v>151</v>
      </c>
      <c r="F978" t="s">
        <v>14</v>
      </c>
      <c r="G978">
        <v>9.17</v>
      </c>
      <c r="H978" t="s">
        <v>15</v>
      </c>
      <c r="I978" t="s">
        <v>47</v>
      </c>
      <c r="J978" t="s">
        <v>151</v>
      </c>
    </row>
    <row r="979" spans="1:10" x14ac:dyDescent="0.35">
      <c r="A979" t="s">
        <v>1154</v>
      </c>
      <c r="B979" s="10">
        <v>45833</v>
      </c>
      <c r="C979" t="s">
        <v>298</v>
      </c>
      <c r="D979" t="s">
        <v>59</v>
      </c>
      <c r="E979" t="s">
        <v>185</v>
      </c>
      <c r="F979" t="s">
        <v>14</v>
      </c>
      <c r="G979">
        <v>237.87</v>
      </c>
      <c r="H979" t="s">
        <v>21</v>
      </c>
      <c r="I979" t="s">
        <v>36</v>
      </c>
      <c r="J979" t="s">
        <v>170</v>
      </c>
    </row>
    <row r="980" spans="1:10" x14ac:dyDescent="0.35">
      <c r="A980" t="s">
        <v>1155</v>
      </c>
      <c r="B980" s="10">
        <v>45833</v>
      </c>
      <c r="C980" t="s">
        <v>53</v>
      </c>
      <c r="D980" t="s">
        <v>54</v>
      </c>
      <c r="E980" t="s">
        <v>55</v>
      </c>
      <c r="F980" t="s">
        <v>54</v>
      </c>
      <c r="G980">
        <v>838.24</v>
      </c>
      <c r="H980" t="s">
        <v>15</v>
      </c>
      <c r="I980" t="s">
        <v>16</v>
      </c>
      <c r="J980" t="s">
        <v>56</v>
      </c>
    </row>
    <row r="981" spans="1:10" x14ac:dyDescent="0.35">
      <c r="A981" t="s">
        <v>1156</v>
      </c>
      <c r="B981" s="10">
        <v>45833</v>
      </c>
      <c r="C981" t="s">
        <v>184</v>
      </c>
      <c r="D981" t="s">
        <v>59</v>
      </c>
      <c r="E981" t="s">
        <v>185</v>
      </c>
      <c r="F981" t="s">
        <v>14</v>
      </c>
      <c r="G981">
        <v>101.91</v>
      </c>
      <c r="H981" t="s">
        <v>15</v>
      </c>
      <c r="I981" t="s">
        <v>36</v>
      </c>
      <c r="J981" t="s">
        <v>61</v>
      </c>
    </row>
    <row r="982" spans="1:10" x14ac:dyDescent="0.35">
      <c r="A982" t="s">
        <v>1157</v>
      </c>
      <c r="B982" s="10">
        <v>45833</v>
      </c>
      <c r="C982" t="s">
        <v>73</v>
      </c>
      <c r="D982" t="s">
        <v>54</v>
      </c>
      <c r="E982" t="s">
        <v>74</v>
      </c>
      <c r="F982" t="s">
        <v>54</v>
      </c>
      <c r="G982">
        <v>2481.52</v>
      </c>
      <c r="H982" t="s">
        <v>15</v>
      </c>
      <c r="I982" t="s">
        <v>22</v>
      </c>
      <c r="J982" t="s">
        <v>65</v>
      </c>
    </row>
    <row r="983" spans="1:10" x14ac:dyDescent="0.35">
      <c r="A983" t="s">
        <v>1158</v>
      </c>
      <c r="B983" s="10">
        <v>45833</v>
      </c>
      <c r="C983" t="s">
        <v>347</v>
      </c>
      <c r="D983" t="s">
        <v>29</v>
      </c>
      <c r="E983" t="s">
        <v>151</v>
      </c>
      <c r="F983" t="s">
        <v>14</v>
      </c>
      <c r="G983">
        <v>9.01</v>
      </c>
      <c r="H983" t="s">
        <v>21</v>
      </c>
      <c r="I983" t="s">
        <v>22</v>
      </c>
      <c r="J983" t="s">
        <v>96</v>
      </c>
    </row>
    <row r="984" spans="1:10" x14ac:dyDescent="0.35">
      <c r="A984" t="s">
        <v>1159</v>
      </c>
      <c r="B984" s="10">
        <v>45834</v>
      </c>
      <c r="C984" t="s">
        <v>232</v>
      </c>
      <c r="D984" t="s">
        <v>69</v>
      </c>
      <c r="E984" t="s">
        <v>233</v>
      </c>
      <c r="F984" t="s">
        <v>14</v>
      </c>
      <c r="G984">
        <v>470.42</v>
      </c>
      <c r="H984" t="s">
        <v>21</v>
      </c>
      <c r="I984" t="s">
        <v>22</v>
      </c>
      <c r="J984" t="s">
        <v>71</v>
      </c>
    </row>
    <row r="985" spans="1:10" x14ac:dyDescent="0.35">
      <c r="A985" t="s">
        <v>1160</v>
      </c>
      <c r="B985" s="10">
        <v>45834</v>
      </c>
      <c r="C985" t="s">
        <v>238</v>
      </c>
      <c r="D985" t="s">
        <v>34</v>
      </c>
      <c r="E985" t="s">
        <v>35</v>
      </c>
      <c r="F985" t="s">
        <v>14</v>
      </c>
      <c r="G985">
        <v>44.17</v>
      </c>
      <c r="H985" t="s">
        <v>15</v>
      </c>
      <c r="I985" t="s">
        <v>22</v>
      </c>
      <c r="J985" t="s">
        <v>239</v>
      </c>
    </row>
    <row r="986" spans="1:10" x14ac:dyDescent="0.35">
      <c r="A986" t="s">
        <v>1161</v>
      </c>
      <c r="B986" s="10">
        <v>45834</v>
      </c>
      <c r="C986" t="s">
        <v>163</v>
      </c>
      <c r="D986" t="s">
        <v>80</v>
      </c>
      <c r="E986" t="s">
        <v>92</v>
      </c>
      <c r="F986" t="s">
        <v>14</v>
      </c>
      <c r="G986">
        <v>44.87</v>
      </c>
      <c r="H986" t="s">
        <v>15</v>
      </c>
      <c r="I986" t="s">
        <v>22</v>
      </c>
      <c r="J986" t="s">
        <v>118</v>
      </c>
    </row>
    <row r="987" spans="1:10" x14ac:dyDescent="0.35">
      <c r="A987" t="s">
        <v>1162</v>
      </c>
      <c r="B987" s="10">
        <v>45834</v>
      </c>
      <c r="C987" t="s">
        <v>155</v>
      </c>
      <c r="D987" t="s">
        <v>12</v>
      </c>
      <c r="E987" t="s">
        <v>51</v>
      </c>
      <c r="F987" t="s">
        <v>14</v>
      </c>
      <c r="G987">
        <v>40.85</v>
      </c>
      <c r="H987" t="s">
        <v>98</v>
      </c>
      <c r="I987" t="s">
        <v>22</v>
      </c>
      <c r="J987" t="s">
        <v>48</v>
      </c>
    </row>
    <row r="988" spans="1:10" x14ac:dyDescent="0.35">
      <c r="A988" t="s">
        <v>1163</v>
      </c>
      <c r="B988" s="10">
        <v>45834</v>
      </c>
      <c r="C988" t="s">
        <v>229</v>
      </c>
      <c r="D988" t="s">
        <v>54</v>
      </c>
      <c r="E988" t="s">
        <v>64</v>
      </c>
      <c r="F988" t="s">
        <v>54</v>
      </c>
      <c r="G988">
        <v>291.19</v>
      </c>
      <c r="H988" t="s">
        <v>15</v>
      </c>
      <c r="I988" t="s">
        <v>22</v>
      </c>
      <c r="J988" t="s">
        <v>56</v>
      </c>
    </row>
    <row r="989" spans="1:10" x14ac:dyDescent="0.35">
      <c r="A989" t="s">
        <v>1164</v>
      </c>
      <c r="B989" s="10">
        <v>45834</v>
      </c>
      <c r="C989" t="s">
        <v>272</v>
      </c>
      <c r="D989" t="s">
        <v>54</v>
      </c>
      <c r="E989" t="s">
        <v>55</v>
      </c>
      <c r="F989" t="s">
        <v>54</v>
      </c>
      <c r="G989">
        <v>732.7</v>
      </c>
      <c r="H989" t="s">
        <v>15</v>
      </c>
      <c r="I989" t="s">
        <v>22</v>
      </c>
      <c r="J989" t="s">
        <v>65</v>
      </c>
    </row>
    <row r="990" spans="1:10" x14ac:dyDescent="0.35">
      <c r="A990" t="s">
        <v>1165</v>
      </c>
      <c r="B990" s="10">
        <v>45834</v>
      </c>
      <c r="C990" t="s">
        <v>243</v>
      </c>
      <c r="D990" t="s">
        <v>101</v>
      </c>
      <c r="E990" t="s">
        <v>244</v>
      </c>
      <c r="F990" t="s">
        <v>14</v>
      </c>
      <c r="G990">
        <v>79.78</v>
      </c>
      <c r="H990" t="s">
        <v>98</v>
      </c>
      <c r="I990" t="s">
        <v>22</v>
      </c>
      <c r="J990" t="s">
        <v>102</v>
      </c>
    </row>
    <row r="991" spans="1:10" x14ac:dyDescent="0.35">
      <c r="A991" t="s">
        <v>1166</v>
      </c>
      <c r="B991" s="10">
        <v>45834</v>
      </c>
      <c r="C991" t="s">
        <v>220</v>
      </c>
      <c r="D991" t="s">
        <v>59</v>
      </c>
      <c r="E991" t="s">
        <v>199</v>
      </c>
      <c r="F991" t="s">
        <v>14</v>
      </c>
      <c r="G991">
        <v>483.1</v>
      </c>
      <c r="H991" t="s">
        <v>15</v>
      </c>
      <c r="I991" t="s">
        <v>22</v>
      </c>
      <c r="J991" t="s">
        <v>211</v>
      </c>
    </row>
    <row r="992" spans="1:10" x14ac:dyDescent="0.35">
      <c r="A992" t="s">
        <v>1167</v>
      </c>
      <c r="B992" s="10">
        <v>45835</v>
      </c>
      <c r="C992" t="s">
        <v>33</v>
      </c>
      <c r="D992" t="s">
        <v>34</v>
      </c>
      <c r="E992" t="s">
        <v>35</v>
      </c>
      <c r="F992" t="s">
        <v>14</v>
      </c>
      <c r="G992">
        <v>212.06</v>
      </c>
      <c r="H992" t="s">
        <v>15</v>
      </c>
      <c r="I992" t="s">
        <v>22</v>
      </c>
      <c r="J992" t="s">
        <v>37</v>
      </c>
    </row>
    <row r="993" spans="1:10" x14ac:dyDescent="0.35">
      <c r="A993" t="s">
        <v>1168</v>
      </c>
      <c r="B993" s="10">
        <v>45835</v>
      </c>
      <c r="C993" t="s">
        <v>350</v>
      </c>
      <c r="D993" t="s">
        <v>29</v>
      </c>
      <c r="E993" t="s">
        <v>151</v>
      </c>
      <c r="F993" t="s">
        <v>14</v>
      </c>
      <c r="G993">
        <v>10.46</v>
      </c>
      <c r="H993" t="s">
        <v>15</v>
      </c>
      <c r="I993" t="s">
        <v>22</v>
      </c>
      <c r="J993" t="s">
        <v>158</v>
      </c>
    </row>
    <row r="994" spans="1:10" x14ac:dyDescent="0.35">
      <c r="A994" t="s">
        <v>1169</v>
      </c>
      <c r="B994" s="10">
        <v>45836</v>
      </c>
      <c r="C994" t="s">
        <v>28</v>
      </c>
      <c r="D994" t="s">
        <v>29</v>
      </c>
      <c r="E994" t="s">
        <v>30</v>
      </c>
      <c r="F994" t="s">
        <v>14</v>
      </c>
      <c r="G994">
        <v>81.27</v>
      </c>
      <c r="H994" t="s">
        <v>21</v>
      </c>
      <c r="I994" t="s">
        <v>22</v>
      </c>
      <c r="J994" t="s">
        <v>31</v>
      </c>
    </row>
    <row r="995" spans="1:10" x14ac:dyDescent="0.35">
      <c r="A995" t="s">
        <v>1170</v>
      </c>
      <c r="B995" s="10">
        <v>45836</v>
      </c>
      <c r="C995" t="s">
        <v>227</v>
      </c>
      <c r="D995" t="s">
        <v>12</v>
      </c>
      <c r="E995" t="s">
        <v>51</v>
      </c>
      <c r="F995" t="s">
        <v>14</v>
      </c>
      <c r="G995">
        <v>69.73</v>
      </c>
      <c r="H995" t="s">
        <v>15</v>
      </c>
      <c r="I995" t="s">
        <v>16</v>
      </c>
      <c r="J995" t="s">
        <v>17</v>
      </c>
    </row>
    <row r="996" spans="1:10" x14ac:dyDescent="0.35">
      <c r="A996" t="s">
        <v>1171</v>
      </c>
      <c r="B996" s="10">
        <v>45836</v>
      </c>
      <c r="C996" t="s">
        <v>138</v>
      </c>
      <c r="D996" t="s">
        <v>12</v>
      </c>
      <c r="E996" t="s">
        <v>26</v>
      </c>
      <c r="F996" t="s">
        <v>14</v>
      </c>
      <c r="G996">
        <v>40.51</v>
      </c>
      <c r="H996" t="s">
        <v>98</v>
      </c>
      <c r="I996" t="s">
        <v>36</v>
      </c>
      <c r="J996" t="s">
        <v>77</v>
      </c>
    </row>
    <row r="997" spans="1:10" x14ac:dyDescent="0.35">
      <c r="A997" t="s">
        <v>1172</v>
      </c>
      <c r="B997" s="10">
        <v>45836</v>
      </c>
      <c r="C997" t="s">
        <v>153</v>
      </c>
      <c r="D997" t="s">
        <v>34</v>
      </c>
      <c r="E997" t="s">
        <v>122</v>
      </c>
      <c r="F997" t="s">
        <v>14</v>
      </c>
      <c r="G997">
        <v>129.13999999999999</v>
      </c>
      <c r="H997" t="s">
        <v>21</v>
      </c>
      <c r="I997" t="s">
        <v>16</v>
      </c>
      <c r="J997" t="s">
        <v>41</v>
      </c>
    </row>
    <row r="998" spans="1:10" x14ac:dyDescent="0.35">
      <c r="A998" t="s">
        <v>1173</v>
      </c>
      <c r="B998" s="10">
        <v>45836</v>
      </c>
      <c r="C998" t="s">
        <v>160</v>
      </c>
      <c r="D998" t="s">
        <v>80</v>
      </c>
      <c r="E998" t="s">
        <v>117</v>
      </c>
      <c r="F998" t="s">
        <v>14</v>
      </c>
      <c r="G998">
        <v>250</v>
      </c>
      <c r="H998" t="s">
        <v>21</v>
      </c>
      <c r="I998" t="s">
        <v>36</v>
      </c>
      <c r="J998" t="s">
        <v>161</v>
      </c>
    </row>
    <row r="999" spans="1:10" x14ac:dyDescent="0.35">
      <c r="A999" t="s">
        <v>1174</v>
      </c>
      <c r="B999" s="10">
        <v>45836</v>
      </c>
      <c r="C999" t="s">
        <v>88</v>
      </c>
      <c r="D999" t="s">
        <v>54</v>
      </c>
      <c r="E999" t="s">
        <v>74</v>
      </c>
      <c r="F999" t="s">
        <v>54</v>
      </c>
      <c r="G999">
        <v>2297.7399999999998</v>
      </c>
      <c r="H999" t="s">
        <v>15</v>
      </c>
      <c r="I999" t="s">
        <v>22</v>
      </c>
      <c r="J999" t="s">
        <v>89</v>
      </c>
    </row>
    <row r="1000" spans="1:10" x14ac:dyDescent="0.35">
      <c r="A1000" t="s">
        <v>1175</v>
      </c>
      <c r="B1000" s="10">
        <v>45837</v>
      </c>
      <c r="C1000" t="s">
        <v>53</v>
      </c>
      <c r="D1000" t="s">
        <v>54</v>
      </c>
      <c r="E1000" t="s">
        <v>55</v>
      </c>
      <c r="F1000" t="s">
        <v>54</v>
      </c>
      <c r="G1000">
        <v>817.27</v>
      </c>
      <c r="H1000" t="s">
        <v>15</v>
      </c>
      <c r="I1000" t="s">
        <v>47</v>
      </c>
      <c r="J1000" t="s">
        <v>56</v>
      </c>
    </row>
    <row r="1001" spans="1:10" x14ac:dyDescent="0.35">
      <c r="A1001" t="s">
        <v>1176</v>
      </c>
      <c r="B1001" s="10">
        <v>45837</v>
      </c>
      <c r="C1001" t="s">
        <v>347</v>
      </c>
      <c r="D1001" t="s">
        <v>29</v>
      </c>
      <c r="E1001" t="s">
        <v>151</v>
      </c>
      <c r="F1001" t="s">
        <v>14</v>
      </c>
      <c r="G1001">
        <v>53.5</v>
      </c>
      <c r="H1001" t="s">
        <v>21</v>
      </c>
      <c r="I1001" t="s">
        <v>36</v>
      </c>
      <c r="J1001" t="s">
        <v>96</v>
      </c>
    </row>
    <row r="1002" spans="1:10" x14ac:dyDescent="0.35">
      <c r="A1002" t="s">
        <v>1177</v>
      </c>
      <c r="B1002" s="10">
        <v>45837</v>
      </c>
      <c r="C1002" t="s">
        <v>79</v>
      </c>
      <c r="D1002" t="s">
        <v>80</v>
      </c>
      <c r="E1002" t="s">
        <v>81</v>
      </c>
      <c r="F1002" t="s">
        <v>14</v>
      </c>
      <c r="G1002">
        <v>51.58</v>
      </c>
      <c r="H1002" t="s">
        <v>15</v>
      </c>
      <c r="I1002" t="s">
        <v>36</v>
      </c>
      <c r="J1002" t="s">
        <v>82</v>
      </c>
    </row>
    <row r="1003" spans="1:10" x14ac:dyDescent="0.35">
      <c r="A1003" t="s">
        <v>1178</v>
      </c>
      <c r="B1003" s="10">
        <v>45837</v>
      </c>
      <c r="C1003" t="s">
        <v>331</v>
      </c>
      <c r="D1003" t="s">
        <v>29</v>
      </c>
      <c r="E1003" t="s">
        <v>95</v>
      </c>
      <c r="F1003" t="s">
        <v>14</v>
      </c>
      <c r="G1003">
        <v>29.15</v>
      </c>
      <c r="H1003" t="s">
        <v>15</v>
      </c>
      <c r="I1003" t="s">
        <v>16</v>
      </c>
      <c r="J1003" t="s">
        <v>151</v>
      </c>
    </row>
    <row r="1004" spans="1:10" x14ac:dyDescent="0.35">
      <c r="A1004" t="s">
        <v>1179</v>
      </c>
      <c r="B1004" s="10">
        <v>45837</v>
      </c>
      <c r="C1004" t="s">
        <v>150</v>
      </c>
      <c r="D1004" t="s">
        <v>29</v>
      </c>
      <c r="E1004" t="s">
        <v>30</v>
      </c>
      <c r="F1004" t="s">
        <v>14</v>
      </c>
      <c r="G1004">
        <v>62.17</v>
      </c>
      <c r="H1004" t="s">
        <v>21</v>
      </c>
      <c r="I1004" t="s">
        <v>22</v>
      </c>
      <c r="J1004" t="s">
        <v>151</v>
      </c>
    </row>
    <row r="1005" spans="1:10" x14ac:dyDescent="0.35">
      <c r="A1005" t="s">
        <v>1180</v>
      </c>
      <c r="B1005" s="10">
        <v>45837</v>
      </c>
      <c r="C1005" t="s">
        <v>262</v>
      </c>
      <c r="D1005" t="s">
        <v>101</v>
      </c>
      <c r="E1005" t="s">
        <v>244</v>
      </c>
      <c r="F1005" t="s">
        <v>14</v>
      </c>
      <c r="G1005">
        <v>85.64</v>
      </c>
      <c r="H1005" t="s">
        <v>21</v>
      </c>
      <c r="I1005" t="s">
        <v>36</v>
      </c>
      <c r="J1005" t="s">
        <v>136</v>
      </c>
    </row>
    <row r="1006" spans="1:10" x14ac:dyDescent="0.35">
      <c r="A1006" t="s">
        <v>1181</v>
      </c>
      <c r="B1006" s="10">
        <v>45837</v>
      </c>
      <c r="C1006" t="s">
        <v>63</v>
      </c>
      <c r="D1006" t="s">
        <v>54</v>
      </c>
      <c r="E1006" t="s">
        <v>64</v>
      </c>
      <c r="F1006" t="s">
        <v>54</v>
      </c>
      <c r="G1006">
        <v>386.22</v>
      </c>
      <c r="H1006" t="s">
        <v>21</v>
      </c>
      <c r="I1006" t="s">
        <v>22</v>
      </c>
      <c r="J1006" t="s">
        <v>65</v>
      </c>
    </row>
    <row r="1007" spans="1:10" x14ac:dyDescent="0.35">
      <c r="A1007" t="s">
        <v>1182</v>
      </c>
      <c r="B1007" s="10">
        <v>45838</v>
      </c>
      <c r="C1007" t="s">
        <v>157</v>
      </c>
      <c r="D1007" t="s">
        <v>29</v>
      </c>
      <c r="E1007" t="s">
        <v>95</v>
      </c>
      <c r="F1007" t="s">
        <v>14</v>
      </c>
      <c r="G1007">
        <v>19.84</v>
      </c>
      <c r="H1007" t="s">
        <v>15</v>
      </c>
      <c r="I1007" t="s">
        <v>47</v>
      </c>
      <c r="J1007" t="s">
        <v>158</v>
      </c>
    </row>
    <row r="1008" spans="1:10" x14ac:dyDescent="0.35">
      <c r="A1008" t="s">
        <v>1183</v>
      </c>
      <c r="B1008" s="10">
        <v>45838</v>
      </c>
      <c r="C1008" t="s">
        <v>210</v>
      </c>
      <c r="D1008" t="s">
        <v>59</v>
      </c>
      <c r="E1008" t="s">
        <v>185</v>
      </c>
      <c r="F1008" t="s">
        <v>14</v>
      </c>
      <c r="G1008">
        <v>210.4</v>
      </c>
      <c r="H1008" t="s">
        <v>15</v>
      </c>
      <c r="I1008" t="s">
        <v>36</v>
      </c>
      <c r="J1008" t="s">
        <v>211</v>
      </c>
    </row>
    <row r="1009" spans="1:10" x14ac:dyDescent="0.35">
      <c r="A1009" t="s">
        <v>1184</v>
      </c>
      <c r="B1009" s="10">
        <v>45838</v>
      </c>
      <c r="C1009" t="s">
        <v>411</v>
      </c>
      <c r="D1009" t="s">
        <v>29</v>
      </c>
      <c r="E1009" t="s">
        <v>151</v>
      </c>
      <c r="F1009" t="s">
        <v>14</v>
      </c>
      <c r="G1009">
        <v>18.149999999999999</v>
      </c>
      <c r="H1009" t="s">
        <v>21</v>
      </c>
      <c r="I1009" t="s">
        <v>36</v>
      </c>
      <c r="J1009" t="s">
        <v>151</v>
      </c>
    </row>
    <row r="1010" spans="1:10" x14ac:dyDescent="0.35">
      <c r="A1010" t="s">
        <v>1185</v>
      </c>
      <c r="B1010" s="10">
        <v>45838</v>
      </c>
      <c r="C1010" t="s">
        <v>63</v>
      </c>
      <c r="D1010" t="s">
        <v>54</v>
      </c>
      <c r="E1010" t="s">
        <v>64</v>
      </c>
      <c r="F1010" t="s">
        <v>54</v>
      </c>
      <c r="G1010">
        <v>347.64</v>
      </c>
      <c r="H1010" t="s">
        <v>15</v>
      </c>
      <c r="I1010" t="s">
        <v>16</v>
      </c>
      <c r="J1010" t="s">
        <v>65</v>
      </c>
    </row>
    <row r="1011" spans="1:10" x14ac:dyDescent="0.35">
      <c r="A1011" t="s">
        <v>1186</v>
      </c>
      <c r="B1011" s="10">
        <v>45839</v>
      </c>
      <c r="C1011" t="s">
        <v>217</v>
      </c>
      <c r="D1011" t="s">
        <v>80</v>
      </c>
      <c r="E1011" t="s">
        <v>81</v>
      </c>
      <c r="F1011" t="s">
        <v>14</v>
      </c>
      <c r="G1011">
        <v>102.11</v>
      </c>
      <c r="H1011" t="s">
        <v>21</v>
      </c>
      <c r="I1011" t="s">
        <v>16</v>
      </c>
      <c r="J1011" t="s">
        <v>180</v>
      </c>
    </row>
    <row r="1012" spans="1:10" x14ac:dyDescent="0.35">
      <c r="A1012" t="s">
        <v>1187</v>
      </c>
      <c r="B1012" s="10">
        <v>45839</v>
      </c>
      <c r="C1012" t="s">
        <v>253</v>
      </c>
      <c r="D1012" t="s">
        <v>29</v>
      </c>
      <c r="E1012" t="s">
        <v>30</v>
      </c>
      <c r="F1012" t="s">
        <v>14</v>
      </c>
      <c r="G1012">
        <v>17.899999999999999</v>
      </c>
      <c r="H1012" t="s">
        <v>15</v>
      </c>
      <c r="I1012" t="s">
        <v>47</v>
      </c>
      <c r="J1012" t="s">
        <v>158</v>
      </c>
    </row>
    <row r="1013" spans="1:10" x14ac:dyDescent="0.35">
      <c r="A1013" t="s">
        <v>1188</v>
      </c>
      <c r="B1013" s="10">
        <v>45839</v>
      </c>
      <c r="C1013" t="s">
        <v>875</v>
      </c>
      <c r="D1013" t="s">
        <v>69</v>
      </c>
      <c r="E1013" t="s">
        <v>291</v>
      </c>
      <c r="F1013" t="s">
        <v>14</v>
      </c>
      <c r="G1013">
        <v>894.03</v>
      </c>
      <c r="H1013" t="s">
        <v>21</v>
      </c>
      <c r="I1013" t="s">
        <v>84</v>
      </c>
      <c r="J1013" t="s">
        <v>133</v>
      </c>
    </row>
    <row r="1014" spans="1:10" x14ac:dyDescent="0.35">
      <c r="A1014" t="s">
        <v>1189</v>
      </c>
      <c r="B1014" s="10">
        <v>45839</v>
      </c>
      <c r="C1014" t="s">
        <v>220</v>
      </c>
      <c r="D1014" t="s">
        <v>59</v>
      </c>
      <c r="E1014" t="s">
        <v>199</v>
      </c>
      <c r="F1014" t="s">
        <v>14</v>
      </c>
      <c r="G1014">
        <v>97.91</v>
      </c>
      <c r="H1014" t="s">
        <v>15</v>
      </c>
      <c r="I1014" t="s">
        <v>22</v>
      </c>
      <c r="J1014" t="s">
        <v>211</v>
      </c>
    </row>
    <row r="1015" spans="1:10" x14ac:dyDescent="0.35">
      <c r="A1015" t="s">
        <v>1190</v>
      </c>
      <c r="B1015" s="10">
        <v>45840</v>
      </c>
      <c r="C1015" t="s">
        <v>28</v>
      </c>
      <c r="D1015" t="s">
        <v>29</v>
      </c>
      <c r="E1015" t="s">
        <v>30</v>
      </c>
      <c r="F1015" t="s">
        <v>14</v>
      </c>
      <c r="G1015">
        <v>25.13</v>
      </c>
      <c r="H1015" t="s">
        <v>21</v>
      </c>
      <c r="I1015" t="s">
        <v>16</v>
      </c>
      <c r="J1015" t="s">
        <v>31</v>
      </c>
    </row>
    <row r="1016" spans="1:10" x14ac:dyDescent="0.35">
      <c r="A1016" t="s">
        <v>1191</v>
      </c>
      <c r="B1016" s="10">
        <v>45840</v>
      </c>
      <c r="C1016" t="s">
        <v>125</v>
      </c>
      <c r="D1016" t="s">
        <v>12</v>
      </c>
      <c r="E1016" t="s">
        <v>13</v>
      </c>
      <c r="F1016" t="s">
        <v>14</v>
      </c>
      <c r="G1016">
        <v>23.92</v>
      </c>
      <c r="H1016" t="s">
        <v>15</v>
      </c>
      <c r="I1016" t="s">
        <v>36</v>
      </c>
      <c r="J1016" t="s">
        <v>44</v>
      </c>
    </row>
    <row r="1017" spans="1:10" x14ac:dyDescent="0.35">
      <c r="A1017" t="s">
        <v>1192</v>
      </c>
      <c r="B1017" s="10">
        <v>45841</v>
      </c>
      <c r="C1017" t="s">
        <v>227</v>
      </c>
      <c r="D1017" t="s">
        <v>12</v>
      </c>
      <c r="E1017" t="s">
        <v>51</v>
      </c>
      <c r="F1017" t="s">
        <v>14</v>
      </c>
      <c r="G1017">
        <v>95.04</v>
      </c>
      <c r="H1017" t="s">
        <v>15</v>
      </c>
      <c r="I1017" t="s">
        <v>22</v>
      </c>
      <c r="J1017" t="s">
        <v>17</v>
      </c>
    </row>
    <row r="1018" spans="1:10" x14ac:dyDescent="0.35">
      <c r="A1018" t="s">
        <v>1193</v>
      </c>
      <c r="B1018" s="10">
        <v>45841</v>
      </c>
      <c r="C1018" t="s">
        <v>88</v>
      </c>
      <c r="D1018" t="s">
        <v>54</v>
      </c>
      <c r="E1018" t="s">
        <v>74</v>
      </c>
      <c r="F1018" t="s">
        <v>54</v>
      </c>
      <c r="G1018">
        <v>2701.79</v>
      </c>
      <c r="H1018" t="s">
        <v>21</v>
      </c>
      <c r="I1018" t="s">
        <v>22</v>
      </c>
      <c r="J1018" t="s">
        <v>89</v>
      </c>
    </row>
    <row r="1019" spans="1:10" x14ac:dyDescent="0.35">
      <c r="A1019" t="s">
        <v>1194</v>
      </c>
      <c r="B1019" s="10">
        <v>45841</v>
      </c>
      <c r="C1019" t="s">
        <v>204</v>
      </c>
      <c r="D1019" t="s">
        <v>12</v>
      </c>
      <c r="E1019" t="s">
        <v>51</v>
      </c>
      <c r="F1019" t="s">
        <v>14</v>
      </c>
      <c r="G1019">
        <v>42.41</v>
      </c>
      <c r="H1019" t="s">
        <v>21</v>
      </c>
      <c r="I1019" t="s">
        <v>36</v>
      </c>
      <c r="J1019" t="s">
        <v>23</v>
      </c>
    </row>
    <row r="1020" spans="1:10" x14ac:dyDescent="0.35">
      <c r="A1020" t="s">
        <v>1195</v>
      </c>
      <c r="B1020" s="10">
        <v>45841</v>
      </c>
      <c r="C1020" t="s">
        <v>157</v>
      </c>
      <c r="D1020" t="s">
        <v>29</v>
      </c>
      <c r="E1020" t="s">
        <v>95</v>
      </c>
      <c r="F1020" t="s">
        <v>14</v>
      </c>
      <c r="G1020">
        <v>20.32</v>
      </c>
      <c r="H1020" t="s">
        <v>15</v>
      </c>
      <c r="I1020" t="s">
        <v>16</v>
      </c>
      <c r="J1020" t="s">
        <v>158</v>
      </c>
    </row>
    <row r="1021" spans="1:10" x14ac:dyDescent="0.35">
      <c r="A1021" t="s">
        <v>1196</v>
      </c>
      <c r="B1021" s="10">
        <v>45841</v>
      </c>
      <c r="C1021" t="s">
        <v>130</v>
      </c>
      <c r="D1021" t="s">
        <v>12</v>
      </c>
      <c r="E1021" t="s">
        <v>26</v>
      </c>
      <c r="F1021" t="s">
        <v>14</v>
      </c>
      <c r="G1021">
        <v>30.31</v>
      </c>
      <c r="H1021" t="s">
        <v>21</v>
      </c>
      <c r="I1021" t="s">
        <v>36</v>
      </c>
      <c r="J1021" t="s">
        <v>48</v>
      </c>
    </row>
    <row r="1022" spans="1:10" x14ac:dyDescent="0.35">
      <c r="A1022" t="s">
        <v>1197</v>
      </c>
      <c r="B1022" s="10">
        <v>45841</v>
      </c>
      <c r="C1022" t="s">
        <v>415</v>
      </c>
      <c r="D1022" t="s">
        <v>12</v>
      </c>
      <c r="E1022" t="s">
        <v>51</v>
      </c>
      <c r="F1022" t="s">
        <v>14</v>
      </c>
      <c r="G1022">
        <v>122.03</v>
      </c>
      <c r="H1022" t="s">
        <v>15</v>
      </c>
      <c r="I1022" t="s">
        <v>36</v>
      </c>
      <c r="J1022" t="s">
        <v>77</v>
      </c>
    </row>
    <row r="1023" spans="1:10" x14ac:dyDescent="0.35">
      <c r="A1023" t="s">
        <v>1198</v>
      </c>
      <c r="B1023" s="10">
        <v>45841</v>
      </c>
      <c r="C1023" t="s">
        <v>53</v>
      </c>
      <c r="D1023" t="s">
        <v>54</v>
      </c>
      <c r="E1023" t="s">
        <v>55</v>
      </c>
      <c r="F1023" t="s">
        <v>54</v>
      </c>
      <c r="G1023">
        <v>599.49</v>
      </c>
      <c r="H1023" t="s">
        <v>15</v>
      </c>
      <c r="I1023" t="s">
        <v>16</v>
      </c>
      <c r="J1023" t="s">
        <v>56</v>
      </c>
    </row>
    <row r="1024" spans="1:10" x14ac:dyDescent="0.35">
      <c r="A1024" t="s">
        <v>1199</v>
      </c>
      <c r="B1024" s="10">
        <v>45841</v>
      </c>
      <c r="C1024" t="s">
        <v>296</v>
      </c>
      <c r="D1024" t="s">
        <v>101</v>
      </c>
      <c r="E1024" t="s">
        <v>136</v>
      </c>
      <c r="F1024" t="s">
        <v>14</v>
      </c>
      <c r="G1024">
        <v>36.43</v>
      </c>
      <c r="H1024" t="s">
        <v>15</v>
      </c>
      <c r="I1024" t="s">
        <v>22</v>
      </c>
      <c r="J1024" t="s">
        <v>136</v>
      </c>
    </row>
    <row r="1025" spans="1:10" x14ac:dyDescent="0.35">
      <c r="A1025" t="s">
        <v>1200</v>
      </c>
      <c r="B1025" s="10">
        <v>45842</v>
      </c>
      <c r="C1025" t="s">
        <v>229</v>
      </c>
      <c r="D1025" t="s">
        <v>54</v>
      </c>
      <c r="E1025" t="s">
        <v>64</v>
      </c>
      <c r="F1025" t="s">
        <v>54</v>
      </c>
      <c r="G1025">
        <v>394.42</v>
      </c>
      <c r="H1025" t="s">
        <v>15</v>
      </c>
      <c r="I1025" t="s">
        <v>22</v>
      </c>
      <c r="J1025" t="s">
        <v>56</v>
      </c>
    </row>
    <row r="1026" spans="1:10" x14ac:dyDescent="0.35">
      <c r="A1026" t="s">
        <v>1201</v>
      </c>
      <c r="B1026" s="10">
        <v>45842</v>
      </c>
      <c r="C1026" t="s">
        <v>734</v>
      </c>
      <c r="D1026" t="s">
        <v>69</v>
      </c>
      <c r="E1026" t="s">
        <v>291</v>
      </c>
      <c r="F1026" t="s">
        <v>14</v>
      </c>
      <c r="G1026">
        <v>197.82</v>
      </c>
      <c r="H1026" t="s">
        <v>98</v>
      </c>
      <c r="I1026" t="s">
        <v>47</v>
      </c>
      <c r="J1026" t="s">
        <v>71</v>
      </c>
    </row>
    <row r="1027" spans="1:10" x14ac:dyDescent="0.35">
      <c r="A1027" t="s">
        <v>1202</v>
      </c>
      <c r="B1027" s="10">
        <v>45842</v>
      </c>
      <c r="C1027" t="s">
        <v>210</v>
      </c>
      <c r="D1027" t="s">
        <v>59</v>
      </c>
      <c r="E1027" t="s">
        <v>185</v>
      </c>
      <c r="F1027" t="s">
        <v>14</v>
      </c>
      <c r="G1027">
        <v>950</v>
      </c>
      <c r="H1027" t="s">
        <v>15</v>
      </c>
      <c r="I1027" t="s">
        <v>47</v>
      </c>
      <c r="J1027" t="s">
        <v>211</v>
      </c>
    </row>
    <row r="1028" spans="1:10" x14ac:dyDescent="0.35">
      <c r="A1028" t="s">
        <v>1203</v>
      </c>
      <c r="B1028" s="10">
        <v>45842</v>
      </c>
      <c r="C1028" t="s">
        <v>192</v>
      </c>
      <c r="D1028" t="s">
        <v>80</v>
      </c>
      <c r="E1028" t="s">
        <v>92</v>
      </c>
      <c r="F1028" t="s">
        <v>14</v>
      </c>
      <c r="G1028">
        <v>61.69</v>
      </c>
      <c r="H1028" t="s">
        <v>15</v>
      </c>
      <c r="I1028" t="s">
        <v>36</v>
      </c>
      <c r="J1028" t="s">
        <v>180</v>
      </c>
    </row>
    <row r="1029" spans="1:10" x14ac:dyDescent="0.35">
      <c r="A1029" t="s">
        <v>1204</v>
      </c>
      <c r="B1029" s="10">
        <v>45842</v>
      </c>
      <c r="C1029" t="s">
        <v>91</v>
      </c>
      <c r="D1029" t="s">
        <v>80</v>
      </c>
      <c r="E1029" t="s">
        <v>92</v>
      </c>
      <c r="F1029" t="s">
        <v>14</v>
      </c>
      <c r="G1029">
        <v>78.06</v>
      </c>
      <c r="H1029" t="s">
        <v>21</v>
      </c>
      <c r="I1029" t="s">
        <v>36</v>
      </c>
      <c r="J1029" t="s">
        <v>82</v>
      </c>
    </row>
    <row r="1030" spans="1:10" x14ac:dyDescent="0.35">
      <c r="A1030" t="s">
        <v>1205</v>
      </c>
      <c r="B1030" s="10">
        <v>45843</v>
      </c>
      <c r="C1030" t="s">
        <v>177</v>
      </c>
      <c r="D1030" t="s">
        <v>54</v>
      </c>
      <c r="E1030" t="s">
        <v>74</v>
      </c>
      <c r="F1030" t="s">
        <v>54</v>
      </c>
      <c r="G1030">
        <v>2227.63</v>
      </c>
      <c r="H1030" t="s">
        <v>21</v>
      </c>
      <c r="I1030" t="s">
        <v>22</v>
      </c>
      <c r="J1030" t="s">
        <v>56</v>
      </c>
    </row>
    <row r="1031" spans="1:10" x14ac:dyDescent="0.35">
      <c r="A1031" t="s">
        <v>1206</v>
      </c>
      <c r="B1031" s="10">
        <v>45843</v>
      </c>
      <c r="C1031" t="s">
        <v>11</v>
      </c>
      <c r="D1031" t="s">
        <v>12</v>
      </c>
      <c r="E1031" t="s">
        <v>13</v>
      </c>
      <c r="F1031" t="s">
        <v>14</v>
      </c>
      <c r="G1031">
        <v>35.68</v>
      </c>
      <c r="H1031" t="s">
        <v>15</v>
      </c>
      <c r="I1031" t="s">
        <v>36</v>
      </c>
      <c r="J1031" t="s">
        <v>17</v>
      </c>
    </row>
    <row r="1032" spans="1:10" x14ac:dyDescent="0.35">
      <c r="A1032" t="s">
        <v>1207</v>
      </c>
      <c r="B1032" s="10">
        <v>45843</v>
      </c>
      <c r="C1032" t="s">
        <v>94</v>
      </c>
      <c r="D1032" t="s">
        <v>29</v>
      </c>
      <c r="E1032" t="s">
        <v>95</v>
      </c>
      <c r="F1032" t="s">
        <v>14</v>
      </c>
      <c r="G1032">
        <v>17.53</v>
      </c>
      <c r="H1032" t="s">
        <v>15</v>
      </c>
      <c r="I1032" t="s">
        <v>47</v>
      </c>
      <c r="J1032" t="s">
        <v>96</v>
      </c>
    </row>
    <row r="1033" spans="1:10" x14ac:dyDescent="0.35">
      <c r="A1033" t="s">
        <v>1208</v>
      </c>
      <c r="B1033" s="10">
        <v>45843</v>
      </c>
      <c r="C1033" t="s">
        <v>331</v>
      </c>
      <c r="D1033" t="s">
        <v>29</v>
      </c>
      <c r="E1033" t="s">
        <v>95</v>
      </c>
      <c r="F1033" t="s">
        <v>14</v>
      </c>
      <c r="G1033">
        <v>39.549999999999997</v>
      </c>
      <c r="H1033" t="s">
        <v>21</v>
      </c>
      <c r="I1033" t="s">
        <v>22</v>
      </c>
      <c r="J1033" t="s">
        <v>151</v>
      </c>
    </row>
    <row r="1034" spans="1:10" x14ac:dyDescent="0.35">
      <c r="A1034" t="s">
        <v>1209</v>
      </c>
      <c r="B1034" s="10">
        <v>45843</v>
      </c>
      <c r="C1034" t="s">
        <v>113</v>
      </c>
      <c r="D1034" t="s">
        <v>34</v>
      </c>
      <c r="E1034" t="s">
        <v>40</v>
      </c>
      <c r="F1034" t="s">
        <v>14</v>
      </c>
      <c r="G1034">
        <v>33.56</v>
      </c>
      <c r="H1034" t="s">
        <v>15</v>
      </c>
      <c r="I1034" t="s">
        <v>47</v>
      </c>
      <c r="J1034" t="s">
        <v>37</v>
      </c>
    </row>
    <row r="1035" spans="1:10" x14ac:dyDescent="0.35">
      <c r="A1035" t="s">
        <v>1210</v>
      </c>
      <c r="B1035" s="10">
        <v>45843</v>
      </c>
      <c r="C1035" t="s">
        <v>267</v>
      </c>
      <c r="D1035" t="s">
        <v>29</v>
      </c>
      <c r="E1035" t="s">
        <v>30</v>
      </c>
      <c r="F1035" t="s">
        <v>14</v>
      </c>
      <c r="G1035">
        <v>35.07</v>
      </c>
      <c r="H1035" t="s">
        <v>21</v>
      </c>
      <c r="I1035" t="s">
        <v>16</v>
      </c>
      <c r="J1035" t="s">
        <v>96</v>
      </c>
    </row>
    <row r="1036" spans="1:10" x14ac:dyDescent="0.35">
      <c r="A1036" t="s">
        <v>1211</v>
      </c>
      <c r="B1036" s="10">
        <v>45843</v>
      </c>
      <c r="C1036" t="s">
        <v>345</v>
      </c>
      <c r="D1036" t="s">
        <v>59</v>
      </c>
      <c r="E1036" t="s">
        <v>60</v>
      </c>
      <c r="F1036" t="s">
        <v>14</v>
      </c>
      <c r="G1036">
        <v>138.77000000000001</v>
      </c>
      <c r="H1036" t="s">
        <v>21</v>
      </c>
      <c r="I1036" t="s">
        <v>16</v>
      </c>
      <c r="J1036" t="s">
        <v>211</v>
      </c>
    </row>
    <row r="1037" spans="1:10" x14ac:dyDescent="0.35">
      <c r="A1037" t="s">
        <v>1212</v>
      </c>
      <c r="B1037" s="10">
        <v>45844</v>
      </c>
      <c r="C1037" t="s">
        <v>192</v>
      </c>
      <c r="D1037" t="s">
        <v>80</v>
      </c>
      <c r="E1037" t="s">
        <v>92</v>
      </c>
      <c r="F1037" t="s">
        <v>14</v>
      </c>
      <c r="G1037">
        <v>46.27</v>
      </c>
      <c r="H1037" t="s">
        <v>21</v>
      </c>
      <c r="I1037" t="s">
        <v>36</v>
      </c>
      <c r="J1037" t="s">
        <v>180</v>
      </c>
    </row>
    <row r="1038" spans="1:10" x14ac:dyDescent="0.35">
      <c r="A1038" t="s">
        <v>1213</v>
      </c>
      <c r="B1038" s="10">
        <v>45844</v>
      </c>
      <c r="C1038" t="s">
        <v>63</v>
      </c>
      <c r="D1038" t="s">
        <v>54</v>
      </c>
      <c r="E1038" t="s">
        <v>64</v>
      </c>
      <c r="F1038" t="s">
        <v>54</v>
      </c>
      <c r="G1038">
        <v>322.73</v>
      </c>
      <c r="H1038" t="s">
        <v>15</v>
      </c>
      <c r="I1038" t="s">
        <v>16</v>
      </c>
      <c r="J1038" t="s">
        <v>65</v>
      </c>
    </row>
    <row r="1039" spans="1:10" x14ac:dyDescent="0.35">
      <c r="A1039" t="s">
        <v>1214</v>
      </c>
      <c r="B1039" s="10">
        <v>45844</v>
      </c>
      <c r="C1039" t="s">
        <v>229</v>
      </c>
      <c r="D1039" t="s">
        <v>54</v>
      </c>
      <c r="E1039" t="s">
        <v>64</v>
      </c>
      <c r="F1039" t="s">
        <v>54</v>
      </c>
      <c r="G1039">
        <v>405.91</v>
      </c>
      <c r="H1039" t="s">
        <v>21</v>
      </c>
      <c r="I1039" t="s">
        <v>22</v>
      </c>
      <c r="J1039" t="s">
        <v>56</v>
      </c>
    </row>
    <row r="1040" spans="1:10" x14ac:dyDescent="0.35">
      <c r="A1040" t="s">
        <v>1215</v>
      </c>
      <c r="B1040" s="10">
        <v>45844</v>
      </c>
      <c r="C1040" t="s">
        <v>19</v>
      </c>
      <c r="D1040" t="s">
        <v>12</v>
      </c>
      <c r="E1040" t="s">
        <v>13</v>
      </c>
      <c r="F1040" t="s">
        <v>14</v>
      </c>
      <c r="G1040">
        <v>49.04</v>
      </c>
      <c r="H1040" t="s">
        <v>15</v>
      </c>
      <c r="I1040" t="s">
        <v>36</v>
      </c>
      <c r="J1040" t="s">
        <v>23</v>
      </c>
    </row>
    <row r="1041" spans="1:10" x14ac:dyDescent="0.35">
      <c r="A1041" t="s">
        <v>1216</v>
      </c>
      <c r="B1041" s="10">
        <v>45844</v>
      </c>
      <c r="C1041" t="s">
        <v>160</v>
      </c>
      <c r="D1041" t="s">
        <v>80</v>
      </c>
      <c r="E1041" t="s">
        <v>117</v>
      </c>
      <c r="F1041" t="s">
        <v>14</v>
      </c>
      <c r="G1041">
        <v>34.15</v>
      </c>
      <c r="H1041" t="s">
        <v>15</v>
      </c>
      <c r="I1041" t="s">
        <v>22</v>
      </c>
      <c r="J1041" t="s">
        <v>161</v>
      </c>
    </row>
    <row r="1042" spans="1:10" x14ac:dyDescent="0.35">
      <c r="A1042" t="s">
        <v>1217</v>
      </c>
      <c r="B1042" s="10">
        <v>45845</v>
      </c>
      <c r="C1042" t="s">
        <v>143</v>
      </c>
      <c r="D1042" t="s">
        <v>54</v>
      </c>
      <c r="E1042" t="s">
        <v>55</v>
      </c>
      <c r="F1042" t="s">
        <v>54</v>
      </c>
      <c r="G1042">
        <v>808.88</v>
      </c>
      <c r="H1042" t="s">
        <v>98</v>
      </c>
      <c r="I1042" t="s">
        <v>22</v>
      </c>
      <c r="J1042" t="s">
        <v>89</v>
      </c>
    </row>
    <row r="1043" spans="1:10" x14ac:dyDescent="0.35">
      <c r="A1043" t="s">
        <v>1218</v>
      </c>
      <c r="B1043" s="10">
        <v>45845</v>
      </c>
      <c r="C1043" t="s">
        <v>46</v>
      </c>
      <c r="D1043" t="s">
        <v>12</v>
      </c>
      <c r="E1043" t="s">
        <v>13</v>
      </c>
      <c r="F1043" t="s">
        <v>14</v>
      </c>
      <c r="G1043">
        <v>81.02</v>
      </c>
      <c r="H1043" t="s">
        <v>15</v>
      </c>
      <c r="I1043" t="s">
        <v>22</v>
      </c>
      <c r="J1043" t="s">
        <v>48</v>
      </c>
    </row>
    <row r="1044" spans="1:10" x14ac:dyDescent="0.35">
      <c r="A1044" t="s">
        <v>1219</v>
      </c>
      <c r="B1044" s="10">
        <v>45845</v>
      </c>
      <c r="C1044" t="s">
        <v>251</v>
      </c>
      <c r="D1044" t="s">
        <v>29</v>
      </c>
      <c r="E1044" t="s">
        <v>151</v>
      </c>
      <c r="F1044" t="s">
        <v>14</v>
      </c>
      <c r="G1044">
        <v>91.01</v>
      </c>
      <c r="H1044" t="s">
        <v>15</v>
      </c>
      <c r="I1044" t="s">
        <v>22</v>
      </c>
      <c r="J1044" t="s">
        <v>31</v>
      </c>
    </row>
    <row r="1045" spans="1:10" x14ac:dyDescent="0.35">
      <c r="A1045" t="s">
        <v>1220</v>
      </c>
      <c r="B1045" s="10">
        <v>45846</v>
      </c>
      <c r="C1045" t="s">
        <v>350</v>
      </c>
      <c r="D1045" t="s">
        <v>29</v>
      </c>
      <c r="E1045" t="s">
        <v>151</v>
      </c>
      <c r="F1045" t="s">
        <v>14</v>
      </c>
      <c r="G1045">
        <v>82.33</v>
      </c>
      <c r="H1045" t="s">
        <v>15</v>
      </c>
      <c r="I1045" t="s">
        <v>36</v>
      </c>
      <c r="J1045" t="s">
        <v>158</v>
      </c>
    </row>
    <row r="1046" spans="1:10" x14ac:dyDescent="0.35">
      <c r="A1046" t="s">
        <v>1221</v>
      </c>
      <c r="B1046" s="10">
        <v>45846</v>
      </c>
      <c r="C1046" t="s">
        <v>229</v>
      </c>
      <c r="D1046" t="s">
        <v>54</v>
      </c>
      <c r="E1046" t="s">
        <v>64</v>
      </c>
      <c r="F1046" t="s">
        <v>54</v>
      </c>
      <c r="G1046">
        <v>291.48</v>
      </c>
      <c r="H1046" t="s">
        <v>15</v>
      </c>
      <c r="I1046" t="s">
        <v>22</v>
      </c>
      <c r="J1046" t="s">
        <v>56</v>
      </c>
    </row>
    <row r="1047" spans="1:10" x14ac:dyDescent="0.35">
      <c r="A1047" t="s">
        <v>1222</v>
      </c>
      <c r="B1047" s="10">
        <v>45846</v>
      </c>
      <c r="C1047" t="s">
        <v>116</v>
      </c>
      <c r="D1047" t="s">
        <v>80</v>
      </c>
      <c r="E1047" t="s">
        <v>117</v>
      </c>
      <c r="F1047" t="s">
        <v>14</v>
      </c>
      <c r="G1047">
        <v>61.88</v>
      </c>
      <c r="H1047" t="s">
        <v>15</v>
      </c>
      <c r="I1047" t="s">
        <v>16</v>
      </c>
      <c r="J1047" t="s">
        <v>118</v>
      </c>
    </row>
    <row r="1048" spans="1:10" x14ac:dyDescent="0.35">
      <c r="A1048" t="s">
        <v>1223</v>
      </c>
      <c r="B1048" s="10">
        <v>45846</v>
      </c>
      <c r="C1048" t="s">
        <v>135</v>
      </c>
      <c r="D1048" t="s">
        <v>101</v>
      </c>
      <c r="E1048" t="s">
        <v>102</v>
      </c>
      <c r="F1048" t="s">
        <v>14</v>
      </c>
      <c r="G1048">
        <v>87.9</v>
      </c>
      <c r="H1048" t="s">
        <v>21</v>
      </c>
      <c r="I1048" t="s">
        <v>47</v>
      </c>
      <c r="J1048" t="s">
        <v>136</v>
      </c>
    </row>
    <row r="1049" spans="1:10" x14ac:dyDescent="0.35">
      <c r="A1049" t="s">
        <v>1224</v>
      </c>
      <c r="B1049" s="10">
        <v>45846</v>
      </c>
      <c r="C1049" t="s">
        <v>58</v>
      </c>
      <c r="D1049" t="s">
        <v>59</v>
      </c>
      <c r="E1049" t="s">
        <v>60</v>
      </c>
      <c r="F1049" t="s">
        <v>14</v>
      </c>
      <c r="G1049">
        <v>297.08</v>
      </c>
      <c r="H1049" t="s">
        <v>15</v>
      </c>
      <c r="I1049" t="s">
        <v>47</v>
      </c>
      <c r="J1049" t="s">
        <v>61</v>
      </c>
    </row>
    <row r="1050" spans="1:10" x14ac:dyDescent="0.35">
      <c r="A1050" t="s">
        <v>1225</v>
      </c>
      <c r="B1050" s="10">
        <v>45846</v>
      </c>
      <c r="C1050" t="s">
        <v>272</v>
      </c>
      <c r="D1050" t="s">
        <v>54</v>
      </c>
      <c r="E1050" t="s">
        <v>55</v>
      </c>
      <c r="F1050" t="s">
        <v>54</v>
      </c>
      <c r="G1050">
        <v>658.96</v>
      </c>
      <c r="H1050" t="s">
        <v>21</v>
      </c>
      <c r="I1050" t="s">
        <v>22</v>
      </c>
      <c r="J1050" t="s">
        <v>65</v>
      </c>
    </row>
    <row r="1051" spans="1:10" x14ac:dyDescent="0.35">
      <c r="A1051" t="s">
        <v>1226</v>
      </c>
      <c r="B1051" s="10">
        <v>45847</v>
      </c>
      <c r="C1051" t="s">
        <v>138</v>
      </c>
      <c r="D1051" t="s">
        <v>12</v>
      </c>
      <c r="E1051" t="s">
        <v>26</v>
      </c>
      <c r="F1051" t="s">
        <v>14</v>
      </c>
      <c r="G1051">
        <v>34.69</v>
      </c>
      <c r="H1051" t="s">
        <v>15</v>
      </c>
      <c r="I1051" t="s">
        <v>47</v>
      </c>
      <c r="J1051" t="s">
        <v>77</v>
      </c>
    </row>
    <row r="1052" spans="1:10" x14ac:dyDescent="0.35">
      <c r="A1052" t="s">
        <v>1227</v>
      </c>
      <c r="B1052" s="10">
        <v>45847</v>
      </c>
      <c r="C1052" t="s">
        <v>192</v>
      </c>
      <c r="D1052" t="s">
        <v>80</v>
      </c>
      <c r="E1052" t="s">
        <v>92</v>
      </c>
      <c r="F1052" t="s">
        <v>14</v>
      </c>
      <c r="G1052">
        <v>12.87</v>
      </c>
      <c r="H1052" t="s">
        <v>15</v>
      </c>
      <c r="I1052" t="s">
        <v>22</v>
      </c>
      <c r="J1052" t="s">
        <v>180</v>
      </c>
    </row>
    <row r="1053" spans="1:10" x14ac:dyDescent="0.35">
      <c r="A1053" t="s">
        <v>1228</v>
      </c>
      <c r="B1053" s="10">
        <v>45847</v>
      </c>
      <c r="C1053" t="s">
        <v>135</v>
      </c>
      <c r="D1053" t="s">
        <v>101</v>
      </c>
      <c r="E1053" t="s">
        <v>102</v>
      </c>
      <c r="F1053" t="s">
        <v>14</v>
      </c>
      <c r="G1053">
        <v>52.93</v>
      </c>
      <c r="H1053" t="s">
        <v>15</v>
      </c>
      <c r="I1053" t="s">
        <v>22</v>
      </c>
      <c r="J1053" t="s">
        <v>136</v>
      </c>
    </row>
    <row r="1054" spans="1:10" x14ac:dyDescent="0.35">
      <c r="A1054" t="s">
        <v>1229</v>
      </c>
      <c r="B1054" s="10">
        <v>45848</v>
      </c>
      <c r="C1054" t="s">
        <v>227</v>
      </c>
      <c r="D1054" t="s">
        <v>12</v>
      </c>
      <c r="E1054" t="s">
        <v>51</v>
      </c>
      <c r="F1054" t="s">
        <v>14</v>
      </c>
      <c r="G1054">
        <v>61.64</v>
      </c>
      <c r="H1054" t="s">
        <v>15</v>
      </c>
      <c r="I1054" t="s">
        <v>22</v>
      </c>
      <c r="J1054" t="s">
        <v>17</v>
      </c>
    </row>
    <row r="1055" spans="1:10" x14ac:dyDescent="0.35">
      <c r="A1055" t="s">
        <v>1230</v>
      </c>
      <c r="B1055" s="10">
        <v>45848</v>
      </c>
      <c r="C1055" t="s">
        <v>229</v>
      </c>
      <c r="D1055" t="s">
        <v>54</v>
      </c>
      <c r="E1055" t="s">
        <v>64</v>
      </c>
      <c r="F1055" t="s">
        <v>54</v>
      </c>
      <c r="G1055">
        <v>334.4</v>
      </c>
      <c r="H1055" t="s">
        <v>21</v>
      </c>
      <c r="I1055" t="s">
        <v>22</v>
      </c>
      <c r="J1055" t="s">
        <v>56</v>
      </c>
    </row>
    <row r="1056" spans="1:10" x14ac:dyDescent="0.35">
      <c r="A1056" t="s">
        <v>1231</v>
      </c>
      <c r="B1056" s="10">
        <v>45848</v>
      </c>
      <c r="C1056" t="s">
        <v>189</v>
      </c>
      <c r="D1056" t="s">
        <v>34</v>
      </c>
      <c r="E1056" t="s">
        <v>122</v>
      </c>
      <c r="F1056" t="s">
        <v>14</v>
      </c>
      <c r="G1056">
        <v>161.71</v>
      </c>
      <c r="H1056" t="s">
        <v>21</v>
      </c>
      <c r="I1056" t="s">
        <v>36</v>
      </c>
      <c r="J1056" t="s">
        <v>37</v>
      </c>
    </row>
    <row r="1057" spans="1:10" x14ac:dyDescent="0.35">
      <c r="A1057" t="s">
        <v>1232</v>
      </c>
      <c r="B1057" s="10">
        <v>45849</v>
      </c>
      <c r="C1057" t="s">
        <v>272</v>
      </c>
      <c r="D1057" t="s">
        <v>54</v>
      </c>
      <c r="E1057" t="s">
        <v>55</v>
      </c>
      <c r="F1057" t="s">
        <v>54</v>
      </c>
      <c r="G1057">
        <v>793.66</v>
      </c>
      <c r="H1057" t="s">
        <v>21</v>
      </c>
      <c r="I1057" t="s">
        <v>36</v>
      </c>
      <c r="J1057" t="s">
        <v>65</v>
      </c>
    </row>
    <row r="1058" spans="1:10" x14ac:dyDescent="0.35">
      <c r="A1058" t="s">
        <v>1233</v>
      </c>
      <c r="B1058" s="10">
        <v>45849</v>
      </c>
      <c r="C1058" t="s">
        <v>79</v>
      </c>
      <c r="D1058" t="s">
        <v>80</v>
      </c>
      <c r="E1058" t="s">
        <v>81</v>
      </c>
      <c r="F1058" t="s">
        <v>14</v>
      </c>
      <c r="G1058">
        <v>108.67</v>
      </c>
      <c r="H1058" t="s">
        <v>15</v>
      </c>
      <c r="I1058" t="s">
        <v>22</v>
      </c>
      <c r="J1058" t="s">
        <v>82</v>
      </c>
    </row>
    <row r="1059" spans="1:10" x14ac:dyDescent="0.35">
      <c r="A1059" t="s">
        <v>1234</v>
      </c>
      <c r="B1059" s="10">
        <v>45849</v>
      </c>
      <c r="C1059" t="s">
        <v>210</v>
      </c>
      <c r="D1059" t="s">
        <v>59</v>
      </c>
      <c r="E1059" t="s">
        <v>185</v>
      </c>
      <c r="F1059" t="s">
        <v>14</v>
      </c>
      <c r="G1059">
        <v>207.8</v>
      </c>
      <c r="H1059" t="s">
        <v>21</v>
      </c>
      <c r="I1059" t="s">
        <v>22</v>
      </c>
      <c r="J1059" t="s">
        <v>211</v>
      </c>
    </row>
    <row r="1060" spans="1:10" x14ac:dyDescent="0.35">
      <c r="A1060" t="s">
        <v>1235</v>
      </c>
      <c r="B1060" s="10">
        <v>45849</v>
      </c>
      <c r="C1060" t="s">
        <v>125</v>
      </c>
      <c r="D1060" t="s">
        <v>12</v>
      </c>
      <c r="E1060" t="s">
        <v>13</v>
      </c>
      <c r="F1060" t="s">
        <v>14</v>
      </c>
      <c r="G1060">
        <v>133.83000000000001</v>
      </c>
      <c r="H1060" t="s">
        <v>15</v>
      </c>
      <c r="I1060" t="s">
        <v>16</v>
      </c>
      <c r="J1060" t="s">
        <v>44</v>
      </c>
    </row>
    <row r="1061" spans="1:10" x14ac:dyDescent="0.35">
      <c r="A1061" t="s">
        <v>1236</v>
      </c>
      <c r="B1061" s="10">
        <v>45849</v>
      </c>
      <c r="C1061" t="s">
        <v>238</v>
      </c>
      <c r="D1061" t="s">
        <v>34</v>
      </c>
      <c r="E1061" t="s">
        <v>35</v>
      </c>
      <c r="F1061" t="s">
        <v>14</v>
      </c>
      <c r="G1061">
        <v>359.72</v>
      </c>
      <c r="H1061" t="s">
        <v>15</v>
      </c>
      <c r="I1061" t="s">
        <v>36</v>
      </c>
      <c r="J1061" t="s">
        <v>239</v>
      </c>
    </row>
    <row r="1062" spans="1:10" x14ac:dyDescent="0.35">
      <c r="A1062" t="s">
        <v>1237</v>
      </c>
      <c r="B1062" s="10">
        <v>45850</v>
      </c>
      <c r="C1062" t="s">
        <v>217</v>
      </c>
      <c r="D1062" t="s">
        <v>80</v>
      </c>
      <c r="E1062" t="s">
        <v>81</v>
      </c>
      <c r="F1062" t="s">
        <v>14</v>
      </c>
      <c r="G1062">
        <v>105.21</v>
      </c>
      <c r="H1062" t="s">
        <v>98</v>
      </c>
      <c r="I1062" t="s">
        <v>47</v>
      </c>
      <c r="J1062" t="s">
        <v>180</v>
      </c>
    </row>
    <row r="1063" spans="1:10" x14ac:dyDescent="0.35">
      <c r="A1063" t="s">
        <v>1238</v>
      </c>
      <c r="B1063" s="10">
        <v>45850</v>
      </c>
      <c r="C1063" t="s">
        <v>58</v>
      </c>
      <c r="D1063" t="s">
        <v>59</v>
      </c>
      <c r="E1063" t="s">
        <v>60</v>
      </c>
      <c r="F1063" t="s">
        <v>14</v>
      </c>
      <c r="G1063">
        <v>182.56</v>
      </c>
      <c r="H1063" t="s">
        <v>15</v>
      </c>
      <c r="I1063" t="s">
        <v>36</v>
      </c>
      <c r="J1063" t="s">
        <v>61</v>
      </c>
    </row>
    <row r="1064" spans="1:10" x14ac:dyDescent="0.35">
      <c r="A1064" t="s">
        <v>1239</v>
      </c>
      <c r="B1064" s="10">
        <v>45850</v>
      </c>
      <c r="C1064" t="s">
        <v>177</v>
      </c>
      <c r="D1064" t="s">
        <v>54</v>
      </c>
      <c r="E1064" t="s">
        <v>74</v>
      </c>
      <c r="F1064" t="s">
        <v>54</v>
      </c>
      <c r="G1064">
        <v>2419.6799999999998</v>
      </c>
      <c r="H1064" t="s">
        <v>21</v>
      </c>
      <c r="I1064" t="s">
        <v>47</v>
      </c>
      <c r="J1064" t="s">
        <v>56</v>
      </c>
    </row>
    <row r="1065" spans="1:10" x14ac:dyDescent="0.35">
      <c r="A1065" t="s">
        <v>1240</v>
      </c>
      <c r="B1065" s="10">
        <v>45850</v>
      </c>
      <c r="C1065" t="s">
        <v>445</v>
      </c>
      <c r="D1065" t="s">
        <v>101</v>
      </c>
      <c r="E1065" t="s">
        <v>244</v>
      </c>
      <c r="F1065" t="s">
        <v>14</v>
      </c>
      <c r="G1065">
        <v>150.22999999999999</v>
      </c>
      <c r="H1065" t="s">
        <v>15</v>
      </c>
      <c r="I1065" t="s">
        <v>36</v>
      </c>
      <c r="J1065" t="s">
        <v>103</v>
      </c>
    </row>
    <row r="1066" spans="1:10" x14ac:dyDescent="0.35">
      <c r="A1066" t="s">
        <v>1241</v>
      </c>
      <c r="B1066" s="10">
        <v>45851</v>
      </c>
      <c r="C1066" t="s">
        <v>175</v>
      </c>
      <c r="D1066" t="s">
        <v>80</v>
      </c>
      <c r="E1066" t="s">
        <v>92</v>
      </c>
      <c r="F1066" t="s">
        <v>14</v>
      </c>
      <c r="G1066">
        <v>134.38</v>
      </c>
      <c r="H1066" t="s">
        <v>15</v>
      </c>
      <c r="I1066" t="s">
        <v>22</v>
      </c>
      <c r="J1066" t="s">
        <v>141</v>
      </c>
    </row>
    <row r="1067" spans="1:10" x14ac:dyDescent="0.35">
      <c r="A1067" t="s">
        <v>1242</v>
      </c>
      <c r="B1067" s="10">
        <v>45851</v>
      </c>
      <c r="C1067" t="s">
        <v>324</v>
      </c>
      <c r="D1067" t="s">
        <v>80</v>
      </c>
      <c r="E1067" t="s">
        <v>92</v>
      </c>
      <c r="F1067" t="s">
        <v>14</v>
      </c>
      <c r="G1067">
        <v>103.49</v>
      </c>
      <c r="H1067" t="s">
        <v>15</v>
      </c>
      <c r="I1067" t="s">
        <v>36</v>
      </c>
      <c r="J1067" t="s">
        <v>161</v>
      </c>
    </row>
    <row r="1068" spans="1:10" x14ac:dyDescent="0.35">
      <c r="A1068" t="s">
        <v>1243</v>
      </c>
      <c r="B1068" s="10">
        <v>45851</v>
      </c>
      <c r="C1068" t="s">
        <v>153</v>
      </c>
      <c r="D1068" t="s">
        <v>34</v>
      </c>
      <c r="E1068" t="s">
        <v>122</v>
      </c>
      <c r="F1068" t="s">
        <v>14</v>
      </c>
      <c r="G1068">
        <v>221.54</v>
      </c>
      <c r="H1068" t="s">
        <v>15</v>
      </c>
      <c r="I1068" t="s">
        <v>36</v>
      </c>
      <c r="J1068" t="s">
        <v>41</v>
      </c>
    </row>
    <row r="1069" spans="1:10" x14ac:dyDescent="0.35">
      <c r="A1069" t="s">
        <v>1244</v>
      </c>
      <c r="B1069" s="10">
        <v>45851</v>
      </c>
      <c r="C1069" t="s">
        <v>189</v>
      </c>
      <c r="D1069" t="s">
        <v>34</v>
      </c>
      <c r="E1069" t="s">
        <v>122</v>
      </c>
      <c r="F1069" t="s">
        <v>14</v>
      </c>
      <c r="G1069">
        <v>221.23</v>
      </c>
      <c r="H1069" t="s">
        <v>15</v>
      </c>
      <c r="I1069" t="s">
        <v>47</v>
      </c>
      <c r="J1069" t="s">
        <v>37</v>
      </c>
    </row>
    <row r="1070" spans="1:10" x14ac:dyDescent="0.35">
      <c r="A1070" t="s">
        <v>1245</v>
      </c>
      <c r="B1070" s="10">
        <v>45852</v>
      </c>
      <c r="C1070" t="s">
        <v>130</v>
      </c>
      <c r="D1070" t="s">
        <v>12</v>
      </c>
      <c r="E1070" t="s">
        <v>26</v>
      </c>
      <c r="F1070" t="s">
        <v>14</v>
      </c>
      <c r="G1070">
        <v>36.159999999999997</v>
      </c>
      <c r="H1070" t="s">
        <v>21</v>
      </c>
      <c r="I1070" t="s">
        <v>16</v>
      </c>
      <c r="J1070" t="s">
        <v>48</v>
      </c>
    </row>
    <row r="1071" spans="1:10" x14ac:dyDescent="0.35">
      <c r="A1071" t="s">
        <v>1246</v>
      </c>
      <c r="B1071" s="10">
        <v>45852</v>
      </c>
      <c r="C1071" t="s">
        <v>415</v>
      </c>
      <c r="D1071" t="s">
        <v>12</v>
      </c>
      <c r="E1071" t="s">
        <v>51</v>
      </c>
      <c r="F1071" t="s">
        <v>14</v>
      </c>
      <c r="G1071">
        <v>21.32</v>
      </c>
      <c r="H1071" t="s">
        <v>15</v>
      </c>
      <c r="I1071" t="s">
        <v>36</v>
      </c>
      <c r="J1071" t="s">
        <v>77</v>
      </c>
    </row>
    <row r="1072" spans="1:10" x14ac:dyDescent="0.35">
      <c r="A1072" t="s">
        <v>1247</v>
      </c>
      <c r="B1072" s="10">
        <v>45852</v>
      </c>
      <c r="C1072" t="s">
        <v>50</v>
      </c>
      <c r="D1072" t="s">
        <v>12</v>
      </c>
      <c r="E1072" t="s">
        <v>51</v>
      </c>
      <c r="F1072" t="s">
        <v>14</v>
      </c>
      <c r="G1072">
        <v>30.08</v>
      </c>
      <c r="H1072" t="s">
        <v>21</v>
      </c>
      <c r="I1072" t="s">
        <v>22</v>
      </c>
      <c r="J1072" t="s">
        <v>44</v>
      </c>
    </row>
    <row r="1073" spans="1:10" x14ac:dyDescent="0.35">
      <c r="A1073" t="s">
        <v>1248</v>
      </c>
      <c r="B1073" s="10">
        <v>45852</v>
      </c>
      <c r="C1073" t="s">
        <v>251</v>
      </c>
      <c r="D1073" t="s">
        <v>29</v>
      </c>
      <c r="E1073" t="s">
        <v>151</v>
      </c>
      <c r="F1073" t="s">
        <v>14</v>
      </c>
      <c r="G1073">
        <v>18.68</v>
      </c>
      <c r="H1073" t="s">
        <v>15</v>
      </c>
      <c r="I1073" t="s">
        <v>36</v>
      </c>
      <c r="J1073" t="s">
        <v>31</v>
      </c>
    </row>
    <row r="1074" spans="1:10" x14ac:dyDescent="0.35">
      <c r="A1074" t="s">
        <v>1249</v>
      </c>
      <c r="B1074" s="10">
        <v>45852</v>
      </c>
      <c r="C1074" t="s">
        <v>347</v>
      </c>
      <c r="D1074" t="s">
        <v>29</v>
      </c>
      <c r="E1074" t="s">
        <v>151</v>
      </c>
      <c r="F1074" t="s">
        <v>14</v>
      </c>
      <c r="G1074">
        <v>13.07</v>
      </c>
      <c r="H1074" t="s">
        <v>21</v>
      </c>
      <c r="I1074" t="s">
        <v>22</v>
      </c>
      <c r="J1074" t="s">
        <v>96</v>
      </c>
    </row>
    <row r="1075" spans="1:10" x14ac:dyDescent="0.35">
      <c r="A1075" t="s">
        <v>1250</v>
      </c>
      <c r="B1075" s="10">
        <v>45852</v>
      </c>
      <c r="C1075" t="s">
        <v>324</v>
      </c>
      <c r="D1075" t="s">
        <v>80</v>
      </c>
      <c r="E1075" t="s">
        <v>92</v>
      </c>
      <c r="F1075" t="s">
        <v>14</v>
      </c>
      <c r="G1075">
        <v>50.44</v>
      </c>
      <c r="H1075" t="s">
        <v>15</v>
      </c>
      <c r="I1075" t="s">
        <v>22</v>
      </c>
      <c r="J1075" t="s">
        <v>161</v>
      </c>
    </row>
    <row r="1076" spans="1:10" x14ac:dyDescent="0.35">
      <c r="A1076" t="s">
        <v>1251</v>
      </c>
      <c r="B1076" s="10">
        <v>45852</v>
      </c>
      <c r="C1076" t="s">
        <v>138</v>
      </c>
      <c r="D1076" t="s">
        <v>12</v>
      </c>
      <c r="E1076" t="s">
        <v>26</v>
      </c>
      <c r="F1076" t="s">
        <v>14</v>
      </c>
      <c r="G1076">
        <v>99.08</v>
      </c>
      <c r="H1076" t="s">
        <v>15</v>
      </c>
      <c r="I1076" t="s">
        <v>36</v>
      </c>
      <c r="J1076" t="s">
        <v>77</v>
      </c>
    </row>
    <row r="1077" spans="1:10" x14ac:dyDescent="0.35">
      <c r="A1077" t="s">
        <v>1252</v>
      </c>
      <c r="B1077" s="10">
        <v>45852</v>
      </c>
      <c r="C1077" t="s">
        <v>272</v>
      </c>
      <c r="D1077" t="s">
        <v>54</v>
      </c>
      <c r="E1077" t="s">
        <v>55</v>
      </c>
      <c r="F1077" t="s">
        <v>54</v>
      </c>
      <c r="G1077">
        <v>731.77</v>
      </c>
      <c r="H1077" t="s">
        <v>15</v>
      </c>
      <c r="I1077" t="s">
        <v>16</v>
      </c>
      <c r="J1077" t="s">
        <v>65</v>
      </c>
    </row>
    <row r="1078" spans="1:10" x14ac:dyDescent="0.35">
      <c r="A1078" t="s">
        <v>1253</v>
      </c>
      <c r="B1078" s="10">
        <v>45852</v>
      </c>
      <c r="C1078" t="s">
        <v>204</v>
      </c>
      <c r="D1078" t="s">
        <v>12</v>
      </c>
      <c r="E1078" t="s">
        <v>51</v>
      </c>
      <c r="F1078" t="s">
        <v>14</v>
      </c>
      <c r="G1078">
        <v>77.86</v>
      </c>
      <c r="H1078" t="s">
        <v>15</v>
      </c>
      <c r="I1078" t="s">
        <v>36</v>
      </c>
      <c r="J1078" t="s">
        <v>23</v>
      </c>
    </row>
    <row r="1079" spans="1:10" x14ac:dyDescent="0.35">
      <c r="A1079" t="s">
        <v>1254</v>
      </c>
      <c r="B1079" s="10">
        <v>45852</v>
      </c>
      <c r="C1079" t="s">
        <v>88</v>
      </c>
      <c r="D1079" t="s">
        <v>54</v>
      </c>
      <c r="E1079" t="s">
        <v>74</v>
      </c>
      <c r="F1079" t="s">
        <v>54</v>
      </c>
      <c r="G1079">
        <v>2612.9499999999998</v>
      </c>
      <c r="H1079" t="s">
        <v>15</v>
      </c>
      <c r="I1079" t="s">
        <v>22</v>
      </c>
      <c r="J1079" t="s">
        <v>89</v>
      </c>
    </row>
    <row r="1080" spans="1:10" x14ac:dyDescent="0.35">
      <c r="A1080" t="s">
        <v>1255</v>
      </c>
      <c r="B1080" s="10">
        <v>45853</v>
      </c>
      <c r="C1080" t="s">
        <v>28</v>
      </c>
      <c r="D1080" t="s">
        <v>29</v>
      </c>
      <c r="E1080" t="s">
        <v>30</v>
      </c>
      <c r="F1080" t="s">
        <v>14</v>
      </c>
      <c r="G1080">
        <v>61.15</v>
      </c>
      <c r="H1080" t="s">
        <v>15</v>
      </c>
      <c r="I1080" t="s">
        <v>22</v>
      </c>
      <c r="J1080" t="s">
        <v>31</v>
      </c>
    </row>
    <row r="1081" spans="1:10" x14ac:dyDescent="0.35">
      <c r="A1081" t="s">
        <v>1256</v>
      </c>
      <c r="B1081" s="10">
        <v>45853</v>
      </c>
      <c r="C1081" t="s">
        <v>272</v>
      </c>
      <c r="D1081" t="s">
        <v>54</v>
      </c>
      <c r="E1081" t="s">
        <v>55</v>
      </c>
      <c r="F1081" t="s">
        <v>54</v>
      </c>
      <c r="G1081">
        <v>715.81</v>
      </c>
      <c r="H1081" t="s">
        <v>15</v>
      </c>
      <c r="I1081" t="s">
        <v>22</v>
      </c>
      <c r="J1081" t="s">
        <v>65</v>
      </c>
    </row>
    <row r="1082" spans="1:10" x14ac:dyDescent="0.35">
      <c r="A1082" t="s">
        <v>1257</v>
      </c>
      <c r="B1082" s="10">
        <v>45853</v>
      </c>
      <c r="C1082" t="s">
        <v>267</v>
      </c>
      <c r="D1082" t="s">
        <v>29</v>
      </c>
      <c r="E1082" t="s">
        <v>30</v>
      </c>
      <c r="F1082" t="s">
        <v>14</v>
      </c>
      <c r="G1082">
        <v>5</v>
      </c>
      <c r="H1082" t="s">
        <v>21</v>
      </c>
      <c r="I1082" t="s">
        <v>47</v>
      </c>
      <c r="J1082" t="s">
        <v>96</v>
      </c>
    </row>
    <row r="1083" spans="1:10" x14ac:dyDescent="0.35">
      <c r="A1083" t="s">
        <v>1258</v>
      </c>
      <c r="B1083" s="10">
        <v>45853</v>
      </c>
      <c r="C1083" t="s">
        <v>46</v>
      </c>
      <c r="D1083" t="s">
        <v>12</v>
      </c>
      <c r="E1083" t="s">
        <v>13</v>
      </c>
      <c r="F1083" t="s">
        <v>14</v>
      </c>
      <c r="G1083">
        <v>23.95</v>
      </c>
      <c r="H1083" t="s">
        <v>15</v>
      </c>
      <c r="I1083" t="s">
        <v>47</v>
      </c>
      <c r="J1083" t="s">
        <v>48</v>
      </c>
    </row>
    <row r="1084" spans="1:10" x14ac:dyDescent="0.35">
      <c r="A1084" t="s">
        <v>1259</v>
      </c>
      <c r="B1084" s="10">
        <v>45853</v>
      </c>
      <c r="C1084" t="s">
        <v>50</v>
      </c>
      <c r="D1084" t="s">
        <v>12</v>
      </c>
      <c r="E1084" t="s">
        <v>51</v>
      </c>
      <c r="F1084" t="s">
        <v>14</v>
      </c>
      <c r="G1084">
        <v>80.11</v>
      </c>
      <c r="H1084" t="s">
        <v>15</v>
      </c>
      <c r="I1084" t="s">
        <v>36</v>
      </c>
      <c r="J1084" t="s">
        <v>44</v>
      </c>
    </row>
    <row r="1085" spans="1:10" x14ac:dyDescent="0.35">
      <c r="A1085" t="s">
        <v>1260</v>
      </c>
      <c r="B1085" s="10">
        <v>45853</v>
      </c>
      <c r="C1085" t="s">
        <v>33</v>
      </c>
      <c r="D1085" t="s">
        <v>34</v>
      </c>
      <c r="E1085" t="s">
        <v>35</v>
      </c>
      <c r="F1085" t="s">
        <v>14</v>
      </c>
      <c r="G1085">
        <v>156.58000000000001</v>
      </c>
      <c r="H1085" t="s">
        <v>98</v>
      </c>
      <c r="I1085" t="s">
        <v>47</v>
      </c>
      <c r="J1085" t="s">
        <v>37</v>
      </c>
    </row>
    <row r="1086" spans="1:10" x14ac:dyDescent="0.35">
      <c r="A1086" t="s">
        <v>1261</v>
      </c>
      <c r="B1086" s="10">
        <v>45854</v>
      </c>
      <c r="C1086" t="s">
        <v>411</v>
      </c>
      <c r="D1086" t="s">
        <v>29</v>
      </c>
      <c r="E1086" t="s">
        <v>151</v>
      </c>
      <c r="F1086" t="s">
        <v>14</v>
      </c>
      <c r="G1086">
        <v>42.83</v>
      </c>
      <c r="H1086" t="s">
        <v>21</v>
      </c>
      <c r="I1086" t="s">
        <v>47</v>
      </c>
      <c r="J1086" t="s">
        <v>151</v>
      </c>
    </row>
    <row r="1087" spans="1:10" x14ac:dyDescent="0.35">
      <c r="A1087" t="s">
        <v>1262</v>
      </c>
      <c r="B1087" s="10">
        <v>45854</v>
      </c>
      <c r="C1087" t="s">
        <v>210</v>
      </c>
      <c r="D1087" t="s">
        <v>59</v>
      </c>
      <c r="E1087" t="s">
        <v>185</v>
      </c>
      <c r="F1087" t="s">
        <v>14</v>
      </c>
      <c r="G1087">
        <v>516.54999999999995</v>
      </c>
      <c r="H1087" t="s">
        <v>98</v>
      </c>
      <c r="I1087" t="s">
        <v>84</v>
      </c>
      <c r="J1087" t="s">
        <v>211</v>
      </c>
    </row>
    <row r="1088" spans="1:10" x14ac:dyDescent="0.35">
      <c r="A1088" t="s">
        <v>1263</v>
      </c>
      <c r="B1088" s="10">
        <v>45854</v>
      </c>
      <c r="C1088" t="s">
        <v>150</v>
      </c>
      <c r="D1088" t="s">
        <v>29</v>
      </c>
      <c r="E1088" t="s">
        <v>30</v>
      </c>
      <c r="F1088" t="s">
        <v>14</v>
      </c>
      <c r="G1088">
        <v>43.23</v>
      </c>
      <c r="H1088" t="s">
        <v>21</v>
      </c>
      <c r="I1088" t="s">
        <v>22</v>
      </c>
      <c r="J1088" t="s">
        <v>151</v>
      </c>
    </row>
    <row r="1089" spans="1:10" x14ac:dyDescent="0.35">
      <c r="A1089" t="s">
        <v>1264</v>
      </c>
      <c r="B1089" s="10">
        <v>45854</v>
      </c>
      <c r="C1089" t="s">
        <v>298</v>
      </c>
      <c r="D1089" t="s">
        <v>59</v>
      </c>
      <c r="E1089" t="s">
        <v>185</v>
      </c>
      <c r="F1089" t="s">
        <v>14</v>
      </c>
      <c r="G1089">
        <v>486.32</v>
      </c>
      <c r="H1089" t="s">
        <v>15</v>
      </c>
      <c r="I1089" t="s">
        <v>84</v>
      </c>
      <c r="J1089" t="s">
        <v>170</v>
      </c>
    </row>
    <row r="1090" spans="1:10" x14ac:dyDescent="0.35">
      <c r="A1090" t="s">
        <v>1265</v>
      </c>
      <c r="B1090" s="10">
        <v>45854</v>
      </c>
      <c r="C1090" t="s">
        <v>298</v>
      </c>
      <c r="D1090" t="s">
        <v>59</v>
      </c>
      <c r="E1090" t="s">
        <v>185</v>
      </c>
      <c r="F1090" t="s">
        <v>14</v>
      </c>
      <c r="G1090">
        <v>142.74</v>
      </c>
      <c r="H1090" t="s">
        <v>15</v>
      </c>
      <c r="I1090" t="s">
        <v>36</v>
      </c>
      <c r="J1090" t="s">
        <v>170</v>
      </c>
    </row>
    <row r="1091" spans="1:10" x14ac:dyDescent="0.35">
      <c r="A1091" t="s">
        <v>1266</v>
      </c>
      <c r="B1091" s="10">
        <v>45855</v>
      </c>
      <c r="C1091" t="s">
        <v>53</v>
      </c>
      <c r="D1091" t="s">
        <v>54</v>
      </c>
      <c r="E1091" t="s">
        <v>55</v>
      </c>
      <c r="F1091" t="s">
        <v>54</v>
      </c>
      <c r="G1091">
        <v>769.58</v>
      </c>
      <c r="H1091" t="s">
        <v>15</v>
      </c>
      <c r="I1091" t="s">
        <v>22</v>
      </c>
      <c r="J1091" t="s">
        <v>56</v>
      </c>
    </row>
    <row r="1092" spans="1:10" x14ac:dyDescent="0.35">
      <c r="A1092" t="s">
        <v>1267</v>
      </c>
      <c r="B1092" s="10">
        <v>45855</v>
      </c>
      <c r="C1092" t="s">
        <v>168</v>
      </c>
      <c r="D1092" t="s">
        <v>59</v>
      </c>
      <c r="E1092" t="s">
        <v>60</v>
      </c>
      <c r="F1092" t="s">
        <v>14</v>
      </c>
      <c r="G1092">
        <v>395.31</v>
      </c>
      <c r="H1092" t="s">
        <v>21</v>
      </c>
      <c r="I1092" t="s">
        <v>22</v>
      </c>
      <c r="J1092" t="s">
        <v>170</v>
      </c>
    </row>
    <row r="1093" spans="1:10" x14ac:dyDescent="0.35">
      <c r="A1093" t="s">
        <v>1268</v>
      </c>
      <c r="B1093" s="10">
        <v>45855</v>
      </c>
      <c r="C1093" t="s">
        <v>415</v>
      </c>
      <c r="D1093" t="s">
        <v>12</v>
      </c>
      <c r="E1093" t="s">
        <v>51</v>
      </c>
      <c r="F1093" t="s">
        <v>14</v>
      </c>
      <c r="G1093">
        <v>91.35</v>
      </c>
      <c r="H1093" t="s">
        <v>15</v>
      </c>
      <c r="I1093" t="s">
        <v>36</v>
      </c>
      <c r="J1093" t="s">
        <v>77</v>
      </c>
    </row>
    <row r="1094" spans="1:10" x14ac:dyDescent="0.35">
      <c r="A1094" t="s">
        <v>1269</v>
      </c>
      <c r="B1094" s="10">
        <v>45856</v>
      </c>
      <c r="C1094" t="s">
        <v>100</v>
      </c>
      <c r="D1094" t="s">
        <v>101</v>
      </c>
      <c r="E1094" t="s">
        <v>102</v>
      </c>
      <c r="F1094" t="s">
        <v>14</v>
      </c>
      <c r="G1094">
        <v>90.23</v>
      </c>
      <c r="H1094" t="s">
        <v>98</v>
      </c>
      <c r="I1094" t="s">
        <v>22</v>
      </c>
      <c r="J1094" t="s">
        <v>103</v>
      </c>
    </row>
    <row r="1095" spans="1:10" x14ac:dyDescent="0.35">
      <c r="A1095" t="s">
        <v>1270</v>
      </c>
      <c r="B1095" s="10">
        <v>45856</v>
      </c>
      <c r="C1095" t="s">
        <v>259</v>
      </c>
      <c r="D1095" t="s">
        <v>59</v>
      </c>
      <c r="E1095" t="s">
        <v>199</v>
      </c>
      <c r="F1095" t="s">
        <v>14</v>
      </c>
      <c r="G1095">
        <v>950</v>
      </c>
      <c r="H1095" t="s">
        <v>15</v>
      </c>
      <c r="I1095" t="s">
        <v>22</v>
      </c>
      <c r="J1095" t="s">
        <v>170</v>
      </c>
    </row>
    <row r="1096" spans="1:10" x14ac:dyDescent="0.35">
      <c r="A1096" t="s">
        <v>1271</v>
      </c>
      <c r="B1096" s="10">
        <v>45856</v>
      </c>
      <c r="C1096" t="s">
        <v>125</v>
      </c>
      <c r="D1096" t="s">
        <v>12</v>
      </c>
      <c r="E1096" t="s">
        <v>13</v>
      </c>
      <c r="F1096" t="s">
        <v>14</v>
      </c>
      <c r="G1096">
        <v>29.01</v>
      </c>
      <c r="H1096" t="s">
        <v>15</v>
      </c>
      <c r="I1096" t="s">
        <v>84</v>
      </c>
      <c r="J1096" t="s">
        <v>44</v>
      </c>
    </row>
    <row r="1097" spans="1:10" x14ac:dyDescent="0.35">
      <c r="A1097" t="s">
        <v>1272</v>
      </c>
      <c r="B1097" s="10">
        <v>45856</v>
      </c>
      <c r="C1097" t="s">
        <v>229</v>
      </c>
      <c r="D1097" t="s">
        <v>54</v>
      </c>
      <c r="E1097" t="s">
        <v>64</v>
      </c>
      <c r="F1097" t="s">
        <v>54</v>
      </c>
      <c r="G1097">
        <v>327.29000000000002</v>
      </c>
      <c r="H1097" t="s">
        <v>15</v>
      </c>
      <c r="I1097" t="s">
        <v>36</v>
      </c>
      <c r="J1097" t="s">
        <v>56</v>
      </c>
    </row>
    <row r="1098" spans="1:10" x14ac:dyDescent="0.35">
      <c r="A1098" t="s">
        <v>1273</v>
      </c>
      <c r="B1098" s="10">
        <v>45856</v>
      </c>
      <c r="C1098" t="s">
        <v>63</v>
      </c>
      <c r="D1098" t="s">
        <v>54</v>
      </c>
      <c r="E1098" t="s">
        <v>64</v>
      </c>
      <c r="F1098" t="s">
        <v>54</v>
      </c>
      <c r="G1098">
        <v>408.28</v>
      </c>
      <c r="H1098" t="s">
        <v>21</v>
      </c>
      <c r="I1098" t="s">
        <v>47</v>
      </c>
      <c r="J1098" t="s">
        <v>65</v>
      </c>
    </row>
    <row r="1099" spans="1:10" x14ac:dyDescent="0.35">
      <c r="A1099" t="s">
        <v>1274</v>
      </c>
      <c r="B1099" s="10">
        <v>45856</v>
      </c>
      <c r="C1099" t="s">
        <v>229</v>
      </c>
      <c r="D1099" t="s">
        <v>54</v>
      </c>
      <c r="E1099" t="s">
        <v>64</v>
      </c>
      <c r="F1099" t="s">
        <v>54</v>
      </c>
      <c r="G1099">
        <v>322.06</v>
      </c>
      <c r="H1099" t="s">
        <v>15</v>
      </c>
      <c r="I1099" t="s">
        <v>22</v>
      </c>
      <c r="J1099" t="s">
        <v>56</v>
      </c>
    </row>
    <row r="1100" spans="1:10" x14ac:dyDescent="0.35">
      <c r="A1100" t="s">
        <v>1275</v>
      </c>
      <c r="B1100" s="10">
        <v>45856</v>
      </c>
      <c r="C1100" t="s">
        <v>150</v>
      </c>
      <c r="D1100" t="s">
        <v>29</v>
      </c>
      <c r="E1100" t="s">
        <v>30</v>
      </c>
      <c r="F1100" t="s">
        <v>14</v>
      </c>
      <c r="G1100">
        <v>53.55</v>
      </c>
      <c r="H1100" t="s">
        <v>15</v>
      </c>
      <c r="I1100" t="s">
        <v>47</v>
      </c>
      <c r="J1100" t="s">
        <v>151</v>
      </c>
    </row>
    <row r="1101" spans="1:10" x14ac:dyDescent="0.35">
      <c r="A1101" t="s">
        <v>1276</v>
      </c>
      <c r="B1101" s="10">
        <v>45856</v>
      </c>
      <c r="C1101" t="s">
        <v>43</v>
      </c>
      <c r="D1101" t="s">
        <v>12</v>
      </c>
      <c r="E1101" t="s">
        <v>26</v>
      </c>
      <c r="F1101" t="s">
        <v>14</v>
      </c>
      <c r="G1101">
        <v>29.25</v>
      </c>
      <c r="H1101" t="s">
        <v>98</v>
      </c>
      <c r="I1101" t="s">
        <v>36</v>
      </c>
      <c r="J1101" t="s">
        <v>44</v>
      </c>
    </row>
    <row r="1102" spans="1:10" x14ac:dyDescent="0.35">
      <c r="A1102" t="s">
        <v>1277</v>
      </c>
      <c r="B1102" s="10">
        <v>45856</v>
      </c>
      <c r="C1102" t="s">
        <v>153</v>
      </c>
      <c r="D1102" t="s">
        <v>34</v>
      </c>
      <c r="E1102" t="s">
        <v>122</v>
      </c>
      <c r="F1102" t="s">
        <v>14</v>
      </c>
      <c r="G1102">
        <v>11.07</v>
      </c>
      <c r="H1102" t="s">
        <v>15</v>
      </c>
      <c r="I1102" t="s">
        <v>22</v>
      </c>
      <c r="J1102" t="s">
        <v>41</v>
      </c>
    </row>
    <row r="1103" spans="1:10" x14ac:dyDescent="0.35">
      <c r="A1103" t="s">
        <v>1278</v>
      </c>
      <c r="B1103" s="10">
        <v>45856</v>
      </c>
      <c r="C1103" t="s">
        <v>50</v>
      </c>
      <c r="D1103" t="s">
        <v>12</v>
      </c>
      <c r="E1103" t="s">
        <v>51</v>
      </c>
      <c r="F1103" t="s">
        <v>14</v>
      </c>
      <c r="G1103">
        <v>60.05</v>
      </c>
      <c r="H1103" t="s">
        <v>15</v>
      </c>
      <c r="I1103" t="s">
        <v>47</v>
      </c>
      <c r="J1103" t="s">
        <v>44</v>
      </c>
    </row>
    <row r="1104" spans="1:10" x14ac:dyDescent="0.35">
      <c r="A1104" t="s">
        <v>1279</v>
      </c>
      <c r="B1104" s="10">
        <v>45857</v>
      </c>
      <c r="C1104" t="s">
        <v>194</v>
      </c>
      <c r="D1104" t="s">
        <v>101</v>
      </c>
      <c r="E1104" t="s">
        <v>136</v>
      </c>
      <c r="F1104" t="s">
        <v>14</v>
      </c>
      <c r="G1104">
        <v>236.29</v>
      </c>
      <c r="H1104" t="s">
        <v>15</v>
      </c>
      <c r="I1104" t="s">
        <v>22</v>
      </c>
      <c r="J1104" t="s">
        <v>103</v>
      </c>
    </row>
    <row r="1105" spans="1:10" x14ac:dyDescent="0.35">
      <c r="A1105" t="s">
        <v>1280</v>
      </c>
      <c r="B1105" s="10">
        <v>45857</v>
      </c>
      <c r="C1105" t="s">
        <v>324</v>
      </c>
      <c r="D1105" t="s">
        <v>80</v>
      </c>
      <c r="E1105" t="s">
        <v>92</v>
      </c>
      <c r="F1105" t="s">
        <v>14</v>
      </c>
      <c r="G1105">
        <v>35.33</v>
      </c>
      <c r="H1105" t="s">
        <v>15</v>
      </c>
      <c r="I1105" t="s">
        <v>16</v>
      </c>
      <c r="J1105" t="s">
        <v>161</v>
      </c>
    </row>
    <row r="1106" spans="1:10" x14ac:dyDescent="0.35">
      <c r="A1106" t="s">
        <v>1281</v>
      </c>
      <c r="B1106" s="10">
        <v>45857</v>
      </c>
      <c r="C1106" t="s">
        <v>155</v>
      </c>
      <c r="D1106" t="s">
        <v>12</v>
      </c>
      <c r="E1106" t="s">
        <v>51</v>
      </c>
      <c r="F1106" t="s">
        <v>14</v>
      </c>
      <c r="G1106">
        <v>30.58</v>
      </c>
      <c r="H1106" t="s">
        <v>21</v>
      </c>
      <c r="I1106" t="s">
        <v>36</v>
      </c>
      <c r="J1106" t="s">
        <v>48</v>
      </c>
    </row>
    <row r="1107" spans="1:10" x14ac:dyDescent="0.35">
      <c r="A1107" t="s">
        <v>1282</v>
      </c>
      <c r="B1107" s="10">
        <v>45857</v>
      </c>
      <c r="C1107" t="s">
        <v>11</v>
      </c>
      <c r="D1107" t="s">
        <v>12</v>
      </c>
      <c r="E1107" t="s">
        <v>13</v>
      </c>
      <c r="F1107" t="s">
        <v>14</v>
      </c>
      <c r="G1107">
        <v>34.15</v>
      </c>
      <c r="H1107" t="s">
        <v>21</v>
      </c>
      <c r="I1107" t="s">
        <v>16</v>
      </c>
      <c r="J1107" t="s">
        <v>17</v>
      </c>
    </row>
    <row r="1108" spans="1:10" x14ac:dyDescent="0.35">
      <c r="A1108" t="s">
        <v>1283</v>
      </c>
      <c r="B1108" s="10">
        <v>45857</v>
      </c>
      <c r="C1108" t="s">
        <v>238</v>
      </c>
      <c r="D1108" t="s">
        <v>34</v>
      </c>
      <c r="E1108" t="s">
        <v>35</v>
      </c>
      <c r="F1108" t="s">
        <v>14</v>
      </c>
      <c r="G1108">
        <v>275.58999999999997</v>
      </c>
      <c r="H1108" t="s">
        <v>15</v>
      </c>
      <c r="I1108" t="s">
        <v>22</v>
      </c>
      <c r="J1108" t="s">
        <v>239</v>
      </c>
    </row>
    <row r="1109" spans="1:10" x14ac:dyDescent="0.35">
      <c r="A1109" t="s">
        <v>1284</v>
      </c>
      <c r="B1109" s="10">
        <v>45857</v>
      </c>
      <c r="C1109" t="s">
        <v>272</v>
      </c>
      <c r="D1109" t="s">
        <v>54</v>
      </c>
      <c r="E1109" t="s">
        <v>55</v>
      </c>
      <c r="F1109" t="s">
        <v>54</v>
      </c>
      <c r="G1109">
        <v>774.1</v>
      </c>
      <c r="H1109" t="s">
        <v>15</v>
      </c>
      <c r="I1109" t="s">
        <v>84</v>
      </c>
      <c r="J1109" t="s">
        <v>65</v>
      </c>
    </row>
    <row r="1110" spans="1:10" x14ac:dyDescent="0.35">
      <c r="A1110" t="s">
        <v>1285</v>
      </c>
      <c r="B1110" s="10">
        <v>45858</v>
      </c>
      <c r="C1110" t="s">
        <v>175</v>
      </c>
      <c r="D1110" t="s">
        <v>80</v>
      </c>
      <c r="E1110" t="s">
        <v>92</v>
      </c>
      <c r="F1110" t="s">
        <v>14</v>
      </c>
      <c r="G1110">
        <v>126.74</v>
      </c>
      <c r="H1110" t="s">
        <v>21</v>
      </c>
      <c r="I1110" t="s">
        <v>47</v>
      </c>
      <c r="J1110" t="s">
        <v>141</v>
      </c>
    </row>
    <row r="1111" spans="1:10" x14ac:dyDescent="0.35">
      <c r="A1111" t="s">
        <v>1286</v>
      </c>
      <c r="B1111" s="10">
        <v>45858</v>
      </c>
      <c r="C1111" t="s">
        <v>308</v>
      </c>
      <c r="D1111" t="s">
        <v>54</v>
      </c>
      <c r="E1111" t="s">
        <v>64</v>
      </c>
      <c r="F1111" t="s">
        <v>54</v>
      </c>
      <c r="G1111">
        <v>314.82</v>
      </c>
      <c r="H1111" t="s">
        <v>21</v>
      </c>
      <c r="I1111" t="s">
        <v>47</v>
      </c>
      <c r="J1111" t="s">
        <v>89</v>
      </c>
    </row>
    <row r="1112" spans="1:10" x14ac:dyDescent="0.35">
      <c r="A1112" t="s">
        <v>1287</v>
      </c>
      <c r="B1112" s="10">
        <v>45858</v>
      </c>
      <c r="C1112" t="s">
        <v>262</v>
      </c>
      <c r="D1112" t="s">
        <v>101</v>
      </c>
      <c r="E1112" t="s">
        <v>244</v>
      </c>
      <c r="F1112" t="s">
        <v>14</v>
      </c>
      <c r="G1112">
        <v>161.19999999999999</v>
      </c>
      <c r="H1112" t="s">
        <v>21</v>
      </c>
      <c r="I1112" t="s">
        <v>16</v>
      </c>
      <c r="J1112" t="s">
        <v>136</v>
      </c>
    </row>
    <row r="1113" spans="1:10" x14ac:dyDescent="0.35">
      <c r="A1113" t="s">
        <v>1288</v>
      </c>
      <c r="B1113" s="10">
        <v>45858</v>
      </c>
      <c r="C1113" t="s">
        <v>63</v>
      </c>
      <c r="D1113" t="s">
        <v>54</v>
      </c>
      <c r="E1113" t="s">
        <v>64</v>
      </c>
      <c r="F1113" t="s">
        <v>54</v>
      </c>
      <c r="G1113">
        <v>282.52999999999997</v>
      </c>
      <c r="H1113" t="s">
        <v>15</v>
      </c>
      <c r="I1113" t="s">
        <v>47</v>
      </c>
      <c r="J1113" t="s">
        <v>65</v>
      </c>
    </row>
    <row r="1114" spans="1:10" x14ac:dyDescent="0.35">
      <c r="A1114" t="s">
        <v>1289</v>
      </c>
      <c r="B1114" s="10">
        <v>45858</v>
      </c>
      <c r="C1114" t="s">
        <v>259</v>
      </c>
      <c r="D1114" t="s">
        <v>59</v>
      </c>
      <c r="E1114" t="s">
        <v>199</v>
      </c>
      <c r="F1114" t="s">
        <v>14</v>
      </c>
      <c r="G1114">
        <v>741.33</v>
      </c>
      <c r="H1114" t="s">
        <v>15</v>
      </c>
      <c r="I1114" t="s">
        <v>47</v>
      </c>
      <c r="J1114" t="s">
        <v>170</v>
      </c>
    </row>
    <row r="1115" spans="1:10" x14ac:dyDescent="0.35">
      <c r="A1115" t="s">
        <v>1290</v>
      </c>
      <c r="B1115" s="10">
        <v>45858</v>
      </c>
      <c r="C1115" t="s">
        <v>194</v>
      </c>
      <c r="D1115" t="s">
        <v>101</v>
      </c>
      <c r="E1115" t="s">
        <v>136</v>
      </c>
      <c r="F1115" t="s">
        <v>14</v>
      </c>
      <c r="G1115">
        <v>71.680000000000007</v>
      </c>
      <c r="H1115" t="s">
        <v>15</v>
      </c>
      <c r="I1115" t="s">
        <v>36</v>
      </c>
      <c r="J1115" t="s">
        <v>103</v>
      </c>
    </row>
    <row r="1116" spans="1:10" x14ac:dyDescent="0.35">
      <c r="A1116" t="s">
        <v>1291</v>
      </c>
      <c r="B1116" s="10">
        <v>45858</v>
      </c>
      <c r="C1116" t="s">
        <v>308</v>
      </c>
      <c r="D1116" t="s">
        <v>54</v>
      </c>
      <c r="E1116" t="s">
        <v>64</v>
      </c>
      <c r="F1116" t="s">
        <v>54</v>
      </c>
      <c r="G1116">
        <v>336.65</v>
      </c>
      <c r="H1116" t="s">
        <v>15</v>
      </c>
      <c r="I1116" t="s">
        <v>22</v>
      </c>
      <c r="J1116" t="s">
        <v>89</v>
      </c>
    </row>
    <row r="1117" spans="1:10" x14ac:dyDescent="0.35">
      <c r="A1117" t="s">
        <v>1292</v>
      </c>
      <c r="B1117" s="10">
        <v>45859</v>
      </c>
      <c r="C1117" t="s">
        <v>298</v>
      </c>
      <c r="D1117" t="s">
        <v>59</v>
      </c>
      <c r="E1117" t="s">
        <v>185</v>
      </c>
      <c r="F1117" t="s">
        <v>14</v>
      </c>
      <c r="G1117">
        <v>278.25</v>
      </c>
      <c r="H1117" t="s">
        <v>15</v>
      </c>
      <c r="I1117" t="s">
        <v>36</v>
      </c>
      <c r="J1117" t="s">
        <v>170</v>
      </c>
    </row>
    <row r="1118" spans="1:10" x14ac:dyDescent="0.35">
      <c r="A1118" t="s">
        <v>1293</v>
      </c>
      <c r="B1118" s="10">
        <v>45859</v>
      </c>
      <c r="C1118" t="s">
        <v>267</v>
      </c>
      <c r="D1118" t="s">
        <v>29</v>
      </c>
      <c r="E1118" t="s">
        <v>30</v>
      </c>
      <c r="F1118" t="s">
        <v>14</v>
      </c>
      <c r="G1118">
        <v>14.54</v>
      </c>
      <c r="H1118" t="s">
        <v>15</v>
      </c>
      <c r="I1118" t="s">
        <v>47</v>
      </c>
      <c r="J1118" t="s">
        <v>96</v>
      </c>
    </row>
    <row r="1119" spans="1:10" x14ac:dyDescent="0.35">
      <c r="A1119" t="s">
        <v>1294</v>
      </c>
      <c r="B1119" s="10">
        <v>45859</v>
      </c>
      <c r="C1119" t="s">
        <v>172</v>
      </c>
      <c r="D1119" t="s">
        <v>101</v>
      </c>
      <c r="E1119" t="s">
        <v>102</v>
      </c>
      <c r="F1119" t="s">
        <v>14</v>
      </c>
      <c r="G1119">
        <v>174.16</v>
      </c>
      <c r="H1119" t="s">
        <v>15</v>
      </c>
      <c r="I1119" t="s">
        <v>22</v>
      </c>
      <c r="J1119" t="s">
        <v>102</v>
      </c>
    </row>
    <row r="1120" spans="1:10" x14ac:dyDescent="0.35">
      <c r="A1120" t="s">
        <v>1295</v>
      </c>
      <c r="B1120" s="10">
        <v>45859</v>
      </c>
      <c r="C1120" t="s">
        <v>198</v>
      </c>
      <c r="D1120" t="s">
        <v>59</v>
      </c>
      <c r="E1120" t="s">
        <v>199</v>
      </c>
      <c r="F1120" t="s">
        <v>14</v>
      </c>
      <c r="G1120">
        <v>355.85</v>
      </c>
      <c r="H1120" t="s">
        <v>15</v>
      </c>
      <c r="I1120" t="s">
        <v>22</v>
      </c>
      <c r="J1120" t="s">
        <v>61</v>
      </c>
    </row>
    <row r="1121" spans="1:10" x14ac:dyDescent="0.35">
      <c r="A1121" t="s">
        <v>1296</v>
      </c>
      <c r="B1121" s="10">
        <v>45859</v>
      </c>
      <c r="C1121" t="s">
        <v>150</v>
      </c>
      <c r="D1121" t="s">
        <v>29</v>
      </c>
      <c r="E1121" t="s">
        <v>30</v>
      </c>
      <c r="F1121" t="s">
        <v>14</v>
      </c>
      <c r="G1121">
        <v>80.61</v>
      </c>
      <c r="H1121" t="s">
        <v>21</v>
      </c>
      <c r="I1121" t="s">
        <v>36</v>
      </c>
      <c r="J1121" t="s">
        <v>151</v>
      </c>
    </row>
    <row r="1122" spans="1:10" x14ac:dyDescent="0.35">
      <c r="A1122" t="s">
        <v>1297</v>
      </c>
      <c r="B1122" s="10">
        <v>45859</v>
      </c>
      <c r="C1122" t="s">
        <v>121</v>
      </c>
      <c r="D1122" t="s">
        <v>34</v>
      </c>
      <c r="E1122" t="s">
        <v>122</v>
      </c>
      <c r="F1122" t="s">
        <v>14</v>
      </c>
      <c r="G1122">
        <v>103.74</v>
      </c>
      <c r="H1122" t="s">
        <v>15</v>
      </c>
      <c r="I1122" t="s">
        <v>47</v>
      </c>
      <c r="J1122" t="s">
        <v>123</v>
      </c>
    </row>
    <row r="1123" spans="1:10" x14ac:dyDescent="0.35">
      <c r="A1123" t="s">
        <v>1298</v>
      </c>
      <c r="B1123" s="10">
        <v>45859</v>
      </c>
      <c r="C1123" t="s">
        <v>111</v>
      </c>
      <c r="D1123" t="s">
        <v>12</v>
      </c>
      <c r="E1123" t="s">
        <v>26</v>
      </c>
      <c r="F1123" t="s">
        <v>14</v>
      </c>
      <c r="G1123">
        <v>32.659999999999997</v>
      </c>
      <c r="H1123" t="s">
        <v>15</v>
      </c>
      <c r="I1123" t="s">
        <v>22</v>
      </c>
      <c r="J1123" t="s">
        <v>23</v>
      </c>
    </row>
    <row r="1124" spans="1:10" x14ac:dyDescent="0.35">
      <c r="A1124" t="s">
        <v>1299</v>
      </c>
      <c r="B1124" s="10">
        <v>45859</v>
      </c>
      <c r="C1124" t="s">
        <v>100</v>
      </c>
      <c r="D1124" t="s">
        <v>101</v>
      </c>
      <c r="E1124" t="s">
        <v>102</v>
      </c>
      <c r="F1124" t="s">
        <v>14</v>
      </c>
      <c r="G1124">
        <v>240.01</v>
      </c>
      <c r="H1124" t="s">
        <v>21</v>
      </c>
      <c r="I1124" t="s">
        <v>22</v>
      </c>
      <c r="J1124" t="s">
        <v>103</v>
      </c>
    </row>
    <row r="1125" spans="1:10" x14ac:dyDescent="0.35">
      <c r="A1125" t="s">
        <v>1300</v>
      </c>
      <c r="B1125" s="10">
        <v>45859</v>
      </c>
      <c r="C1125" t="s">
        <v>135</v>
      </c>
      <c r="D1125" t="s">
        <v>101</v>
      </c>
      <c r="E1125" t="s">
        <v>102</v>
      </c>
      <c r="F1125" t="s">
        <v>14</v>
      </c>
      <c r="G1125">
        <v>53.06</v>
      </c>
      <c r="H1125" t="s">
        <v>15</v>
      </c>
      <c r="I1125" t="s">
        <v>22</v>
      </c>
      <c r="J1125" t="s">
        <v>136</v>
      </c>
    </row>
    <row r="1126" spans="1:10" x14ac:dyDescent="0.35">
      <c r="A1126" t="s">
        <v>1301</v>
      </c>
      <c r="B1126" s="10">
        <v>45859</v>
      </c>
      <c r="C1126" t="s">
        <v>121</v>
      </c>
      <c r="D1126" t="s">
        <v>34</v>
      </c>
      <c r="E1126" t="s">
        <v>122</v>
      </c>
      <c r="F1126" t="s">
        <v>14</v>
      </c>
      <c r="G1126">
        <v>263.06</v>
      </c>
      <c r="H1126" t="s">
        <v>98</v>
      </c>
      <c r="I1126" t="s">
        <v>36</v>
      </c>
      <c r="J1126" t="s">
        <v>123</v>
      </c>
    </row>
    <row r="1127" spans="1:10" x14ac:dyDescent="0.35">
      <c r="A1127" t="s">
        <v>1302</v>
      </c>
      <c r="B1127" s="10">
        <v>45859</v>
      </c>
      <c r="C1127" t="s">
        <v>227</v>
      </c>
      <c r="D1127" t="s">
        <v>12</v>
      </c>
      <c r="E1127" t="s">
        <v>51</v>
      </c>
      <c r="F1127" t="s">
        <v>14</v>
      </c>
      <c r="G1127">
        <v>21.28</v>
      </c>
      <c r="H1127" t="s">
        <v>21</v>
      </c>
      <c r="I1127" t="s">
        <v>22</v>
      </c>
      <c r="J1127" t="s">
        <v>17</v>
      </c>
    </row>
    <row r="1128" spans="1:10" x14ac:dyDescent="0.35">
      <c r="A1128" t="s">
        <v>1303</v>
      </c>
      <c r="B1128" s="10">
        <v>45859</v>
      </c>
      <c r="C1128" t="s">
        <v>109</v>
      </c>
      <c r="D1128" t="s">
        <v>34</v>
      </c>
      <c r="E1128" t="s">
        <v>35</v>
      </c>
      <c r="F1128" t="s">
        <v>14</v>
      </c>
      <c r="G1128">
        <v>277.73</v>
      </c>
      <c r="H1128" t="s">
        <v>15</v>
      </c>
      <c r="I1128" t="s">
        <v>36</v>
      </c>
      <c r="J1128" t="s">
        <v>41</v>
      </c>
    </row>
    <row r="1129" spans="1:10" x14ac:dyDescent="0.35">
      <c r="A1129" t="s">
        <v>1304</v>
      </c>
      <c r="B1129" s="10">
        <v>45859</v>
      </c>
      <c r="C1129" t="s">
        <v>177</v>
      </c>
      <c r="D1129" t="s">
        <v>54</v>
      </c>
      <c r="E1129" t="s">
        <v>74</v>
      </c>
      <c r="F1129" t="s">
        <v>54</v>
      </c>
      <c r="G1129">
        <v>2333.92</v>
      </c>
      <c r="H1129" t="s">
        <v>15</v>
      </c>
      <c r="I1129" t="s">
        <v>36</v>
      </c>
      <c r="J1129" t="s">
        <v>56</v>
      </c>
    </row>
    <row r="1130" spans="1:10" x14ac:dyDescent="0.35">
      <c r="A1130" t="s">
        <v>1305</v>
      </c>
      <c r="B1130" s="10">
        <v>45860</v>
      </c>
      <c r="C1130" t="s">
        <v>168</v>
      </c>
      <c r="D1130" t="s">
        <v>59</v>
      </c>
      <c r="E1130" t="s">
        <v>60</v>
      </c>
      <c r="F1130" t="s">
        <v>14</v>
      </c>
      <c r="G1130">
        <v>400.34</v>
      </c>
      <c r="H1130" t="s">
        <v>15</v>
      </c>
      <c r="I1130" t="s">
        <v>22</v>
      </c>
      <c r="J1130" t="s">
        <v>170</v>
      </c>
    </row>
    <row r="1131" spans="1:10" x14ac:dyDescent="0.35">
      <c r="A1131" t="s">
        <v>1306</v>
      </c>
      <c r="B1131" s="10">
        <v>45860</v>
      </c>
      <c r="C1131" t="s">
        <v>46</v>
      </c>
      <c r="D1131" t="s">
        <v>12</v>
      </c>
      <c r="E1131" t="s">
        <v>13</v>
      </c>
      <c r="F1131" t="s">
        <v>14</v>
      </c>
      <c r="G1131">
        <v>58.54</v>
      </c>
      <c r="H1131" t="s">
        <v>15</v>
      </c>
      <c r="I1131" t="s">
        <v>84</v>
      </c>
      <c r="J1131" t="s">
        <v>48</v>
      </c>
    </row>
    <row r="1132" spans="1:10" x14ac:dyDescent="0.35">
      <c r="A1132" t="s">
        <v>1307</v>
      </c>
      <c r="B1132" s="10">
        <v>45860</v>
      </c>
      <c r="C1132" t="s">
        <v>143</v>
      </c>
      <c r="D1132" t="s">
        <v>54</v>
      </c>
      <c r="E1132" t="s">
        <v>55</v>
      </c>
      <c r="F1132" t="s">
        <v>54</v>
      </c>
      <c r="G1132">
        <v>643.65</v>
      </c>
      <c r="H1132" t="s">
        <v>15</v>
      </c>
      <c r="I1132" t="s">
        <v>47</v>
      </c>
      <c r="J1132" t="s">
        <v>89</v>
      </c>
    </row>
    <row r="1133" spans="1:10" x14ac:dyDescent="0.35">
      <c r="A1133" t="s">
        <v>1308</v>
      </c>
      <c r="B1133" s="10">
        <v>45860</v>
      </c>
      <c r="C1133" t="s">
        <v>296</v>
      </c>
      <c r="D1133" t="s">
        <v>101</v>
      </c>
      <c r="E1133" t="s">
        <v>136</v>
      </c>
      <c r="F1133" t="s">
        <v>14</v>
      </c>
      <c r="G1133">
        <v>113.35</v>
      </c>
      <c r="H1133" t="s">
        <v>21</v>
      </c>
      <c r="I1133" t="s">
        <v>22</v>
      </c>
      <c r="J1133" t="s">
        <v>136</v>
      </c>
    </row>
    <row r="1134" spans="1:10" x14ac:dyDescent="0.35">
      <c r="A1134" t="s">
        <v>1309</v>
      </c>
      <c r="B1134" s="10">
        <v>45861</v>
      </c>
      <c r="C1134" t="s">
        <v>204</v>
      </c>
      <c r="D1134" t="s">
        <v>12</v>
      </c>
      <c r="E1134" t="s">
        <v>51</v>
      </c>
      <c r="F1134" t="s">
        <v>14</v>
      </c>
      <c r="G1134">
        <v>87.82</v>
      </c>
      <c r="H1134" t="s">
        <v>15</v>
      </c>
      <c r="I1134" t="s">
        <v>36</v>
      </c>
      <c r="J1134" t="s">
        <v>23</v>
      </c>
    </row>
    <row r="1135" spans="1:10" x14ac:dyDescent="0.35">
      <c r="A1135" t="s">
        <v>1310</v>
      </c>
      <c r="B1135" s="10">
        <v>45861</v>
      </c>
      <c r="C1135" t="s">
        <v>113</v>
      </c>
      <c r="D1135" t="s">
        <v>34</v>
      </c>
      <c r="E1135" t="s">
        <v>40</v>
      </c>
      <c r="F1135" t="s">
        <v>14</v>
      </c>
      <c r="G1135">
        <v>134.11000000000001</v>
      </c>
      <c r="H1135" t="s">
        <v>15</v>
      </c>
      <c r="I1135" t="s">
        <v>22</v>
      </c>
      <c r="J1135" t="s">
        <v>37</v>
      </c>
    </row>
    <row r="1136" spans="1:10" x14ac:dyDescent="0.35">
      <c r="A1136" t="s">
        <v>1311</v>
      </c>
      <c r="B1136" s="10">
        <v>45861</v>
      </c>
      <c r="C1136" t="s">
        <v>238</v>
      </c>
      <c r="D1136" t="s">
        <v>34</v>
      </c>
      <c r="E1136" t="s">
        <v>35</v>
      </c>
      <c r="F1136" t="s">
        <v>14</v>
      </c>
      <c r="G1136">
        <v>288.56</v>
      </c>
      <c r="H1136" t="s">
        <v>21</v>
      </c>
      <c r="I1136" t="s">
        <v>22</v>
      </c>
      <c r="J1136" t="s">
        <v>239</v>
      </c>
    </row>
    <row r="1137" spans="1:10" x14ac:dyDescent="0.35">
      <c r="A1137" t="s">
        <v>1312</v>
      </c>
      <c r="B1137" s="10">
        <v>45861</v>
      </c>
      <c r="C1137" t="s">
        <v>248</v>
      </c>
      <c r="D1137" t="s">
        <v>80</v>
      </c>
      <c r="E1137" t="s">
        <v>81</v>
      </c>
      <c r="F1137" t="s">
        <v>14</v>
      </c>
      <c r="G1137">
        <v>52.25</v>
      </c>
      <c r="H1137" t="s">
        <v>15</v>
      </c>
      <c r="I1137" t="s">
        <v>36</v>
      </c>
      <c r="J1137" t="s">
        <v>161</v>
      </c>
    </row>
    <row r="1138" spans="1:10" x14ac:dyDescent="0.35">
      <c r="A1138" t="s">
        <v>1313</v>
      </c>
      <c r="B1138" s="10">
        <v>45861</v>
      </c>
      <c r="C1138" t="s">
        <v>272</v>
      </c>
      <c r="D1138" t="s">
        <v>54</v>
      </c>
      <c r="E1138" t="s">
        <v>55</v>
      </c>
      <c r="F1138" t="s">
        <v>54</v>
      </c>
      <c r="G1138">
        <v>720.39</v>
      </c>
      <c r="H1138" t="s">
        <v>21</v>
      </c>
      <c r="I1138" t="s">
        <v>36</v>
      </c>
      <c r="J1138" t="s">
        <v>65</v>
      </c>
    </row>
    <row r="1139" spans="1:10" x14ac:dyDescent="0.35">
      <c r="A1139" t="s">
        <v>1314</v>
      </c>
      <c r="B1139" s="10">
        <v>45861</v>
      </c>
      <c r="C1139" t="s">
        <v>296</v>
      </c>
      <c r="D1139" t="s">
        <v>101</v>
      </c>
      <c r="E1139" t="s">
        <v>136</v>
      </c>
      <c r="F1139" t="s">
        <v>14</v>
      </c>
      <c r="G1139">
        <v>60.58</v>
      </c>
      <c r="H1139" t="s">
        <v>15</v>
      </c>
      <c r="I1139" t="s">
        <v>22</v>
      </c>
      <c r="J1139" t="s">
        <v>136</v>
      </c>
    </row>
    <row r="1140" spans="1:10" x14ac:dyDescent="0.35">
      <c r="A1140" t="s">
        <v>1315</v>
      </c>
      <c r="B1140" s="10">
        <v>45862</v>
      </c>
      <c r="C1140" t="s">
        <v>140</v>
      </c>
      <c r="D1140" t="s">
        <v>80</v>
      </c>
      <c r="E1140" t="s">
        <v>81</v>
      </c>
      <c r="F1140" t="s">
        <v>14</v>
      </c>
      <c r="G1140">
        <v>32.979999999999997</v>
      </c>
      <c r="H1140" t="s">
        <v>15</v>
      </c>
      <c r="I1140" t="s">
        <v>47</v>
      </c>
      <c r="J1140" t="s">
        <v>141</v>
      </c>
    </row>
    <row r="1141" spans="1:10" x14ac:dyDescent="0.35">
      <c r="A1141" t="s">
        <v>1316</v>
      </c>
      <c r="B1141" s="10">
        <v>45862</v>
      </c>
      <c r="C1141" t="s">
        <v>73</v>
      </c>
      <c r="D1141" t="s">
        <v>54</v>
      </c>
      <c r="E1141" t="s">
        <v>74</v>
      </c>
      <c r="F1141" t="s">
        <v>54</v>
      </c>
      <c r="G1141">
        <v>2231.4499999999998</v>
      </c>
      <c r="H1141" t="s">
        <v>15</v>
      </c>
      <c r="I1141" t="s">
        <v>47</v>
      </c>
      <c r="J1141" t="s">
        <v>65</v>
      </c>
    </row>
    <row r="1142" spans="1:10" x14ac:dyDescent="0.35">
      <c r="A1142" t="s">
        <v>1317</v>
      </c>
      <c r="B1142" s="10">
        <v>45862</v>
      </c>
      <c r="C1142" t="s">
        <v>875</v>
      </c>
      <c r="D1142" t="s">
        <v>69</v>
      </c>
      <c r="E1142" t="s">
        <v>291</v>
      </c>
      <c r="F1142" t="s">
        <v>14</v>
      </c>
      <c r="G1142">
        <v>470.54</v>
      </c>
      <c r="H1142" t="s">
        <v>15</v>
      </c>
      <c r="I1142" t="s">
        <v>47</v>
      </c>
      <c r="J1142" t="s">
        <v>133</v>
      </c>
    </row>
    <row r="1143" spans="1:10" x14ac:dyDescent="0.35">
      <c r="A1143" t="s">
        <v>1318</v>
      </c>
      <c r="B1143" s="10">
        <v>45862</v>
      </c>
      <c r="C1143" t="s">
        <v>143</v>
      </c>
      <c r="D1143" t="s">
        <v>54</v>
      </c>
      <c r="E1143" t="s">
        <v>55</v>
      </c>
      <c r="F1143" t="s">
        <v>54</v>
      </c>
      <c r="G1143">
        <v>709.5</v>
      </c>
      <c r="H1143" t="s">
        <v>98</v>
      </c>
      <c r="I1143" t="s">
        <v>36</v>
      </c>
      <c r="J1143" t="s">
        <v>89</v>
      </c>
    </row>
    <row r="1144" spans="1:10" x14ac:dyDescent="0.35">
      <c r="A1144" t="s">
        <v>1319</v>
      </c>
      <c r="B1144" s="10">
        <v>45862</v>
      </c>
      <c r="C1144" t="s">
        <v>464</v>
      </c>
      <c r="D1144" t="s">
        <v>34</v>
      </c>
      <c r="E1144" t="s">
        <v>122</v>
      </c>
      <c r="F1144" t="s">
        <v>14</v>
      </c>
      <c r="G1144">
        <v>242.42</v>
      </c>
      <c r="H1144" t="s">
        <v>98</v>
      </c>
      <c r="I1144" t="s">
        <v>22</v>
      </c>
      <c r="J1144" t="s">
        <v>239</v>
      </c>
    </row>
    <row r="1145" spans="1:10" x14ac:dyDescent="0.35">
      <c r="A1145" t="s">
        <v>1320</v>
      </c>
      <c r="B1145" s="10">
        <v>45862</v>
      </c>
      <c r="C1145" t="s">
        <v>33</v>
      </c>
      <c r="D1145" t="s">
        <v>34</v>
      </c>
      <c r="E1145" t="s">
        <v>35</v>
      </c>
      <c r="F1145" t="s">
        <v>14</v>
      </c>
      <c r="G1145">
        <v>63.92</v>
      </c>
      <c r="H1145" t="s">
        <v>15</v>
      </c>
      <c r="I1145" t="s">
        <v>22</v>
      </c>
      <c r="J1145" t="s">
        <v>37</v>
      </c>
    </row>
    <row r="1146" spans="1:10" x14ac:dyDescent="0.35">
      <c r="A1146" t="s">
        <v>1321</v>
      </c>
      <c r="B1146" s="10">
        <v>45862</v>
      </c>
      <c r="C1146" t="s">
        <v>150</v>
      </c>
      <c r="D1146" t="s">
        <v>29</v>
      </c>
      <c r="E1146" t="s">
        <v>30</v>
      </c>
      <c r="F1146" t="s">
        <v>14</v>
      </c>
      <c r="G1146">
        <v>32.49</v>
      </c>
      <c r="H1146" t="s">
        <v>15</v>
      </c>
      <c r="I1146" t="s">
        <v>36</v>
      </c>
      <c r="J1146" t="s">
        <v>151</v>
      </c>
    </row>
    <row r="1147" spans="1:10" x14ac:dyDescent="0.35">
      <c r="A1147" t="s">
        <v>1322</v>
      </c>
      <c r="B1147" s="10">
        <v>45863</v>
      </c>
      <c r="C1147" t="s">
        <v>243</v>
      </c>
      <c r="D1147" t="s">
        <v>101</v>
      </c>
      <c r="E1147" t="s">
        <v>244</v>
      </c>
      <c r="F1147" t="s">
        <v>14</v>
      </c>
      <c r="G1147">
        <v>155.56</v>
      </c>
      <c r="H1147" t="s">
        <v>21</v>
      </c>
      <c r="I1147" t="s">
        <v>22</v>
      </c>
      <c r="J1147" t="s">
        <v>102</v>
      </c>
    </row>
    <row r="1148" spans="1:10" x14ac:dyDescent="0.35">
      <c r="A1148" t="s">
        <v>1323</v>
      </c>
      <c r="B1148" s="10">
        <v>45863</v>
      </c>
      <c r="C1148" t="s">
        <v>229</v>
      </c>
      <c r="D1148" t="s">
        <v>54</v>
      </c>
      <c r="E1148" t="s">
        <v>64</v>
      </c>
      <c r="F1148" t="s">
        <v>54</v>
      </c>
      <c r="G1148">
        <v>353.11</v>
      </c>
      <c r="H1148" t="s">
        <v>15</v>
      </c>
      <c r="I1148" t="s">
        <v>47</v>
      </c>
      <c r="J1148" t="s">
        <v>56</v>
      </c>
    </row>
    <row r="1149" spans="1:10" x14ac:dyDescent="0.35">
      <c r="A1149" t="s">
        <v>1324</v>
      </c>
      <c r="B1149" s="10">
        <v>45863</v>
      </c>
      <c r="C1149" t="s">
        <v>272</v>
      </c>
      <c r="D1149" t="s">
        <v>54</v>
      </c>
      <c r="E1149" t="s">
        <v>55</v>
      </c>
      <c r="F1149" t="s">
        <v>54</v>
      </c>
      <c r="G1149">
        <v>686.46</v>
      </c>
      <c r="H1149" t="s">
        <v>15</v>
      </c>
      <c r="I1149" t="s">
        <v>16</v>
      </c>
      <c r="J1149" t="s">
        <v>65</v>
      </c>
    </row>
    <row r="1150" spans="1:10" x14ac:dyDescent="0.35">
      <c r="A1150" t="s">
        <v>1325</v>
      </c>
      <c r="B1150" s="10">
        <v>45863</v>
      </c>
      <c r="C1150" t="s">
        <v>91</v>
      </c>
      <c r="D1150" t="s">
        <v>80</v>
      </c>
      <c r="E1150" t="s">
        <v>92</v>
      </c>
      <c r="F1150" t="s">
        <v>14</v>
      </c>
      <c r="G1150">
        <v>147.61000000000001</v>
      </c>
      <c r="H1150" t="s">
        <v>15</v>
      </c>
      <c r="I1150" t="s">
        <v>16</v>
      </c>
      <c r="J1150" t="s">
        <v>82</v>
      </c>
    </row>
    <row r="1151" spans="1:10" x14ac:dyDescent="0.35">
      <c r="A1151" t="s">
        <v>1326</v>
      </c>
      <c r="B1151" s="10">
        <v>45863</v>
      </c>
      <c r="C1151" t="s">
        <v>184</v>
      </c>
      <c r="D1151" t="s">
        <v>59</v>
      </c>
      <c r="E1151" t="s">
        <v>185</v>
      </c>
      <c r="F1151" t="s">
        <v>14</v>
      </c>
      <c r="G1151">
        <v>402.38</v>
      </c>
      <c r="H1151" t="s">
        <v>98</v>
      </c>
      <c r="I1151" t="s">
        <v>36</v>
      </c>
      <c r="J1151" t="s">
        <v>61</v>
      </c>
    </row>
    <row r="1152" spans="1:10" x14ac:dyDescent="0.35">
      <c r="A1152" t="s">
        <v>1327</v>
      </c>
      <c r="B1152" s="10">
        <v>45864</v>
      </c>
      <c r="C1152" t="s">
        <v>269</v>
      </c>
      <c r="D1152" t="s">
        <v>34</v>
      </c>
      <c r="E1152" t="s">
        <v>35</v>
      </c>
      <c r="F1152" t="s">
        <v>14</v>
      </c>
      <c r="G1152">
        <v>308.7</v>
      </c>
      <c r="H1152" t="s">
        <v>15</v>
      </c>
      <c r="I1152" t="s">
        <v>36</v>
      </c>
      <c r="J1152" t="s">
        <v>123</v>
      </c>
    </row>
    <row r="1153" spans="1:10" x14ac:dyDescent="0.35">
      <c r="A1153" t="s">
        <v>1328</v>
      </c>
      <c r="B1153" s="10">
        <v>45864</v>
      </c>
      <c r="C1153" t="s">
        <v>217</v>
      </c>
      <c r="D1153" t="s">
        <v>80</v>
      </c>
      <c r="E1153" t="s">
        <v>81</v>
      </c>
      <c r="F1153" t="s">
        <v>14</v>
      </c>
      <c r="G1153">
        <v>115.29</v>
      </c>
      <c r="H1153" t="s">
        <v>21</v>
      </c>
      <c r="I1153" t="s">
        <v>36</v>
      </c>
      <c r="J1153" t="s">
        <v>180</v>
      </c>
    </row>
    <row r="1154" spans="1:10" x14ac:dyDescent="0.35">
      <c r="A1154" t="s">
        <v>1329</v>
      </c>
      <c r="B1154" s="10">
        <v>45864</v>
      </c>
      <c r="C1154" t="s">
        <v>88</v>
      </c>
      <c r="D1154" t="s">
        <v>54</v>
      </c>
      <c r="E1154" t="s">
        <v>74</v>
      </c>
      <c r="F1154" t="s">
        <v>54</v>
      </c>
      <c r="G1154">
        <v>2177.7399999999998</v>
      </c>
      <c r="H1154" t="s">
        <v>15</v>
      </c>
      <c r="I1154" t="s">
        <v>84</v>
      </c>
      <c r="J1154" t="s">
        <v>89</v>
      </c>
    </row>
    <row r="1155" spans="1:10" x14ac:dyDescent="0.35">
      <c r="A1155" t="s">
        <v>1330</v>
      </c>
      <c r="B1155" s="10">
        <v>45864</v>
      </c>
      <c r="C1155" t="s">
        <v>345</v>
      </c>
      <c r="D1155" t="s">
        <v>59</v>
      </c>
      <c r="E1155" t="s">
        <v>60</v>
      </c>
      <c r="F1155" t="s">
        <v>14</v>
      </c>
      <c r="G1155">
        <v>496.6</v>
      </c>
      <c r="H1155" t="s">
        <v>98</v>
      </c>
      <c r="I1155" t="s">
        <v>22</v>
      </c>
      <c r="J1155" t="s">
        <v>211</v>
      </c>
    </row>
    <row r="1156" spans="1:10" x14ac:dyDescent="0.35">
      <c r="A1156" t="s">
        <v>1331</v>
      </c>
      <c r="B1156" s="10">
        <v>45864</v>
      </c>
      <c r="C1156" t="s">
        <v>204</v>
      </c>
      <c r="D1156" t="s">
        <v>12</v>
      </c>
      <c r="E1156" t="s">
        <v>51</v>
      </c>
      <c r="F1156" t="s">
        <v>14</v>
      </c>
      <c r="G1156">
        <v>72.91</v>
      </c>
      <c r="H1156" t="s">
        <v>15</v>
      </c>
      <c r="I1156" t="s">
        <v>47</v>
      </c>
      <c r="J1156" t="s">
        <v>23</v>
      </c>
    </row>
    <row r="1157" spans="1:10" x14ac:dyDescent="0.35">
      <c r="A1157" t="s">
        <v>1332</v>
      </c>
      <c r="B1157" s="10">
        <v>45864</v>
      </c>
      <c r="C1157" t="s">
        <v>345</v>
      </c>
      <c r="D1157" t="s">
        <v>59</v>
      </c>
      <c r="E1157" t="s">
        <v>60</v>
      </c>
      <c r="F1157" t="s">
        <v>14</v>
      </c>
      <c r="G1157">
        <v>161.41999999999999</v>
      </c>
      <c r="H1157" t="s">
        <v>15</v>
      </c>
      <c r="I1157" t="s">
        <v>36</v>
      </c>
      <c r="J1157" t="s">
        <v>211</v>
      </c>
    </row>
    <row r="1158" spans="1:10" x14ac:dyDescent="0.35">
      <c r="A1158" t="s">
        <v>1333</v>
      </c>
      <c r="B1158" s="10">
        <v>45864</v>
      </c>
      <c r="C1158" t="s">
        <v>256</v>
      </c>
      <c r="D1158" t="s">
        <v>34</v>
      </c>
      <c r="E1158" t="s">
        <v>40</v>
      </c>
      <c r="F1158" t="s">
        <v>14</v>
      </c>
      <c r="G1158">
        <v>185.06</v>
      </c>
      <c r="H1158" t="s">
        <v>98</v>
      </c>
      <c r="I1158" t="s">
        <v>36</v>
      </c>
      <c r="J1158" t="s">
        <v>239</v>
      </c>
    </row>
    <row r="1159" spans="1:10" x14ac:dyDescent="0.35">
      <c r="A1159" t="s">
        <v>1334</v>
      </c>
      <c r="B1159" s="10">
        <v>45865</v>
      </c>
      <c r="C1159" t="s">
        <v>140</v>
      </c>
      <c r="D1159" t="s">
        <v>80</v>
      </c>
      <c r="E1159" t="s">
        <v>81</v>
      </c>
      <c r="F1159" t="s">
        <v>14</v>
      </c>
      <c r="G1159">
        <v>32.74</v>
      </c>
      <c r="H1159" t="s">
        <v>21</v>
      </c>
      <c r="I1159" t="s">
        <v>36</v>
      </c>
      <c r="J1159" t="s">
        <v>141</v>
      </c>
    </row>
    <row r="1160" spans="1:10" x14ac:dyDescent="0.35">
      <c r="A1160" t="s">
        <v>1335</v>
      </c>
      <c r="B1160" s="10">
        <v>45865</v>
      </c>
      <c r="C1160" t="s">
        <v>135</v>
      </c>
      <c r="D1160" t="s">
        <v>101</v>
      </c>
      <c r="E1160" t="s">
        <v>102</v>
      </c>
      <c r="F1160" t="s">
        <v>14</v>
      </c>
      <c r="G1160">
        <v>41.71</v>
      </c>
      <c r="H1160" t="s">
        <v>15</v>
      </c>
      <c r="I1160" t="s">
        <v>16</v>
      </c>
      <c r="J1160" t="s">
        <v>136</v>
      </c>
    </row>
    <row r="1161" spans="1:10" x14ac:dyDescent="0.35">
      <c r="A1161" t="s">
        <v>1336</v>
      </c>
      <c r="B1161" s="10">
        <v>45866</v>
      </c>
      <c r="C1161" t="s">
        <v>73</v>
      </c>
      <c r="D1161" t="s">
        <v>54</v>
      </c>
      <c r="E1161" t="s">
        <v>74</v>
      </c>
      <c r="F1161" t="s">
        <v>54</v>
      </c>
      <c r="G1161">
        <v>2453.04</v>
      </c>
      <c r="H1161" t="s">
        <v>15</v>
      </c>
      <c r="I1161" t="s">
        <v>22</v>
      </c>
      <c r="J1161" t="s">
        <v>65</v>
      </c>
    </row>
    <row r="1162" spans="1:10" x14ac:dyDescent="0.35">
      <c r="A1162" t="s">
        <v>1337</v>
      </c>
      <c r="B1162" s="10">
        <v>45866</v>
      </c>
      <c r="C1162" t="s">
        <v>63</v>
      </c>
      <c r="D1162" t="s">
        <v>54</v>
      </c>
      <c r="E1162" t="s">
        <v>64</v>
      </c>
      <c r="F1162" t="s">
        <v>54</v>
      </c>
      <c r="G1162">
        <v>344.29</v>
      </c>
      <c r="H1162" t="s">
        <v>15</v>
      </c>
      <c r="I1162" t="s">
        <v>47</v>
      </c>
      <c r="J1162" t="s">
        <v>65</v>
      </c>
    </row>
    <row r="1163" spans="1:10" x14ac:dyDescent="0.35">
      <c r="A1163" t="s">
        <v>1338</v>
      </c>
      <c r="B1163" s="10">
        <v>45867</v>
      </c>
      <c r="C1163" t="s">
        <v>206</v>
      </c>
      <c r="D1163" t="s">
        <v>29</v>
      </c>
      <c r="E1163" t="s">
        <v>95</v>
      </c>
      <c r="F1163" t="s">
        <v>14</v>
      </c>
      <c r="G1163">
        <v>43.13</v>
      </c>
      <c r="H1163" t="s">
        <v>15</v>
      </c>
      <c r="I1163" t="s">
        <v>22</v>
      </c>
      <c r="J1163" t="s">
        <v>31</v>
      </c>
    </row>
    <row r="1164" spans="1:10" x14ac:dyDescent="0.35">
      <c r="A1164" t="s">
        <v>1339</v>
      </c>
      <c r="B1164" s="10">
        <v>45867</v>
      </c>
      <c r="C1164" t="s">
        <v>116</v>
      </c>
      <c r="D1164" t="s">
        <v>80</v>
      </c>
      <c r="E1164" t="s">
        <v>117</v>
      </c>
      <c r="F1164" t="s">
        <v>14</v>
      </c>
      <c r="G1164">
        <v>62.02</v>
      </c>
      <c r="H1164" t="s">
        <v>15</v>
      </c>
      <c r="I1164" t="s">
        <v>22</v>
      </c>
      <c r="J1164" t="s">
        <v>118</v>
      </c>
    </row>
    <row r="1165" spans="1:10" x14ac:dyDescent="0.35">
      <c r="A1165" t="s">
        <v>1340</v>
      </c>
      <c r="B1165" s="10">
        <v>45867</v>
      </c>
      <c r="C1165" t="s">
        <v>217</v>
      </c>
      <c r="D1165" t="s">
        <v>80</v>
      </c>
      <c r="E1165" t="s">
        <v>81</v>
      </c>
      <c r="F1165" t="s">
        <v>14</v>
      </c>
      <c r="G1165">
        <v>74.67</v>
      </c>
      <c r="H1165" t="s">
        <v>15</v>
      </c>
      <c r="I1165" t="s">
        <v>22</v>
      </c>
      <c r="J1165" t="s">
        <v>180</v>
      </c>
    </row>
    <row r="1166" spans="1:10" x14ac:dyDescent="0.35">
      <c r="A1166" t="s">
        <v>1341</v>
      </c>
      <c r="B1166" s="10">
        <v>45868</v>
      </c>
      <c r="C1166" t="s">
        <v>464</v>
      </c>
      <c r="D1166" t="s">
        <v>34</v>
      </c>
      <c r="E1166" t="s">
        <v>122</v>
      </c>
      <c r="F1166" t="s">
        <v>14</v>
      </c>
      <c r="G1166">
        <v>146.07</v>
      </c>
      <c r="H1166" t="s">
        <v>15</v>
      </c>
      <c r="I1166" t="s">
        <v>22</v>
      </c>
      <c r="J1166" t="s">
        <v>239</v>
      </c>
    </row>
    <row r="1167" spans="1:10" x14ac:dyDescent="0.35">
      <c r="A1167" t="s">
        <v>1342</v>
      </c>
      <c r="B1167" s="10">
        <v>45868</v>
      </c>
      <c r="C1167" t="s">
        <v>424</v>
      </c>
      <c r="D1167" t="s">
        <v>101</v>
      </c>
      <c r="E1167" t="s">
        <v>136</v>
      </c>
      <c r="F1167" t="s">
        <v>14</v>
      </c>
      <c r="G1167">
        <v>41.25</v>
      </c>
      <c r="H1167" t="s">
        <v>21</v>
      </c>
      <c r="I1167" t="s">
        <v>16</v>
      </c>
      <c r="J1167" t="s">
        <v>102</v>
      </c>
    </row>
    <row r="1168" spans="1:10" x14ac:dyDescent="0.35">
      <c r="A1168" t="s">
        <v>1343</v>
      </c>
      <c r="B1168" s="10">
        <v>45869</v>
      </c>
      <c r="C1168" t="s">
        <v>130</v>
      </c>
      <c r="D1168" t="s">
        <v>12</v>
      </c>
      <c r="E1168" t="s">
        <v>26</v>
      </c>
      <c r="F1168" t="s">
        <v>14</v>
      </c>
      <c r="G1168">
        <v>54.96</v>
      </c>
      <c r="H1168" t="s">
        <v>21</v>
      </c>
      <c r="I1168" t="s">
        <v>22</v>
      </c>
      <c r="J1168" t="s">
        <v>48</v>
      </c>
    </row>
    <row r="1169" spans="1:10" x14ac:dyDescent="0.35">
      <c r="A1169" t="s">
        <v>1344</v>
      </c>
      <c r="B1169" s="10">
        <v>45869</v>
      </c>
      <c r="C1169" t="s">
        <v>229</v>
      </c>
      <c r="D1169" t="s">
        <v>54</v>
      </c>
      <c r="E1169" t="s">
        <v>64</v>
      </c>
      <c r="F1169" t="s">
        <v>54</v>
      </c>
      <c r="G1169">
        <v>372.98</v>
      </c>
      <c r="H1169" t="s">
        <v>21</v>
      </c>
      <c r="I1169" t="s">
        <v>36</v>
      </c>
      <c r="J1169" t="s">
        <v>56</v>
      </c>
    </row>
    <row r="1170" spans="1:10" x14ac:dyDescent="0.35">
      <c r="A1170" t="s">
        <v>1345</v>
      </c>
      <c r="B1170" s="10">
        <v>45869</v>
      </c>
      <c r="C1170" t="s">
        <v>160</v>
      </c>
      <c r="D1170" t="s">
        <v>80</v>
      </c>
      <c r="E1170" t="s">
        <v>117</v>
      </c>
      <c r="F1170" t="s">
        <v>14</v>
      </c>
      <c r="G1170">
        <v>56.39</v>
      </c>
      <c r="H1170" t="s">
        <v>15</v>
      </c>
      <c r="I1170" t="s">
        <v>36</v>
      </c>
      <c r="J1170" t="s">
        <v>161</v>
      </c>
    </row>
    <row r="1171" spans="1:10" x14ac:dyDescent="0.35">
      <c r="A1171" t="s">
        <v>1346</v>
      </c>
      <c r="B1171" s="10">
        <v>45869</v>
      </c>
      <c r="C1171" t="s">
        <v>53</v>
      </c>
      <c r="D1171" t="s">
        <v>54</v>
      </c>
      <c r="E1171" t="s">
        <v>55</v>
      </c>
      <c r="F1171" t="s">
        <v>54</v>
      </c>
      <c r="G1171">
        <v>674.01</v>
      </c>
      <c r="H1171" t="s">
        <v>15</v>
      </c>
      <c r="I1171" t="s">
        <v>36</v>
      </c>
      <c r="J1171" t="s">
        <v>56</v>
      </c>
    </row>
    <row r="1172" spans="1:10" x14ac:dyDescent="0.35">
      <c r="A1172" t="s">
        <v>1347</v>
      </c>
      <c r="B1172" s="10">
        <v>45869</v>
      </c>
      <c r="C1172" t="s">
        <v>160</v>
      </c>
      <c r="D1172" t="s">
        <v>80</v>
      </c>
      <c r="E1172" t="s">
        <v>117</v>
      </c>
      <c r="F1172" t="s">
        <v>14</v>
      </c>
      <c r="G1172">
        <v>33.1</v>
      </c>
      <c r="H1172" t="s">
        <v>15</v>
      </c>
      <c r="I1172" t="s">
        <v>36</v>
      </c>
      <c r="J1172" t="s">
        <v>161</v>
      </c>
    </row>
    <row r="1173" spans="1:10" x14ac:dyDescent="0.35">
      <c r="A1173" t="s">
        <v>1348</v>
      </c>
      <c r="B1173" s="10">
        <v>45869</v>
      </c>
      <c r="C1173" t="s">
        <v>53</v>
      </c>
      <c r="D1173" t="s">
        <v>54</v>
      </c>
      <c r="E1173" t="s">
        <v>55</v>
      </c>
      <c r="F1173" t="s">
        <v>54</v>
      </c>
      <c r="G1173">
        <v>598</v>
      </c>
      <c r="H1173" t="s">
        <v>21</v>
      </c>
      <c r="I1173" t="s">
        <v>22</v>
      </c>
      <c r="J1173" t="s">
        <v>56</v>
      </c>
    </row>
    <row r="1174" spans="1:10" x14ac:dyDescent="0.35">
      <c r="A1174" t="s">
        <v>1349</v>
      </c>
      <c r="B1174" s="10">
        <v>45869</v>
      </c>
      <c r="C1174" t="s">
        <v>19</v>
      </c>
      <c r="D1174" t="s">
        <v>12</v>
      </c>
      <c r="E1174" t="s">
        <v>13</v>
      </c>
      <c r="F1174" t="s">
        <v>14</v>
      </c>
      <c r="G1174">
        <v>27.4</v>
      </c>
      <c r="H1174" t="s">
        <v>15</v>
      </c>
      <c r="I1174" t="s">
        <v>22</v>
      </c>
      <c r="J1174" t="s">
        <v>23</v>
      </c>
    </row>
    <row r="1175" spans="1:10" x14ac:dyDescent="0.35">
      <c r="A1175" t="s">
        <v>1350</v>
      </c>
      <c r="B1175" s="10">
        <v>45869</v>
      </c>
      <c r="C1175" t="s">
        <v>50</v>
      </c>
      <c r="D1175" t="s">
        <v>12</v>
      </c>
      <c r="E1175" t="s">
        <v>51</v>
      </c>
      <c r="F1175" t="s">
        <v>14</v>
      </c>
      <c r="G1175">
        <v>26.26</v>
      </c>
      <c r="H1175" t="s">
        <v>15</v>
      </c>
      <c r="I1175" t="s">
        <v>36</v>
      </c>
      <c r="J1175" t="s">
        <v>44</v>
      </c>
    </row>
    <row r="1176" spans="1:10" x14ac:dyDescent="0.35">
      <c r="A1176" t="s">
        <v>1351</v>
      </c>
      <c r="B1176" s="10">
        <v>45870</v>
      </c>
      <c r="C1176" t="s">
        <v>125</v>
      </c>
      <c r="D1176" t="s">
        <v>12</v>
      </c>
      <c r="E1176" t="s">
        <v>13</v>
      </c>
      <c r="F1176" t="s">
        <v>14</v>
      </c>
      <c r="G1176">
        <v>17.71</v>
      </c>
      <c r="H1176" t="s">
        <v>15</v>
      </c>
      <c r="I1176" t="s">
        <v>22</v>
      </c>
      <c r="J1176" t="s">
        <v>44</v>
      </c>
    </row>
    <row r="1177" spans="1:10" x14ac:dyDescent="0.35">
      <c r="A1177" t="s">
        <v>1352</v>
      </c>
      <c r="B1177" s="10">
        <v>45870</v>
      </c>
      <c r="C1177" t="s">
        <v>157</v>
      </c>
      <c r="D1177" t="s">
        <v>29</v>
      </c>
      <c r="E1177" t="s">
        <v>95</v>
      </c>
      <c r="F1177" t="s">
        <v>14</v>
      </c>
      <c r="G1177">
        <v>42.26</v>
      </c>
      <c r="H1177" t="s">
        <v>21</v>
      </c>
      <c r="I1177" t="s">
        <v>36</v>
      </c>
      <c r="J1177" t="s">
        <v>158</v>
      </c>
    </row>
    <row r="1178" spans="1:10" x14ac:dyDescent="0.35">
      <c r="A1178" t="s">
        <v>1353</v>
      </c>
      <c r="B1178" s="10">
        <v>45870</v>
      </c>
      <c r="C1178" t="s">
        <v>464</v>
      </c>
      <c r="D1178" t="s">
        <v>34</v>
      </c>
      <c r="E1178" t="s">
        <v>122</v>
      </c>
      <c r="F1178" t="s">
        <v>14</v>
      </c>
      <c r="G1178">
        <v>190.93</v>
      </c>
      <c r="H1178" t="s">
        <v>15</v>
      </c>
      <c r="I1178" t="s">
        <v>22</v>
      </c>
      <c r="J1178" t="s">
        <v>239</v>
      </c>
    </row>
    <row r="1179" spans="1:10" x14ac:dyDescent="0.35">
      <c r="A1179" t="s">
        <v>1354</v>
      </c>
      <c r="B1179" s="10">
        <v>45870</v>
      </c>
      <c r="C1179" t="s">
        <v>184</v>
      </c>
      <c r="D1179" t="s">
        <v>59</v>
      </c>
      <c r="E1179" t="s">
        <v>185</v>
      </c>
      <c r="F1179" t="s">
        <v>14</v>
      </c>
      <c r="G1179">
        <v>515.53</v>
      </c>
      <c r="H1179" t="s">
        <v>21</v>
      </c>
      <c r="I1179" t="s">
        <v>22</v>
      </c>
      <c r="J1179" t="s">
        <v>61</v>
      </c>
    </row>
    <row r="1180" spans="1:10" x14ac:dyDescent="0.35">
      <c r="A1180" t="s">
        <v>1355</v>
      </c>
      <c r="B1180" s="10">
        <v>45870</v>
      </c>
      <c r="C1180" t="s">
        <v>227</v>
      </c>
      <c r="D1180" t="s">
        <v>12</v>
      </c>
      <c r="E1180" t="s">
        <v>51</v>
      </c>
      <c r="F1180" t="s">
        <v>14</v>
      </c>
      <c r="G1180">
        <v>73.41</v>
      </c>
      <c r="H1180" t="s">
        <v>15</v>
      </c>
      <c r="I1180" t="s">
        <v>47</v>
      </c>
      <c r="J1180" t="s">
        <v>17</v>
      </c>
    </row>
    <row r="1181" spans="1:10" x14ac:dyDescent="0.35">
      <c r="A1181" t="s">
        <v>1356</v>
      </c>
      <c r="B1181" s="10">
        <v>45870</v>
      </c>
      <c r="C1181" t="s">
        <v>130</v>
      </c>
      <c r="D1181" t="s">
        <v>12</v>
      </c>
      <c r="E1181" t="s">
        <v>26</v>
      </c>
      <c r="F1181" t="s">
        <v>14</v>
      </c>
      <c r="G1181">
        <v>26.95</v>
      </c>
      <c r="H1181" t="s">
        <v>21</v>
      </c>
      <c r="I1181" t="s">
        <v>16</v>
      </c>
      <c r="J1181" t="s">
        <v>48</v>
      </c>
    </row>
    <row r="1182" spans="1:10" x14ac:dyDescent="0.35">
      <c r="A1182" t="s">
        <v>1357</v>
      </c>
      <c r="B1182" s="10">
        <v>45870</v>
      </c>
      <c r="C1182" t="s">
        <v>125</v>
      </c>
      <c r="D1182" t="s">
        <v>12</v>
      </c>
      <c r="E1182" t="s">
        <v>13</v>
      </c>
      <c r="F1182" t="s">
        <v>14</v>
      </c>
      <c r="G1182">
        <v>133.32</v>
      </c>
      <c r="H1182" t="s">
        <v>15</v>
      </c>
      <c r="I1182" t="s">
        <v>22</v>
      </c>
      <c r="J1182" t="s">
        <v>44</v>
      </c>
    </row>
    <row r="1183" spans="1:10" x14ac:dyDescent="0.35">
      <c r="A1183" t="s">
        <v>1358</v>
      </c>
      <c r="B1183" s="10">
        <v>45871</v>
      </c>
      <c r="C1183" t="s">
        <v>210</v>
      </c>
      <c r="D1183" t="s">
        <v>59</v>
      </c>
      <c r="E1183" t="s">
        <v>185</v>
      </c>
      <c r="F1183" t="s">
        <v>14</v>
      </c>
      <c r="G1183">
        <v>251.94</v>
      </c>
      <c r="H1183" t="s">
        <v>15</v>
      </c>
      <c r="I1183" t="s">
        <v>22</v>
      </c>
      <c r="J1183" t="s">
        <v>211</v>
      </c>
    </row>
    <row r="1184" spans="1:10" x14ac:dyDescent="0.35">
      <c r="A1184" t="s">
        <v>1359</v>
      </c>
      <c r="B1184" s="10">
        <v>45871</v>
      </c>
      <c r="C1184" t="s">
        <v>424</v>
      </c>
      <c r="D1184" t="s">
        <v>101</v>
      </c>
      <c r="E1184" t="s">
        <v>136</v>
      </c>
      <c r="F1184" t="s">
        <v>14</v>
      </c>
      <c r="G1184">
        <v>34.99</v>
      </c>
      <c r="H1184" t="s">
        <v>21</v>
      </c>
      <c r="I1184" t="s">
        <v>16</v>
      </c>
      <c r="J1184" t="s">
        <v>102</v>
      </c>
    </row>
    <row r="1185" spans="1:10" x14ac:dyDescent="0.35">
      <c r="A1185" t="s">
        <v>1360</v>
      </c>
      <c r="B1185" s="10">
        <v>45871</v>
      </c>
      <c r="C1185" t="s">
        <v>88</v>
      </c>
      <c r="D1185" t="s">
        <v>54</v>
      </c>
      <c r="E1185" t="s">
        <v>74</v>
      </c>
      <c r="F1185" t="s">
        <v>54</v>
      </c>
      <c r="G1185">
        <v>2452.02</v>
      </c>
      <c r="H1185" t="s">
        <v>21</v>
      </c>
      <c r="I1185" t="s">
        <v>36</v>
      </c>
      <c r="J1185" t="s">
        <v>89</v>
      </c>
    </row>
    <row r="1186" spans="1:10" x14ac:dyDescent="0.35">
      <c r="A1186" t="s">
        <v>1361</v>
      </c>
      <c r="B1186" s="10">
        <v>45871</v>
      </c>
      <c r="C1186" t="s">
        <v>281</v>
      </c>
      <c r="D1186" t="s">
        <v>34</v>
      </c>
      <c r="E1186" t="s">
        <v>40</v>
      </c>
      <c r="F1186" t="s">
        <v>14</v>
      </c>
      <c r="G1186">
        <v>275.74</v>
      </c>
      <c r="H1186" t="s">
        <v>15</v>
      </c>
      <c r="I1186" t="s">
        <v>16</v>
      </c>
      <c r="J1186" t="s">
        <v>123</v>
      </c>
    </row>
    <row r="1187" spans="1:10" x14ac:dyDescent="0.35">
      <c r="A1187" t="s">
        <v>1362</v>
      </c>
      <c r="B1187" s="10">
        <v>45871</v>
      </c>
      <c r="C1187" t="s">
        <v>411</v>
      </c>
      <c r="D1187" t="s">
        <v>29</v>
      </c>
      <c r="E1187" t="s">
        <v>151</v>
      </c>
      <c r="F1187" t="s">
        <v>14</v>
      </c>
      <c r="G1187">
        <v>47.4</v>
      </c>
      <c r="H1187" t="s">
        <v>98</v>
      </c>
      <c r="I1187" t="s">
        <v>36</v>
      </c>
      <c r="J1187" t="s">
        <v>151</v>
      </c>
    </row>
    <row r="1188" spans="1:10" x14ac:dyDescent="0.35">
      <c r="A1188" t="s">
        <v>1363</v>
      </c>
      <c r="B1188" s="10">
        <v>45871</v>
      </c>
      <c r="C1188" t="s">
        <v>143</v>
      </c>
      <c r="D1188" t="s">
        <v>54</v>
      </c>
      <c r="E1188" t="s">
        <v>55</v>
      </c>
      <c r="F1188" t="s">
        <v>54</v>
      </c>
      <c r="G1188">
        <v>610.61</v>
      </c>
      <c r="H1188" t="s">
        <v>15</v>
      </c>
      <c r="I1188" t="s">
        <v>22</v>
      </c>
      <c r="J1188" t="s">
        <v>89</v>
      </c>
    </row>
    <row r="1189" spans="1:10" x14ac:dyDescent="0.35">
      <c r="A1189" t="s">
        <v>1364</v>
      </c>
      <c r="B1189" s="10">
        <v>45871</v>
      </c>
      <c r="C1189" t="s">
        <v>426</v>
      </c>
      <c r="D1189" t="s">
        <v>69</v>
      </c>
      <c r="E1189" t="s">
        <v>70</v>
      </c>
      <c r="F1189" t="s">
        <v>14</v>
      </c>
      <c r="G1189">
        <v>390.82</v>
      </c>
      <c r="H1189" t="s">
        <v>15</v>
      </c>
      <c r="I1189" t="s">
        <v>47</v>
      </c>
      <c r="J1189" t="s">
        <v>396</v>
      </c>
    </row>
    <row r="1190" spans="1:10" x14ac:dyDescent="0.35">
      <c r="A1190" t="s">
        <v>1365</v>
      </c>
      <c r="B1190" s="10">
        <v>45871</v>
      </c>
      <c r="C1190" t="s">
        <v>143</v>
      </c>
      <c r="D1190" t="s">
        <v>54</v>
      </c>
      <c r="E1190" t="s">
        <v>55</v>
      </c>
      <c r="F1190" t="s">
        <v>54</v>
      </c>
      <c r="G1190">
        <v>695.91</v>
      </c>
      <c r="H1190" t="s">
        <v>15</v>
      </c>
      <c r="I1190" t="s">
        <v>22</v>
      </c>
      <c r="J1190" t="s">
        <v>89</v>
      </c>
    </row>
    <row r="1191" spans="1:10" x14ac:dyDescent="0.35">
      <c r="A1191" t="s">
        <v>1366</v>
      </c>
      <c r="B1191" s="10">
        <v>45871</v>
      </c>
      <c r="C1191" t="s">
        <v>175</v>
      </c>
      <c r="D1191" t="s">
        <v>80</v>
      </c>
      <c r="E1191" t="s">
        <v>92</v>
      </c>
      <c r="F1191" t="s">
        <v>14</v>
      </c>
      <c r="G1191">
        <v>112.64</v>
      </c>
      <c r="H1191" t="s">
        <v>15</v>
      </c>
      <c r="I1191" t="s">
        <v>22</v>
      </c>
      <c r="J1191" t="s">
        <v>141</v>
      </c>
    </row>
    <row r="1192" spans="1:10" x14ac:dyDescent="0.35">
      <c r="A1192" t="s">
        <v>1367</v>
      </c>
      <c r="B1192" s="10">
        <v>45871</v>
      </c>
      <c r="C1192" t="s">
        <v>256</v>
      </c>
      <c r="D1192" t="s">
        <v>34</v>
      </c>
      <c r="E1192" t="s">
        <v>40</v>
      </c>
      <c r="F1192" t="s">
        <v>14</v>
      </c>
      <c r="G1192">
        <v>98.35</v>
      </c>
      <c r="H1192" t="s">
        <v>15</v>
      </c>
      <c r="I1192" t="s">
        <v>22</v>
      </c>
      <c r="J1192" t="s">
        <v>239</v>
      </c>
    </row>
    <row r="1193" spans="1:10" x14ac:dyDescent="0.35">
      <c r="A1193" t="s">
        <v>1368</v>
      </c>
      <c r="B1193" s="10">
        <v>45872</v>
      </c>
      <c r="C1193" t="s">
        <v>243</v>
      </c>
      <c r="D1193" t="s">
        <v>101</v>
      </c>
      <c r="E1193" t="s">
        <v>244</v>
      </c>
      <c r="F1193" t="s">
        <v>14</v>
      </c>
      <c r="G1193">
        <v>117.77</v>
      </c>
      <c r="H1193" t="s">
        <v>15</v>
      </c>
      <c r="I1193" t="s">
        <v>22</v>
      </c>
      <c r="J1193" t="s">
        <v>102</v>
      </c>
    </row>
    <row r="1194" spans="1:10" x14ac:dyDescent="0.35">
      <c r="A1194" t="s">
        <v>1369</v>
      </c>
      <c r="B1194" s="10">
        <v>45872</v>
      </c>
      <c r="C1194" t="s">
        <v>155</v>
      </c>
      <c r="D1194" t="s">
        <v>12</v>
      </c>
      <c r="E1194" t="s">
        <v>51</v>
      </c>
      <c r="F1194" t="s">
        <v>14</v>
      </c>
      <c r="G1194">
        <v>27.25</v>
      </c>
      <c r="H1194" t="s">
        <v>15</v>
      </c>
      <c r="I1194" t="s">
        <v>22</v>
      </c>
      <c r="J1194" t="s">
        <v>48</v>
      </c>
    </row>
    <row r="1195" spans="1:10" x14ac:dyDescent="0.35">
      <c r="A1195" t="s">
        <v>1370</v>
      </c>
      <c r="B1195" s="10">
        <v>45872</v>
      </c>
      <c r="C1195" t="s">
        <v>210</v>
      </c>
      <c r="D1195" t="s">
        <v>59</v>
      </c>
      <c r="E1195" t="s">
        <v>185</v>
      </c>
      <c r="F1195" t="s">
        <v>14</v>
      </c>
      <c r="G1195">
        <v>175.31</v>
      </c>
      <c r="H1195" t="s">
        <v>15</v>
      </c>
      <c r="I1195" t="s">
        <v>16</v>
      </c>
      <c r="J1195" t="s">
        <v>211</v>
      </c>
    </row>
    <row r="1196" spans="1:10" x14ac:dyDescent="0.35">
      <c r="A1196" t="s">
        <v>1371</v>
      </c>
      <c r="B1196" s="10">
        <v>45872</v>
      </c>
      <c r="C1196" t="s">
        <v>168</v>
      </c>
      <c r="D1196" t="s">
        <v>59</v>
      </c>
      <c r="E1196" t="s">
        <v>60</v>
      </c>
      <c r="F1196" t="s">
        <v>14</v>
      </c>
      <c r="G1196">
        <v>157.88999999999999</v>
      </c>
      <c r="H1196" t="s">
        <v>15</v>
      </c>
      <c r="I1196" t="s">
        <v>22</v>
      </c>
      <c r="J1196" t="s">
        <v>170</v>
      </c>
    </row>
    <row r="1197" spans="1:10" x14ac:dyDescent="0.35">
      <c r="A1197" t="s">
        <v>1372</v>
      </c>
      <c r="B1197" s="10">
        <v>45872</v>
      </c>
      <c r="C1197" t="s">
        <v>184</v>
      </c>
      <c r="D1197" t="s">
        <v>59</v>
      </c>
      <c r="E1197" t="s">
        <v>185</v>
      </c>
      <c r="F1197" t="s">
        <v>14</v>
      </c>
      <c r="G1197">
        <v>219.55</v>
      </c>
      <c r="H1197" t="s">
        <v>15</v>
      </c>
      <c r="I1197" t="s">
        <v>22</v>
      </c>
      <c r="J1197" t="s">
        <v>61</v>
      </c>
    </row>
    <row r="1198" spans="1:10" x14ac:dyDescent="0.35">
      <c r="A1198" t="s">
        <v>1373</v>
      </c>
      <c r="B1198" s="10">
        <v>45872</v>
      </c>
      <c r="C1198" t="s">
        <v>875</v>
      </c>
      <c r="D1198" t="s">
        <v>69</v>
      </c>
      <c r="E1198" t="s">
        <v>291</v>
      </c>
      <c r="F1198" t="s">
        <v>14</v>
      </c>
      <c r="G1198">
        <v>249.76</v>
      </c>
      <c r="H1198" t="s">
        <v>21</v>
      </c>
      <c r="I1198" t="s">
        <v>47</v>
      </c>
      <c r="J1198" t="s">
        <v>133</v>
      </c>
    </row>
    <row r="1199" spans="1:10" x14ac:dyDescent="0.35">
      <c r="A1199" t="s">
        <v>1374</v>
      </c>
      <c r="B1199" s="10">
        <v>45872</v>
      </c>
      <c r="C1199" t="s">
        <v>157</v>
      </c>
      <c r="D1199" t="s">
        <v>29</v>
      </c>
      <c r="E1199" t="s">
        <v>95</v>
      </c>
      <c r="F1199" t="s">
        <v>14</v>
      </c>
      <c r="G1199">
        <v>9.94</v>
      </c>
      <c r="H1199" t="s">
        <v>15</v>
      </c>
      <c r="I1199" t="s">
        <v>22</v>
      </c>
      <c r="J1199" t="s">
        <v>158</v>
      </c>
    </row>
    <row r="1200" spans="1:10" x14ac:dyDescent="0.35">
      <c r="A1200" t="s">
        <v>1375</v>
      </c>
      <c r="B1200" s="10">
        <v>45873</v>
      </c>
      <c r="C1200" t="s">
        <v>227</v>
      </c>
      <c r="D1200" t="s">
        <v>12</v>
      </c>
      <c r="E1200" t="s">
        <v>51</v>
      </c>
      <c r="F1200" t="s">
        <v>14</v>
      </c>
      <c r="G1200">
        <v>93.48</v>
      </c>
      <c r="H1200" t="s">
        <v>21</v>
      </c>
      <c r="I1200" t="s">
        <v>16</v>
      </c>
      <c r="J1200" t="s">
        <v>17</v>
      </c>
    </row>
    <row r="1201" spans="1:10" x14ac:dyDescent="0.35">
      <c r="A1201" t="s">
        <v>1376</v>
      </c>
      <c r="B1201" s="10">
        <v>45873</v>
      </c>
      <c r="C1201" t="s">
        <v>424</v>
      </c>
      <c r="D1201" t="s">
        <v>101</v>
      </c>
      <c r="E1201" t="s">
        <v>136</v>
      </c>
      <c r="F1201" t="s">
        <v>14</v>
      </c>
      <c r="G1201">
        <v>55.9</v>
      </c>
      <c r="H1201" t="s">
        <v>15</v>
      </c>
      <c r="I1201" t="s">
        <v>36</v>
      </c>
      <c r="J1201" t="s">
        <v>102</v>
      </c>
    </row>
    <row r="1202" spans="1:10" x14ac:dyDescent="0.35">
      <c r="A1202" t="s">
        <v>1377</v>
      </c>
      <c r="B1202" s="10">
        <v>45873</v>
      </c>
      <c r="C1202" t="s">
        <v>350</v>
      </c>
      <c r="D1202" t="s">
        <v>29</v>
      </c>
      <c r="E1202" t="s">
        <v>151</v>
      </c>
      <c r="F1202" t="s">
        <v>14</v>
      </c>
      <c r="G1202">
        <v>36.31</v>
      </c>
      <c r="H1202" t="s">
        <v>15</v>
      </c>
      <c r="I1202" t="s">
        <v>36</v>
      </c>
      <c r="J1202" t="s">
        <v>158</v>
      </c>
    </row>
    <row r="1203" spans="1:10" x14ac:dyDescent="0.35">
      <c r="A1203" t="s">
        <v>1378</v>
      </c>
      <c r="B1203" s="10">
        <v>45873</v>
      </c>
      <c r="C1203" t="s">
        <v>220</v>
      </c>
      <c r="D1203" t="s">
        <v>59</v>
      </c>
      <c r="E1203" t="s">
        <v>199</v>
      </c>
      <c r="F1203" t="s">
        <v>14</v>
      </c>
      <c r="G1203">
        <v>343.72</v>
      </c>
      <c r="H1203" t="s">
        <v>21</v>
      </c>
      <c r="I1203" t="s">
        <v>22</v>
      </c>
      <c r="J1203" t="s">
        <v>211</v>
      </c>
    </row>
    <row r="1204" spans="1:10" x14ac:dyDescent="0.35">
      <c r="A1204" t="s">
        <v>1379</v>
      </c>
      <c r="B1204" s="10">
        <v>45873</v>
      </c>
      <c r="C1204" t="s">
        <v>262</v>
      </c>
      <c r="D1204" t="s">
        <v>101</v>
      </c>
      <c r="E1204" t="s">
        <v>244</v>
      </c>
      <c r="F1204" t="s">
        <v>14</v>
      </c>
      <c r="G1204">
        <v>77.8</v>
      </c>
      <c r="H1204" t="s">
        <v>15</v>
      </c>
      <c r="I1204" t="s">
        <v>22</v>
      </c>
      <c r="J1204" t="s">
        <v>136</v>
      </c>
    </row>
    <row r="1205" spans="1:10" x14ac:dyDescent="0.35">
      <c r="A1205" t="s">
        <v>1380</v>
      </c>
      <c r="B1205" s="10">
        <v>45873</v>
      </c>
      <c r="C1205" t="s">
        <v>138</v>
      </c>
      <c r="D1205" t="s">
        <v>12</v>
      </c>
      <c r="E1205" t="s">
        <v>26</v>
      </c>
      <c r="F1205" t="s">
        <v>14</v>
      </c>
      <c r="G1205">
        <v>70.400000000000006</v>
      </c>
      <c r="H1205" t="s">
        <v>21</v>
      </c>
      <c r="I1205" t="s">
        <v>36</v>
      </c>
      <c r="J1205" t="s">
        <v>77</v>
      </c>
    </row>
    <row r="1206" spans="1:10" x14ac:dyDescent="0.35">
      <c r="A1206" t="s">
        <v>1381</v>
      </c>
      <c r="B1206" s="10">
        <v>45873</v>
      </c>
      <c r="C1206" t="s">
        <v>281</v>
      </c>
      <c r="D1206" t="s">
        <v>34</v>
      </c>
      <c r="E1206" t="s">
        <v>40</v>
      </c>
      <c r="F1206" t="s">
        <v>14</v>
      </c>
      <c r="G1206">
        <v>81.77</v>
      </c>
      <c r="H1206" t="s">
        <v>98</v>
      </c>
      <c r="I1206" t="s">
        <v>84</v>
      </c>
      <c r="J1206" t="s">
        <v>123</v>
      </c>
    </row>
    <row r="1207" spans="1:10" x14ac:dyDescent="0.35">
      <c r="A1207" t="s">
        <v>1382</v>
      </c>
      <c r="B1207" s="10">
        <v>45873</v>
      </c>
      <c r="C1207" t="s">
        <v>580</v>
      </c>
      <c r="D1207" t="s">
        <v>80</v>
      </c>
      <c r="E1207" t="s">
        <v>81</v>
      </c>
      <c r="F1207" t="s">
        <v>14</v>
      </c>
      <c r="G1207">
        <v>10.99</v>
      </c>
      <c r="H1207" t="s">
        <v>21</v>
      </c>
      <c r="I1207" t="s">
        <v>22</v>
      </c>
      <c r="J1207" t="s">
        <v>118</v>
      </c>
    </row>
    <row r="1208" spans="1:10" x14ac:dyDescent="0.35">
      <c r="A1208" t="s">
        <v>1383</v>
      </c>
      <c r="B1208" s="10">
        <v>45874</v>
      </c>
      <c r="C1208" t="s">
        <v>296</v>
      </c>
      <c r="D1208" t="s">
        <v>101</v>
      </c>
      <c r="E1208" t="s">
        <v>136</v>
      </c>
      <c r="F1208" t="s">
        <v>14</v>
      </c>
      <c r="G1208">
        <v>12.89</v>
      </c>
      <c r="H1208" t="s">
        <v>15</v>
      </c>
      <c r="I1208" t="s">
        <v>47</v>
      </c>
      <c r="J1208" t="s">
        <v>136</v>
      </c>
    </row>
    <row r="1209" spans="1:10" x14ac:dyDescent="0.35">
      <c r="A1209" t="s">
        <v>1384</v>
      </c>
      <c r="B1209" s="10">
        <v>45874</v>
      </c>
      <c r="C1209" t="s">
        <v>39</v>
      </c>
      <c r="D1209" t="s">
        <v>34</v>
      </c>
      <c r="E1209" t="s">
        <v>40</v>
      </c>
      <c r="F1209" t="s">
        <v>14</v>
      </c>
      <c r="G1209">
        <v>151.76</v>
      </c>
      <c r="H1209" t="s">
        <v>15</v>
      </c>
      <c r="I1209" t="s">
        <v>22</v>
      </c>
      <c r="J1209" t="s">
        <v>41</v>
      </c>
    </row>
    <row r="1210" spans="1:10" x14ac:dyDescent="0.35">
      <c r="A1210" t="s">
        <v>1385</v>
      </c>
      <c r="B1210" s="10">
        <v>45874</v>
      </c>
      <c r="C1210" t="s">
        <v>331</v>
      </c>
      <c r="D1210" t="s">
        <v>29</v>
      </c>
      <c r="E1210" t="s">
        <v>95</v>
      </c>
      <c r="F1210" t="s">
        <v>14</v>
      </c>
      <c r="G1210">
        <v>106.68</v>
      </c>
      <c r="H1210" t="s">
        <v>21</v>
      </c>
      <c r="I1210" t="s">
        <v>84</v>
      </c>
      <c r="J1210" t="s">
        <v>151</v>
      </c>
    </row>
    <row r="1211" spans="1:10" x14ac:dyDescent="0.35">
      <c r="A1211" t="s">
        <v>1386</v>
      </c>
      <c r="B1211" s="10">
        <v>45874</v>
      </c>
      <c r="C1211" t="s">
        <v>272</v>
      </c>
      <c r="D1211" t="s">
        <v>54</v>
      </c>
      <c r="E1211" t="s">
        <v>55</v>
      </c>
      <c r="F1211" t="s">
        <v>54</v>
      </c>
      <c r="G1211">
        <v>644.85</v>
      </c>
      <c r="H1211" t="s">
        <v>15</v>
      </c>
      <c r="I1211" t="s">
        <v>36</v>
      </c>
      <c r="J1211" t="s">
        <v>65</v>
      </c>
    </row>
    <row r="1212" spans="1:10" x14ac:dyDescent="0.35">
      <c r="A1212" t="s">
        <v>1387</v>
      </c>
      <c r="B1212" s="10">
        <v>45875</v>
      </c>
      <c r="C1212" t="s">
        <v>215</v>
      </c>
      <c r="D1212" t="s">
        <v>80</v>
      </c>
      <c r="E1212" t="s">
        <v>117</v>
      </c>
      <c r="F1212" t="s">
        <v>14</v>
      </c>
      <c r="G1212">
        <v>170.79</v>
      </c>
      <c r="H1212" t="s">
        <v>15</v>
      </c>
      <c r="I1212" t="s">
        <v>22</v>
      </c>
      <c r="J1212" t="s">
        <v>141</v>
      </c>
    </row>
    <row r="1213" spans="1:10" x14ac:dyDescent="0.35">
      <c r="A1213" t="s">
        <v>1388</v>
      </c>
      <c r="B1213" s="10">
        <v>45875</v>
      </c>
      <c r="C1213" t="s">
        <v>253</v>
      </c>
      <c r="D1213" t="s">
        <v>29</v>
      </c>
      <c r="E1213" t="s">
        <v>30</v>
      </c>
      <c r="F1213" t="s">
        <v>14</v>
      </c>
      <c r="G1213">
        <v>33.020000000000003</v>
      </c>
      <c r="H1213" t="s">
        <v>21</v>
      </c>
      <c r="I1213" t="s">
        <v>22</v>
      </c>
      <c r="J1213" t="s">
        <v>158</v>
      </c>
    </row>
    <row r="1214" spans="1:10" x14ac:dyDescent="0.35">
      <c r="A1214" t="s">
        <v>1389</v>
      </c>
      <c r="B1214" s="10">
        <v>45875</v>
      </c>
      <c r="C1214" t="s">
        <v>11</v>
      </c>
      <c r="D1214" t="s">
        <v>12</v>
      </c>
      <c r="E1214" t="s">
        <v>13</v>
      </c>
      <c r="F1214" t="s">
        <v>14</v>
      </c>
      <c r="G1214">
        <v>104.88</v>
      </c>
      <c r="H1214" t="s">
        <v>21</v>
      </c>
      <c r="I1214" t="s">
        <v>36</v>
      </c>
      <c r="J1214" t="s">
        <v>17</v>
      </c>
    </row>
    <row r="1215" spans="1:10" x14ac:dyDescent="0.35">
      <c r="A1215" t="s">
        <v>1390</v>
      </c>
      <c r="B1215" s="10">
        <v>45875</v>
      </c>
      <c r="C1215" t="s">
        <v>227</v>
      </c>
      <c r="D1215" t="s">
        <v>12</v>
      </c>
      <c r="E1215" t="s">
        <v>51</v>
      </c>
      <c r="F1215" t="s">
        <v>14</v>
      </c>
      <c r="G1215">
        <v>34.07</v>
      </c>
      <c r="H1215" t="s">
        <v>15</v>
      </c>
      <c r="I1215" t="s">
        <v>47</v>
      </c>
      <c r="J1215" t="s">
        <v>17</v>
      </c>
    </row>
    <row r="1216" spans="1:10" x14ac:dyDescent="0.35">
      <c r="A1216" t="s">
        <v>1391</v>
      </c>
      <c r="B1216" s="10">
        <v>45876</v>
      </c>
      <c r="C1216" t="s">
        <v>259</v>
      </c>
      <c r="D1216" t="s">
        <v>59</v>
      </c>
      <c r="E1216" t="s">
        <v>199</v>
      </c>
      <c r="F1216" t="s">
        <v>14</v>
      </c>
      <c r="G1216">
        <v>256.55</v>
      </c>
      <c r="H1216" t="s">
        <v>15</v>
      </c>
      <c r="I1216" t="s">
        <v>22</v>
      </c>
      <c r="J1216" t="s">
        <v>170</v>
      </c>
    </row>
    <row r="1217" spans="1:10" x14ac:dyDescent="0.35">
      <c r="A1217" t="s">
        <v>1392</v>
      </c>
      <c r="B1217" s="10">
        <v>45876</v>
      </c>
      <c r="C1217" t="s">
        <v>100</v>
      </c>
      <c r="D1217" t="s">
        <v>101</v>
      </c>
      <c r="E1217" t="s">
        <v>102</v>
      </c>
      <c r="F1217" t="s">
        <v>14</v>
      </c>
      <c r="G1217">
        <v>64.81</v>
      </c>
      <c r="H1217" t="s">
        <v>98</v>
      </c>
      <c r="I1217" t="s">
        <v>47</v>
      </c>
      <c r="J1217" t="s">
        <v>103</v>
      </c>
    </row>
    <row r="1218" spans="1:10" x14ac:dyDescent="0.35">
      <c r="A1218" t="s">
        <v>1393</v>
      </c>
      <c r="B1218" s="10">
        <v>45876</v>
      </c>
      <c r="C1218" t="s">
        <v>220</v>
      </c>
      <c r="D1218" t="s">
        <v>59</v>
      </c>
      <c r="E1218" t="s">
        <v>199</v>
      </c>
      <c r="F1218" t="s">
        <v>14</v>
      </c>
      <c r="G1218">
        <v>550.84</v>
      </c>
      <c r="H1218" t="s">
        <v>15</v>
      </c>
      <c r="I1218" t="s">
        <v>36</v>
      </c>
      <c r="J1218" t="s">
        <v>211</v>
      </c>
    </row>
    <row r="1219" spans="1:10" x14ac:dyDescent="0.35">
      <c r="A1219" t="s">
        <v>1394</v>
      </c>
      <c r="B1219" s="10">
        <v>45876</v>
      </c>
      <c r="C1219" t="s">
        <v>229</v>
      </c>
      <c r="D1219" t="s">
        <v>54</v>
      </c>
      <c r="E1219" t="s">
        <v>64</v>
      </c>
      <c r="F1219" t="s">
        <v>54</v>
      </c>
      <c r="G1219">
        <v>336.79</v>
      </c>
      <c r="H1219" t="s">
        <v>98</v>
      </c>
      <c r="I1219" t="s">
        <v>36</v>
      </c>
      <c r="J1219" t="s">
        <v>56</v>
      </c>
    </row>
    <row r="1220" spans="1:10" x14ac:dyDescent="0.35">
      <c r="A1220" t="s">
        <v>1395</v>
      </c>
      <c r="B1220" s="10">
        <v>45876</v>
      </c>
      <c r="C1220" t="s">
        <v>281</v>
      </c>
      <c r="D1220" t="s">
        <v>34</v>
      </c>
      <c r="E1220" t="s">
        <v>40</v>
      </c>
      <c r="F1220" t="s">
        <v>14</v>
      </c>
      <c r="G1220">
        <v>263.27</v>
      </c>
      <c r="H1220" t="s">
        <v>15</v>
      </c>
      <c r="I1220" t="s">
        <v>22</v>
      </c>
      <c r="J1220" t="s">
        <v>123</v>
      </c>
    </row>
    <row r="1221" spans="1:10" x14ac:dyDescent="0.35">
      <c r="A1221" t="s">
        <v>1396</v>
      </c>
      <c r="B1221" s="10">
        <v>45877</v>
      </c>
      <c r="C1221" t="s">
        <v>243</v>
      </c>
      <c r="D1221" t="s">
        <v>101</v>
      </c>
      <c r="E1221" t="s">
        <v>244</v>
      </c>
      <c r="F1221" t="s">
        <v>14</v>
      </c>
      <c r="G1221">
        <v>38.22</v>
      </c>
      <c r="H1221" t="s">
        <v>15</v>
      </c>
      <c r="I1221" t="s">
        <v>36</v>
      </c>
      <c r="J1221" t="s">
        <v>102</v>
      </c>
    </row>
    <row r="1222" spans="1:10" x14ac:dyDescent="0.35">
      <c r="A1222" t="s">
        <v>1397</v>
      </c>
      <c r="B1222" s="10">
        <v>45877</v>
      </c>
      <c r="C1222" t="s">
        <v>143</v>
      </c>
      <c r="D1222" t="s">
        <v>54</v>
      </c>
      <c r="E1222" t="s">
        <v>55</v>
      </c>
      <c r="F1222" t="s">
        <v>54</v>
      </c>
      <c r="G1222">
        <v>707.49</v>
      </c>
      <c r="H1222" t="s">
        <v>15</v>
      </c>
      <c r="I1222" t="s">
        <v>22</v>
      </c>
      <c r="J1222" t="s">
        <v>89</v>
      </c>
    </row>
    <row r="1223" spans="1:10" x14ac:dyDescent="0.35">
      <c r="A1223" t="s">
        <v>1398</v>
      </c>
      <c r="B1223" s="10">
        <v>45877</v>
      </c>
      <c r="C1223" t="s">
        <v>53</v>
      </c>
      <c r="D1223" t="s">
        <v>54</v>
      </c>
      <c r="E1223" t="s">
        <v>55</v>
      </c>
      <c r="F1223" t="s">
        <v>54</v>
      </c>
      <c r="G1223">
        <v>713.44</v>
      </c>
      <c r="H1223" t="s">
        <v>15</v>
      </c>
      <c r="I1223" t="s">
        <v>36</v>
      </c>
      <c r="J1223" t="s">
        <v>56</v>
      </c>
    </row>
    <row r="1224" spans="1:10" x14ac:dyDescent="0.35">
      <c r="A1224" t="s">
        <v>1399</v>
      </c>
      <c r="B1224" s="10">
        <v>45877</v>
      </c>
      <c r="C1224" t="s">
        <v>53</v>
      </c>
      <c r="D1224" t="s">
        <v>54</v>
      </c>
      <c r="E1224" t="s">
        <v>55</v>
      </c>
      <c r="F1224" t="s">
        <v>54</v>
      </c>
      <c r="G1224">
        <v>779.53</v>
      </c>
      <c r="H1224" t="s">
        <v>15</v>
      </c>
      <c r="I1224" t="s">
        <v>36</v>
      </c>
      <c r="J1224" t="s">
        <v>56</v>
      </c>
    </row>
    <row r="1225" spans="1:10" x14ac:dyDescent="0.35">
      <c r="A1225" t="s">
        <v>1400</v>
      </c>
      <c r="B1225" s="10">
        <v>45877</v>
      </c>
      <c r="C1225" t="s">
        <v>125</v>
      </c>
      <c r="D1225" t="s">
        <v>12</v>
      </c>
      <c r="E1225" t="s">
        <v>13</v>
      </c>
      <c r="F1225" t="s">
        <v>14</v>
      </c>
      <c r="G1225">
        <v>15.24</v>
      </c>
      <c r="H1225" t="s">
        <v>15</v>
      </c>
      <c r="I1225" t="s">
        <v>22</v>
      </c>
      <c r="J1225" t="s">
        <v>44</v>
      </c>
    </row>
    <row r="1226" spans="1:10" x14ac:dyDescent="0.35">
      <c r="A1226" t="s">
        <v>1401</v>
      </c>
      <c r="B1226" s="10">
        <v>45877</v>
      </c>
      <c r="C1226" t="s">
        <v>184</v>
      </c>
      <c r="D1226" t="s">
        <v>59</v>
      </c>
      <c r="E1226" t="s">
        <v>185</v>
      </c>
      <c r="F1226" t="s">
        <v>14</v>
      </c>
      <c r="G1226">
        <v>115.34</v>
      </c>
      <c r="H1226" t="s">
        <v>15</v>
      </c>
      <c r="I1226" t="s">
        <v>36</v>
      </c>
      <c r="J1226" t="s">
        <v>61</v>
      </c>
    </row>
    <row r="1227" spans="1:10" x14ac:dyDescent="0.35">
      <c r="A1227" t="s">
        <v>1402</v>
      </c>
      <c r="B1227" s="10">
        <v>45878</v>
      </c>
      <c r="C1227" t="s">
        <v>281</v>
      </c>
      <c r="D1227" t="s">
        <v>34</v>
      </c>
      <c r="E1227" t="s">
        <v>40</v>
      </c>
      <c r="F1227" t="s">
        <v>14</v>
      </c>
      <c r="G1227">
        <v>67.489999999999995</v>
      </c>
      <c r="H1227" t="s">
        <v>21</v>
      </c>
      <c r="I1227" t="s">
        <v>36</v>
      </c>
      <c r="J1227" t="s">
        <v>123</v>
      </c>
    </row>
    <row r="1228" spans="1:10" x14ac:dyDescent="0.35">
      <c r="A1228" t="s">
        <v>1403</v>
      </c>
      <c r="B1228" s="10">
        <v>45878</v>
      </c>
      <c r="C1228" t="s">
        <v>259</v>
      </c>
      <c r="D1228" t="s">
        <v>59</v>
      </c>
      <c r="E1228" t="s">
        <v>199</v>
      </c>
      <c r="F1228" t="s">
        <v>14</v>
      </c>
      <c r="G1228">
        <v>286.44</v>
      </c>
      <c r="H1228" t="s">
        <v>21</v>
      </c>
      <c r="I1228" t="s">
        <v>36</v>
      </c>
      <c r="J1228" t="s">
        <v>170</v>
      </c>
    </row>
    <row r="1229" spans="1:10" x14ac:dyDescent="0.35">
      <c r="A1229" t="s">
        <v>1404</v>
      </c>
      <c r="B1229" s="10">
        <v>45878</v>
      </c>
      <c r="C1229" t="s">
        <v>210</v>
      </c>
      <c r="D1229" t="s">
        <v>59</v>
      </c>
      <c r="E1229" t="s">
        <v>185</v>
      </c>
      <c r="F1229" t="s">
        <v>14</v>
      </c>
      <c r="G1229">
        <v>213.72</v>
      </c>
      <c r="H1229" t="s">
        <v>15</v>
      </c>
      <c r="I1229" t="s">
        <v>22</v>
      </c>
      <c r="J1229" t="s">
        <v>211</v>
      </c>
    </row>
    <row r="1230" spans="1:10" x14ac:dyDescent="0.35">
      <c r="A1230" t="s">
        <v>1405</v>
      </c>
      <c r="B1230" s="10">
        <v>45878</v>
      </c>
      <c r="C1230" t="s">
        <v>331</v>
      </c>
      <c r="D1230" t="s">
        <v>29</v>
      </c>
      <c r="E1230" t="s">
        <v>95</v>
      </c>
      <c r="F1230" t="s">
        <v>14</v>
      </c>
      <c r="G1230">
        <v>76.47</v>
      </c>
      <c r="H1230" t="s">
        <v>15</v>
      </c>
      <c r="I1230" t="s">
        <v>36</v>
      </c>
      <c r="J1230" t="s">
        <v>151</v>
      </c>
    </row>
    <row r="1231" spans="1:10" x14ac:dyDescent="0.35">
      <c r="A1231" t="s">
        <v>1406</v>
      </c>
      <c r="B1231" s="10">
        <v>45878</v>
      </c>
      <c r="C1231" t="s">
        <v>272</v>
      </c>
      <c r="D1231" t="s">
        <v>54</v>
      </c>
      <c r="E1231" t="s">
        <v>55</v>
      </c>
      <c r="F1231" t="s">
        <v>54</v>
      </c>
      <c r="G1231">
        <v>685.93</v>
      </c>
      <c r="H1231" t="s">
        <v>15</v>
      </c>
      <c r="I1231" t="s">
        <v>22</v>
      </c>
      <c r="J1231" t="s">
        <v>65</v>
      </c>
    </row>
    <row r="1232" spans="1:10" x14ac:dyDescent="0.35">
      <c r="A1232" t="s">
        <v>1407</v>
      </c>
      <c r="B1232" s="10">
        <v>45878</v>
      </c>
      <c r="C1232" t="s">
        <v>415</v>
      </c>
      <c r="D1232" t="s">
        <v>12</v>
      </c>
      <c r="E1232" t="s">
        <v>51</v>
      </c>
      <c r="F1232" t="s">
        <v>14</v>
      </c>
      <c r="G1232">
        <v>155.1</v>
      </c>
      <c r="H1232" t="s">
        <v>15</v>
      </c>
      <c r="I1232" t="s">
        <v>22</v>
      </c>
      <c r="J1232" t="s">
        <v>77</v>
      </c>
    </row>
    <row r="1233" spans="1:10" x14ac:dyDescent="0.35">
      <c r="A1233" t="s">
        <v>1408</v>
      </c>
      <c r="B1233" s="10">
        <v>45878</v>
      </c>
      <c r="C1233" t="s">
        <v>206</v>
      </c>
      <c r="D1233" t="s">
        <v>29</v>
      </c>
      <c r="E1233" t="s">
        <v>95</v>
      </c>
      <c r="F1233" t="s">
        <v>14</v>
      </c>
      <c r="G1233">
        <v>11.23</v>
      </c>
      <c r="H1233" t="s">
        <v>15</v>
      </c>
      <c r="I1233" t="s">
        <v>22</v>
      </c>
      <c r="J1233" t="s">
        <v>31</v>
      </c>
    </row>
    <row r="1234" spans="1:10" x14ac:dyDescent="0.35">
      <c r="A1234" t="s">
        <v>1409</v>
      </c>
      <c r="B1234" s="10">
        <v>45878</v>
      </c>
      <c r="C1234" t="s">
        <v>415</v>
      </c>
      <c r="D1234" t="s">
        <v>12</v>
      </c>
      <c r="E1234" t="s">
        <v>51</v>
      </c>
      <c r="F1234" t="s">
        <v>14</v>
      </c>
      <c r="G1234">
        <v>66.709999999999994</v>
      </c>
      <c r="H1234" t="s">
        <v>98</v>
      </c>
      <c r="I1234" t="s">
        <v>36</v>
      </c>
      <c r="J1234" t="s">
        <v>77</v>
      </c>
    </row>
    <row r="1235" spans="1:10" x14ac:dyDescent="0.35">
      <c r="A1235" t="s">
        <v>1410</v>
      </c>
      <c r="B1235" s="10">
        <v>45879</v>
      </c>
      <c r="C1235" t="s">
        <v>177</v>
      </c>
      <c r="D1235" t="s">
        <v>54</v>
      </c>
      <c r="E1235" t="s">
        <v>74</v>
      </c>
      <c r="F1235" t="s">
        <v>54</v>
      </c>
      <c r="G1235">
        <v>3091.41</v>
      </c>
      <c r="H1235" t="s">
        <v>15</v>
      </c>
      <c r="I1235" t="s">
        <v>47</v>
      </c>
      <c r="J1235" t="s">
        <v>56</v>
      </c>
    </row>
    <row r="1236" spans="1:10" x14ac:dyDescent="0.35">
      <c r="A1236" t="s">
        <v>1411</v>
      </c>
      <c r="B1236" s="10">
        <v>45879</v>
      </c>
      <c r="C1236" t="s">
        <v>424</v>
      </c>
      <c r="D1236" t="s">
        <v>101</v>
      </c>
      <c r="E1236" t="s">
        <v>136</v>
      </c>
      <c r="F1236" t="s">
        <v>14</v>
      </c>
      <c r="G1236">
        <v>29.69</v>
      </c>
      <c r="H1236" t="s">
        <v>21</v>
      </c>
      <c r="I1236" t="s">
        <v>22</v>
      </c>
      <c r="J1236" t="s">
        <v>102</v>
      </c>
    </row>
    <row r="1237" spans="1:10" x14ac:dyDescent="0.35">
      <c r="A1237" t="s">
        <v>1412</v>
      </c>
      <c r="B1237" s="10">
        <v>45879</v>
      </c>
      <c r="C1237" t="s">
        <v>143</v>
      </c>
      <c r="D1237" t="s">
        <v>54</v>
      </c>
      <c r="E1237" t="s">
        <v>55</v>
      </c>
      <c r="F1237" t="s">
        <v>54</v>
      </c>
      <c r="G1237">
        <v>640.29999999999995</v>
      </c>
      <c r="H1237" t="s">
        <v>15</v>
      </c>
      <c r="I1237" t="s">
        <v>22</v>
      </c>
      <c r="J1237" t="s">
        <v>89</v>
      </c>
    </row>
    <row r="1238" spans="1:10" x14ac:dyDescent="0.35">
      <c r="A1238" t="s">
        <v>1413</v>
      </c>
      <c r="B1238" s="10">
        <v>45880</v>
      </c>
      <c r="C1238" t="s">
        <v>229</v>
      </c>
      <c r="D1238" t="s">
        <v>54</v>
      </c>
      <c r="E1238" t="s">
        <v>64</v>
      </c>
      <c r="F1238" t="s">
        <v>54</v>
      </c>
      <c r="G1238">
        <v>356.2</v>
      </c>
      <c r="H1238" t="s">
        <v>21</v>
      </c>
      <c r="I1238" t="s">
        <v>22</v>
      </c>
      <c r="J1238" t="s">
        <v>56</v>
      </c>
    </row>
    <row r="1239" spans="1:10" x14ac:dyDescent="0.35">
      <c r="A1239" t="s">
        <v>1414</v>
      </c>
      <c r="B1239" s="10">
        <v>45880</v>
      </c>
      <c r="C1239" t="s">
        <v>227</v>
      </c>
      <c r="D1239" t="s">
        <v>12</v>
      </c>
      <c r="E1239" t="s">
        <v>51</v>
      </c>
      <c r="F1239" t="s">
        <v>14</v>
      </c>
      <c r="G1239">
        <v>36.96</v>
      </c>
      <c r="H1239" t="s">
        <v>15</v>
      </c>
      <c r="I1239" t="s">
        <v>22</v>
      </c>
      <c r="J1239" t="s">
        <v>17</v>
      </c>
    </row>
    <row r="1240" spans="1:10" x14ac:dyDescent="0.35">
      <c r="A1240" t="s">
        <v>1415</v>
      </c>
      <c r="B1240" s="10">
        <v>45880</v>
      </c>
      <c r="C1240" t="s">
        <v>424</v>
      </c>
      <c r="D1240" t="s">
        <v>101</v>
      </c>
      <c r="E1240" t="s">
        <v>136</v>
      </c>
      <c r="F1240" t="s">
        <v>14</v>
      </c>
      <c r="G1240">
        <v>68.84</v>
      </c>
      <c r="H1240" t="s">
        <v>15</v>
      </c>
      <c r="I1240" t="s">
        <v>16</v>
      </c>
      <c r="J1240" t="s">
        <v>102</v>
      </c>
    </row>
    <row r="1241" spans="1:10" x14ac:dyDescent="0.35">
      <c r="A1241" t="s">
        <v>1416</v>
      </c>
      <c r="B1241" s="10">
        <v>45880</v>
      </c>
      <c r="C1241" t="s">
        <v>350</v>
      </c>
      <c r="D1241" t="s">
        <v>29</v>
      </c>
      <c r="E1241" t="s">
        <v>151</v>
      </c>
      <c r="F1241" t="s">
        <v>14</v>
      </c>
      <c r="G1241">
        <v>11.22</v>
      </c>
      <c r="H1241" t="s">
        <v>21</v>
      </c>
      <c r="I1241" t="s">
        <v>22</v>
      </c>
      <c r="J1241" t="s">
        <v>158</v>
      </c>
    </row>
    <row r="1242" spans="1:10" x14ac:dyDescent="0.35">
      <c r="A1242" t="s">
        <v>1417</v>
      </c>
      <c r="B1242" s="10">
        <v>45880</v>
      </c>
      <c r="C1242" t="s">
        <v>25</v>
      </c>
      <c r="D1242" t="s">
        <v>12</v>
      </c>
      <c r="E1242" t="s">
        <v>26</v>
      </c>
      <c r="F1242" t="s">
        <v>14</v>
      </c>
      <c r="G1242">
        <v>55.84</v>
      </c>
      <c r="H1242" t="s">
        <v>15</v>
      </c>
      <c r="I1242" t="s">
        <v>22</v>
      </c>
      <c r="J1242" t="s">
        <v>17</v>
      </c>
    </row>
    <row r="1243" spans="1:10" x14ac:dyDescent="0.35">
      <c r="A1243" t="s">
        <v>1418</v>
      </c>
      <c r="B1243" s="10">
        <v>45880</v>
      </c>
      <c r="C1243" t="s">
        <v>125</v>
      </c>
      <c r="D1243" t="s">
        <v>12</v>
      </c>
      <c r="E1243" t="s">
        <v>13</v>
      </c>
      <c r="F1243" t="s">
        <v>14</v>
      </c>
      <c r="G1243">
        <v>46.83</v>
      </c>
      <c r="H1243" t="s">
        <v>15</v>
      </c>
      <c r="I1243" t="s">
        <v>22</v>
      </c>
      <c r="J1243" t="s">
        <v>44</v>
      </c>
    </row>
    <row r="1244" spans="1:10" x14ac:dyDescent="0.35">
      <c r="A1244" t="s">
        <v>1419</v>
      </c>
      <c r="B1244" s="10">
        <v>45880</v>
      </c>
      <c r="C1244" t="s">
        <v>19</v>
      </c>
      <c r="D1244" t="s">
        <v>12</v>
      </c>
      <c r="E1244" t="s">
        <v>13</v>
      </c>
      <c r="F1244" t="s">
        <v>14</v>
      </c>
      <c r="G1244">
        <v>104.12</v>
      </c>
      <c r="H1244" t="s">
        <v>15</v>
      </c>
      <c r="I1244" t="s">
        <v>22</v>
      </c>
      <c r="J1244" t="s">
        <v>23</v>
      </c>
    </row>
    <row r="1245" spans="1:10" x14ac:dyDescent="0.35">
      <c r="A1245" t="s">
        <v>1420</v>
      </c>
      <c r="B1245" s="10">
        <v>45881</v>
      </c>
      <c r="C1245" t="s">
        <v>206</v>
      </c>
      <c r="D1245" t="s">
        <v>29</v>
      </c>
      <c r="E1245" t="s">
        <v>95</v>
      </c>
      <c r="F1245" t="s">
        <v>14</v>
      </c>
      <c r="G1245">
        <v>54.36</v>
      </c>
      <c r="H1245" t="s">
        <v>15</v>
      </c>
      <c r="I1245" t="s">
        <v>47</v>
      </c>
      <c r="J1245" t="s">
        <v>31</v>
      </c>
    </row>
    <row r="1246" spans="1:10" x14ac:dyDescent="0.35">
      <c r="A1246" t="s">
        <v>1421</v>
      </c>
      <c r="B1246" s="10">
        <v>45881</v>
      </c>
      <c r="C1246" t="s">
        <v>19</v>
      </c>
      <c r="D1246" t="s">
        <v>12</v>
      </c>
      <c r="E1246" t="s">
        <v>13</v>
      </c>
      <c r="F1246" t="s">
        <v>14</v>
      </c>
      <c r="G1246">
        <v>167.2</v>
      </c>
      <c r="H1246" t="s">
        <v>21</v>
      </c>
      <c r="I1246" t="s">
        <v>36</v>
      </c>
      <c r="J1246" t="s">
        <v>23</v>
      </c>
    </row>
    <row r="1247" spans="1:10" x14ac:dyDescent="0.35">
      <c r="A1247" t="s">
        <v>1422</v>
      </c>
      <c r="B1247" s="10">
        <v>45881</v>
      </c>
      <c r="C1247" t="s">
        <v>130</v>
      </c>
      <c r="D1247" t="s">
        <v>12</v>
      </c>
      <c r="E1247" t="s">
        <v>26</v>
      </c>
      <c r="F1247" t="s">
        <v>14</v>
      </c>
      <c r="G1247">
        <v>48.72</v>
      </c>
      <c r="H1247" t="s">
        <v>15</v>
      </c>
      <c r="I1247" t="s">
        <v>22</v>
      </c>
      <c r="J1247" t="s">
        <v>48</v>
      </c>
    </row>
    <row r="1248" spans="1:10" x14ac:dyDescent="0.35">
      <c r="A1248" t="s">
        <v>1423</v>
      </c>
      <c r="B1248" s="10">
        <v>45881</v>
      </c>
      <c r="C1248" t="s">
        <v>46</v>
      </c>
      <c r="D1248" t="s">
        <v>12</v>
      </c>
      <c r="E1248" t="s">
        <v>13</v>
      </c>
      <c r="F1248" t="s">
        <v>14</v>
      </c>
      <c r="G1248">
        <v>83.34</v>
      </c>
      <c r="H1248" t="s">
        <v>15</v>
      </c>
      <c r="I1248" t="s">
        <v>16</v>
      </c>
      <c r="J1248" t="s">
        <v>48</v>
      </c>
    </row>
    <row r="1249" spans="1:10" x14ac:dyDescent="0.35">
      <c r="A1249" t="s">
        <v>1424</v>
      </c>
      <c r="B1249" s="10">
        <v>45881</v>
      </c>
      <c r="C1249" t="s">
        <v>73</v>
      </c>
      <c r="D1249" t="s">
        <v>54</v>
      </c>
      <c r="E1249" t="s">
        <v>74</v>
      </c>
      <c r="F1249" t="s">
        <v>54</v>
      </c>
      <c r="G1249">
        <v>2348.41</v>
      </c>
      <c r="H1249" t="s">
        <v>21</v>
      </c>
      <c r="I1249" t="s">
        <v>22</v>
      </c>
      <c r="J1249" t="s">
        <v>65</v>
      </c>
    </row>
    <row r="1250" spans="1:10" x14ac:dyDescent="0.35">
      <c r="A1250" t="s">
        <v>1425</v>
      </c>
      <c r="B1250" s="10">
        <v>45881</v>
      </c>
      <c r="C1250" t="s">
        <v>204</v>
      </c>
      <c r="D1250" t="s">
        <v>12</v>
      </c>
      <c r="E1250" t="s">
        <v>51</v>
      </c>
      <c r="F1250" t="s">
        <v>14</v>
      </c>
      <c r="G1250">
        <v>58.69</v>
      </c>
      <c r="H1250" t="s">
        <v>21</v>
      </c>
      <c r="I1250" t="s">
        <v>47</v>
      </c>
      <c r="J1250" t="s">
        <v>23</v>
      </c>
    </row>
    <row r="1251" spans="1:10" x14ac:dyDescent="0.35">
      <c r="A1251" t="s">
        <v>1426</v>
      </c>
      <c r="B1251" s="10">
        <v>45882</v>
      </c>
      <c r="C1251" t="s">
        <v>262</v>
      </c>
      <c r="D1251" t="s">
        <v>101</v>
      </c>
      <c r="E1251" t="s">
        <v>244</v>
      </c>
      <c r="F1251" t="s">
        <v>14</v>
      </c>
      <c r="G1251">
        <v>35.200000000000003</v>
      </c>
      <c r="H1251" t="s">
        <v>15</v>
      </c>
      <c r="I1251" t="s">
        <v>22</v>
      </c>
      <c r="J1251" t="s">
        <v>136</v>
      </c>
    </row>
    <row r="1252" spans="1:10" x14ac:dyDescent="0.35">
      <c r="A1252" t="s">
        <v>1427</v>
      </c>
      <c r="B1252" s="10">
        <v>45882</v>
      </c>
      <c r="C1252" t="s">
        <v>572</v>
      </c>
      <c r="D1252" t="s">
        <v>69</v>
      </c>
      <c r="E1252" t="s">
        <v>233</v>
      </c>
      <c r="F1252" t="s">
        <v>14</v>
      </c>
      <c r="G1252">
        <v>340.43</v>
      </c>
      <c r="H1252" t="s">
        <v>98</v>
      </c>
      <c r="I1252" t="s">
        <v>36</v>
      </c>
      <c r="J1252" t="s">
        <v>292</v>
      </c>
    </row>
    <row r="1253" spans="1:10" x14ac:dyDescent="0.35">
      <c r="A1253" t="s">
        <v>1428</v>
      </c>
      <c r="B1253" s="10">
        <v>45882</v>
      </c>
      <c r="C1253" t="s">
        <v>281</v>
      </c>
      <c r="D1253" t="s">
        <v>34</v>
      </c>
      <c r="E1253" t="s">
        <v>40</v>
      </c>
      <c r="F1253" t="s">
        <v>14</v>
      </c>
      <c r="G1253">
        <v>34.56</v>
      </c>
      <c r="H1253" t="s">
        <v>21</v>
      </c>
      <c r="I1253" t="s">
        <v>36</v>
      </c>
      <c r="J1253" t="s">
        <v>123</v>
      </c>
    </row>
    <row r="1254" spans="1:10" x14ac:dyDescent="0.35">
      <c r="A1254" t="s">
        <v>1429</v>
      </c>
      <c r="B1254" s="10">
        <v>45882</v>
      </c>
      <c r="C1254" t="s">
        <v>25</v>
      </c>
      <c r="D1254" t="s">
        <v>12</v>
      </c>
      <c r="E1254" t="s">
        <v>26</v>
      </c>
      <c r="F1254" t="s">
        <v>14</v>
      </c>
      <c r="G1254">
        <v>15.42</v>
      </c>
      <c r="H1254" t="s">
        <v>15</v>
      </c>
      <c r="I1254" t="s">
        <v>47</v>
      </c>
      <c r="J1254" t="s">
        <v>17</v>
      </c>
    </row>
    <row r="1255" spans="1:10" x14ac:dyDescent="0.35">
      <c r="A1255" t="s">
        <v>1430</v>
      </c>
      <c r="B1255" s="10">
        <v>45882</v>
      </c>
      <c r="C1255" t="s">
        <v>177</v>
      </c>
      <c r="D1255" t="s">
        <v>54</v>
      </c>
      <c r="E1255" t="s">
        <v>74</v>
      </c>
      <c r="F1255" t="s">
        <v>54</v>
      </c>
      <c r="G1255">
        <v>2557.5</v>
      </c>
      <c r="H1255" t="s">
        <v>15</v>
      </c>
      <c r="I1255" t="s">
        <v>22</v>
      </c>
      <c r="J1255" t="s">
        <v>56</v>
      </c>
    </row>
    <row r="1256" spans="1:10" x14ac:dyDescent="0.35">
      <c r="A1256" t="s">
        <v>1431</v>
      </c>
      <c r="B1256" s="10">
        <v>45882</v>
      </c>
      <c r="C1256" t="s">
        <v>172</v>
      </c>
      <c r="D1256" t="s">
        <v>101</v>
      </c>
      <c r="E1256" t="s">
        <v>102</v>
      </c>
      <c r="F1256" t="s">
        <v>14</v>
      </c>
      <c r="G1256">
        <v>28.76</v>
      </c>
      <c r="H1256" t="s">
        <v>15</v>
      </c>
      <c r="I1256" t="s">
        <v>22</v>
      </c>
      <c r="J1256" t="s">
        <v>102</v>
      </c>
    </row>
    <row r="1257" spans="1:10" x14ac:dyDescent="0.35">
      <c r="A1257" t="s">
        <v>1432</v>
      </c>
      <c r="B1257" s="10">
        <v>45882</v>
      </c>
      <c r="C1257" t="s">
        <v>157</v>
      </c>
      <c r="D1257" t="s">
        <v>29</v>
      </c>
      <c r="E1257" t="s">
        <v>95</v>
      </c>
      <c r="F1257" t="s">
        <v>14</v>
      </c>
      <c r="G1257">
        <v>12.05</v>
      </c>
      <c r="H1257" t="s">
        <v>15</v>
      </c>
      <c r="I1257" t="s">
        <v>36</v>
      </c>
      <c r="J1257" t="s">
        <v>158</v>
      </c>
    </row>
    <row r="1258" spans="1:10" x14ac:dyDescent="0.35">
      <c r="A1258" t="s">
        <v>1433</v>
      </c>
      <c r="B1258" s="10">
        <v>45882</v>
      </c>
      <c r="C1258" t="s">
        <v>347</v>
      </c>
      <c r="D1258" t="s">
        <v>29</v>
      </c>
      <c r="E1258" t="s">
        <v>151</v>
      </c>
      <c r="F1258" t="s">
        <v>14</v>
      </c>
      <c r="G1258">
        <v>29.44</v>
      </c>
      <c r="H1258" t="s">
        <v>15</v>
      </c>
      <c r="I1258" t="s">
        <v>36</v>
      </c>
      <c r="J1258" t="s">
        <v>96</v>
      </c>
    </row>
    <row r="1259" spans="1:10" x14ac:dyDescent="0.35">
      <c r="A1259" t="s">
        <v>1434</v>
      </c>
      <c r="B1259" s="10">
        <v>45883</v>
      </c>
      <c r="C1259" t="s">
        <v>206</v>
      </c>
      <c r="D1259" t="s">
        <v>29</v>
      </c>
      <c r="E1259" t="s">
        <v>95</v>
      </c>
      <c r="F1259" t="s">
        <v>14</v>
      </c>
      <c r="G1259">
        <v>25.89</v>
      </c>
      <c r="H1259" t="s">
        <v>21</v>
      </c>
      <c r="I1259" t="s">
        <v>36</v>
      </c>
      <c r="J1259" t="s">
        <v>31</v>
      </c>
    </row>
    <row r="1260" spans="1:10" x14ac:dyDescent="0.35">
      <c r="A1260" t="s">
        <v>1435</v>
      </c>
      <c r="B1260" s="10">
        <v>45883</v>
      </c>
      <c r="C1260" t="s">
        <v>130</v>
      </c>
      <c r="D1260" t="s">
        <v>12</v>
      </c>
      <c r="E1260" t="s">
        <v>26</v>
      </c>
      <c r="F1260" t="s">
        <v>14</v>
      </c>
      <c r="G1260">
        <v>36.049999999999997</v>
      </c>
      <c r="H1260" t="s">
        <v>15</v>
      </c>
      <c r="I1260" t="s">
        <v>47</v>
      </c>
      <c r="J1260" t="s">
        <v>48</v>
      </c>
    </row>
    <row r="1261" spans="1:10" x14ac:dyDescent="0.35">
      <c r="A1261" t="s">
        <v>1436</v>
      </c>
      <c r="B1261" s="10">
        <v>45883</v>
      </c>
      <c r="C1261" t="s">
        <v>143</v>
      </c>
      <c r="D1261" t="s">
        <v>54</v>
      </c>
      <c r="E1261" t="s">
        <v>55</v>
      </c>
      <c r="F1261" t="s">
        <v>54</v>
      </c>
      <c r="G1261">
        <v>695.42</v>
      </c>
      <c r="H1261" t="s">
        <v>15</v>
      </c>
      <c r="I1261" t="s">
        <v>22</v>
      </c>
      <c r="J1261" t="s">
        <v>89</v>
      </c>
    </row>
    <row r="1262" spans="1:10" x14ac:dyDescent="0.35">
      <c r="A1262" t="s">
        <v>1437</v>
      </c>
      <c r="B1262" s="10">
        <v>45883</v>
      </c>
      <c r="C1262" t="s">
        <v>53</v>
      </c>
      <c r="D1262" t="s">
        <v>54</v>
      </c>
      <c r="E1262" t="s">
        <v>55</v>
      </c>
      <c r="F1262" t="s">
        <v>54</v>
      </c>
      <c r="G1262">
        <v>691.91</v>
      </c>
      <c r="H1262" t="s">
        <v>21</v>
      </c>
      <c r="I1262" t="s">
        <v>36</v>
      </c>
      <c r="J1262" t="s">
        <v>56</v>
      </c>
    </row>
    <row r="1263" spans="1:10" x14ac:dyDescent="0.35">
      <c r="A1263" t="s">
        <v>1438</v>
      </c>
      <c r="B1263" s="10">
        <v>45883</v>
      </c>
      <c r="C1263" t="s">
        <v>308</v>
      </c>
      <c r="D1263" t="s">
        <v>54</v>
      </c>
      <c r="E1263" t="s">
        <v>64</v>
      </c>
      <c r="F1263" t="s">
        <v>54</v>
      </c>
      <c r="G1263">
        <v>317.17</v>
      </c>
      <c r="H1263" t="s">
        <v>15</v>
      </c>
      <c r="I1263" t="s">
        <v>36</v>
      </c>
      <c r="J1263" t="s">
        <v>89</v>
      </c>
    </row>
    <row r="1264" spans="1:10" x14ac:dyDescent="0.35">
      <c r="A1264" t="s">
        <v>1439</v>
      </c>
      <c r="B1264" s="10">
        <v>45883</v>
      </c>
      <c r="C1264" t="s">
        <v>175</v>
      </c>
      <c r="D1264" t="s">
        <v>80</v>
      </c>
      <c r="E1264" t="s">
        <v>92</v>
      </c>
      <c r="F1264" t="s">
        <v>14</v>
      </c>
      <c r="G1264">
        <v>20.2</v>
      </c>
      <c r="H1264" t="s">
        <v>98</v>
      </c>
      <c r="I1264" t="s">
        <v>22</v>
      </c>
      <c r="J1264" t="s">
        <v>141</v>
      </c>
    </row>
    <row r="1265" spans="1:10" x14ac:dyDescent="0.35">
      <c r="A1265" t="s">
        <v>1440</v>
      </c>
      <c r="B1265" s="10">
        <v>45884</v>
      </c>
      <c r="C1265" t="s">
        <v>734</v>
      </c>
      <c r="D1265" t="s">
        <v>69</v>
      </c>
      <c r="E1265" t="s">
        <v>291</v>
      </c>
      <c r="F1265" t="s">
        <v>14</v>
      </c>
      <c r="G1265">
        <v>403.77</v>
      </c>
      <c r="H1265" t="s">
        <v>15</v>
      </c>
      <c r="I1265" t="s">
        <v>47</v>
      </c>
      <c r="J1265" t="s">
        <v>71</v>
      </c>
    </row>
    <row r="1266" spans="1:10" x14ac:dyDescent="0.35">
      <c r="A1266" t="s">
        <v>1441</v>
      </c>
      <c r="B1266" s="10">
        <v>45884</v>
      </c>
      <c r="C1266" t="s">
        <v>43</v>
      </c>
      <c r="D1266" t="s">
        <v>12</v>
      </c>
      <c r="E1266" t="s">
        <v>26</v>
      </c>
      <c r="F1266" t="s">
        <v>14</v>
      </c>
      <c r="G1266">
        <v>24.31</v>
      </c>
      <c r="H1266" t="s">
        <v>15</v>
      </c>
      <c r="I1266" t="s">
        <v>47</v>
      </c>
      <c r="J1266" t="s">
        <v>44</v>
      </c>
    </row>
    <row r="1267" spans="1:10" x14ac:dyDescent="0.35">
      <c r="A1267" t="s">
        <v>1442</v>
      </c>
      <c r="B1267" s="10">
        <v>45884</v>
      </c>
      <c r="C1267" t="s">
        <v>395</v>
      </c>
      <c r="D1267" t="s">
        <v>69</v>
      </c>
      <c r="E1267" t="s">
        <v>291</v>
      </c>
      <c r="F1267" t="s">
        <v>14</v>
      </c>
      <c r="G1267">
        <v>803.96</v>
      </c>
      <c r="H1267" t="s">
        <v>21</v>
      </c>
      <c r="I1267" t="s">
        <v>36</v>
      </c>
      <c r="J1267" t="s">
        <v>396</v>
      </c>
    </row>
    <row r="1268" spans="1:10" x14ac:dyDescent="0.35">
      <c r="A1268" t="s">
        <v>1443</v>
      </c>
      <c r="B1268" s="10">
        <v>45884</v>
      </c>
      <c r="C1268" t="s">
        <v>281</v>
      </c>
      <c r="D1268" t="s">
        <v>34</v>
      </c>
      <c r="E1268" t="s">
        <v>40</v>
      </c>
      <c r="F1268" t="s">
        <v>14</v>
      </c>
      <c r="G1268">
        <v>147.37</v>
      </c>
      <c r="H1268" t="s">
        <v>15</v>
      </c>
      <c r="I1268" t="s">
        <v>47</v>
      </c>
      <c r="J1268" t="s">
        <v>123</v>
      </c>
    </row>
    <row r="1269" spans="1:10" x14ac:dyDescent="0.35">
      <c r="A1269" t="s">
        <v>1444</v>
      </c>
      <c r="B1269" s="10">
        <v>45884</v>
      </c>
      <c r="C1269" t="s">
        <v>445</v>
      </c>
      <c r="D1269" t="s">
        <v>101</v>
      </c>
      <c r="E1269" t="s">
        <v>244</v>
      </c>
      <c r="F1269" t="s">
        <v>14</v>
      </c>
      <c r="G1269">
        <v>32.5</v>
      </c>
      <c r="H1269" t="s">
        <v>21</v>
      </c>
      <c r="I1269" t="s">
        <v>47</v>
      </c>
      <c r="J1269" t="s">
        <v>103</v>
      </c>
    </row>
    <row r="1270" spans="1:10" x14ac:dyDescent="0.35">
      <c r="A1270" t="s">
        <v>1445</v>
      </c>
      <c r="B1270" s="10">
        <v>45884</v>
      </c>
      <c r="C1270" t="s">
        <v>464</v>
      </c>
      <c r="D1270" t="s">
        <v>34</v>
      </c>
      <c r="E1270" t="s">
        <v>122</v>
      </c>
      <c r="F1270" t="s">
        <v>14</v>
      </c>
      <c r="G1270">
        <v>89.7</v>
      </c>
      <c r="H1270" t="s">
        <v>15</v>
      </c>
      <c r="I1270" t="s">
        <v>22</v>
      </c>
      <c r="J1270" t="s">
        <v>239</v>
      </c>
    </row>
    <row r="1271" spans="1:10" x14ac:dyDescent="0.35">
      <c r="A1271" t="s">
        <v>1446</v>
      </c>
      <c r="B1271" s="10">
        <v>45885</v>
      </c>
      <c r="C1271" t="s">
        <v>296</v>
      </c>
      <c r="D1271" t="s">
        <v>101</v>
      </c>
      <c r="E1271" t="s">
        <v>136</v>
      </c>
      <c r="F1271" t="s">
        <v>14</v>
      </c>
      <c r="G1271">
        <v>96.16</v>
      </c>
      <c r="H1271" t="s">
        <v>15</v>
      </c>
      <c r="I1271" t="s">
        <v>47</v>
      </c>
      <c r="J1271" t="s">
        <v>136</v>
      </c>
    </row>
    <row r="1272" spans="1:10" x14ac:dyDescent="0.35">
      <c r="A1272" t="s">
        <v>1447</v>
      </c>
      <c r="B1272" s="10">
        <v>45885</v>
      </c>
      <c r="C1272" t="s">
        <v>267</v>
      </c>
      <c r="D1272" t="s">
        <v>29</v>
      </c>
      <c r="E1272" t="s">
        <v>30</v>
      </c>
      <c r="F1272" t="s">
        <v>14</v>
      </c>
      <c r="G1272">
        <v>15.47</v>
      </c>
      <c r="H1272" t="s">
        <v>15</v>
      </c>
      <c r="I1272" t="s">
        <v>22</v>
      </c>
      <c r="J1272" t="s">
        <v>96</v>
      </c>
    </row>
    <row r="1273" spans="1:10" x14ac:dyDescent="0.35">
      <c r="A1273" t="s">
        <v>1448</v>
      </c>
      <c r="B1273" s="10">
        <v>45885</v>
      </c>
      <c r="C1273" t="s">
        <v>347</v>
      </c>
      <c r="D1273" t="s">
        <v>29</v>
      </c>
      <c r="E1273" t="s">
        <v>151</v>
      </c>
      <c r="F1273" t="s">
        <v>14</v>
      </c>
      <c r="G1273">
        <v>27.92</v>
      </c>
      <c r="H1273" t="s">
        <v>21</v>
      </c>
      <c r="I1273" t="s">
        <v>22</v>
      </c>
      <c r="J1273" t="s">
        <v>96</v>
      </c>
    </row>
    <row r="1274" spans="1:10" x14ac:dyDescent="0.35">
      <c r="A1274" t="s">
        <v>1449</v>
      </c>
      <c r="B1274" s="10">
        <v>45885</v>
      </c>
      <c r="C1274" t="s">
        <v>189</v>
      </c>
      <c r="D1274" t="s">
        <v>34</v>
      </c>
      <c r="E1274" t="s">
        <v>122</v>
      </c>
      <c r="F1274" t="s">
        <v>14</v>
      </c>
      <c r="G1274">
        <v>98.15</v>
      </c>
      <c r="H1274" t="s">
        <v>21</v>
      </c>
      <c r="I1274" t="s">
        <v>47</v>
      </c>
      <c r="J1274" t="s">
        <v>37</v>
      </c>
    </row>
    <row r="1275" spans="1:10" x14ac:dyDescent="0.35">
      <c r="A1275" t="s">
        <v>1450</v>
      </c>
      <c r="B1275" s="10">
        <v>45885</v>
      </c>
      <c r="C1275" t="s">
        <v>73</v>
      </c>
      <c r="D1275" t="s">
        <v>54</v>
      </c>
      <c r="E1275" t="s">
        <v>74</v>
      </c>
      <c r="F1275" t="s">
        <v>54</v>
      </c>
      <c r="G1275">
        <v>2360.08</v>
      </c>
      <c r="H1275" t="s">
        <v>21</v>
      </c>
      <c r="I1275" t="s">
        <v>47</v>
      </c>
      <c r="J1275" t="s">
        <v>65</v>
      </c>
    </row>
    <row r="1276" spans="1:10" x14ac:dyDescent="0.35">
      <c r="A1276" t="s">
        <v>1451</v>
      </c>
      <c r="B1276" s="10">
        <v>45885</v>
      </c>
      <c r="C1276" t="s">
        <v>204</v>
      </c>
      <c r="D1276" t="s">
        <v>12</v>
      </c>
      <c r="E1276" t="s">
        <v>51</v>
      </c>
      <c r="F1276" t="s">
        <v>14</v>
      </c>
      <c r="G1276">
        <v>69.94</v>
      </c>
      <c r="H1276" t="s">
        <v>15</v>
      </c>
      <c r="I1276" t="s">
        <v>47</v>
      </c>
      <c r="J1276" t="s">
        <v>23</v>
      </c>
    </row>
    <row r="1277" spans="1:10" x14ac:dyDescent="0.35">
      <c r="A1277" t="s">
        <v>1452</v>
      </c>
      <c r="B1277" s="10">
        <v>45885</v>
      </c>
      <c r="C1277" t="s">
        <v>184</v>
      </c>
      <c r="D1277" t="s">
        <v>59</v>
      </c>
      <c r="E1277" t="s">
        <v>185</v>
      </c>
      <c r="F1277" t="s">
        <v>14</v>
      </c>
      <c r="G1277">
        <v>321.36</v>
      </c>
      <c r="H1277" t="s">
        <v>15</v>
      </c>
      <c r="I1277" t="s">
        <v>22</v>
      </c>
      <c r="J1277" t="s">
        <v>61</v>
      </c>
    </row>
    <row r="1278" spans="1:10" x14ac:dyDescent="0.35">
      <c r="A1278" t="s">
        <v>1453</v>
      </c>
      <c r="B1278" s="10">
        <v>45886</v>
      </c>
      <c r="C1278" t="s">
        <v>259</v>
      </c>
      <c r="D1278" t="s">
        <v>59</v>
      </c>
      <c r="E1278" t="s">
        <v>199</v>
      </c>
      <c r="F1278" t="s">
        <v>14</v>
      </c>
      <c r="G1278">
        <v>94.06</v>
      </c>
      <c r="H1278" t="s">
        <v>15</v>
      </c>
      <c r="I1278" t="s">
        <v>47</v>
      </c>
      <c r="J1278" t="s">
        <v>170</v>
      </c>
    </row>
    <row r="1279" spans="1:10" x14ac:dyDescent="0.35">
      <c r="A1279" t="s">
        <v>1454</v>
      </c>
      <c r="B1279" s="10">
        <v>45886</v>
      </c>
      <c r="C1279" t="s">
        <v>296</v>
      </c>
      <c r="D1279" t="s">
        <v>101</v>
      </c>
      <c r="E1279" t="s">
        <v>136</v>
      </c>
      <c r="F1279" t="s">
        <v>14</v>
      </c>
      <c r="G1279">
        <v>21.77</v>
      </c>
      <c r="H1279" t="s">
        <v>15</v>
      </c>
      <c r="I1279" t="s">
        <v>22</v>
      </c>
      <c r="J1279" t="s">
        <v>136</v>
      </c>
    </row>
    <row r="1280" spans="1:10" x14ac:dyDescent="0.35">
      <c r="A1280" t="s">
        <v>1455</v>
      </c>
      <c r="B1280" s="10">
        <v>45886</v>
      </c>
      <c r="C1280" t="s">
        <v>217</v>
      </c>
      <c r="D1280" t="s">
        <v>80</v>
      </c>
      <c r="E1280" t="s">
        <v>81</v>
      </c>
      <c r="F1280" t="s">
        <v>14</v>
      </c>
      <c r="G1280">
        <v>17.32</v>
      </c>
      <c r="H1280" t="s">
        <v>15</v>
      </c>
      <c r="I1280" t="s">
        <v>36</v>
      </c>
      <c r="J1280" t="s">
        <v>180</v>
      </c>
    </row>
    <row r="1281" spans="1:10" x14ac:dyDescent="0.35">
      <c r="A1281" t="s">
        <v>1456</v>
      </c>
      <c r="B1281" s="10">
        <v>45886</v>
      </c>
      <c r="C1281" t="s">
        <v>135</v>
      </c>
      <c r="D1281" t="s">
        <v>101</v>
      </c>
      <c r="E1281" t="s">
        <v>102</v>
      </c>
      <c r="F1281" t="s">
        <v>14</v>
      </c>
      <c r="G1281">
        <v>77.06</v>
      </c>
      <c r="H1281" t="s">
        <v>98</v>
      </c>
      <c r="I1281" t="s">
        <v>36</v>
      </c>
      <c r="J1281" t="s">
        <v>136</v>
      </c>
    </row>
    <row r="1282" spans="1:10" x14ac:dyDescent="0.35">
      <c r="A1282" t="s">
        <v>1457</v>
      </c>
      <c r="B1282" s="10">
        <v>45887</v>
      </c>
      <c r="C1282" t="s">
        <v>220</v>
      </c>
      <c r="D1282" t="s">
        <v>59</v>
      </c>
      <c r="E1282" t="s">
        <v>199</v>
      </c>
      <c r="F1282" t="s">
        <v>14</v>
      </c>
      <c r="G1282">
        <v>229.14</v>
      </c>
      <c r="H1282" t="s">
        <v>15</v>
      </c>
      <c r="I1282" t="s">
        <v>84</v>
      </c>
      <c r="J1282" t="s">
        <v>211</v>
      </c>
    </row>
    <row r="1283" spans="1:10" x14ac:dyDescent="0.35">
      <c r="A1283" t="s">
        <v>1458</v>
      </c>
      <c r="B1283" s="10">
        <v>45887</v>
      </c>
      <c r="C1283" t="s">
        <v>198</v>
      </c>
      <c r="D1283" t="s">
        <v>59</v>
      </c>
      <c r="E1283" t="s">
        <v>199</v>
      </c>
      <c r="F1283" t="s">
        <v>14</v>
      </c>
      <c r="G1283">
        <v>681.59</v>
      </c>
      <c r="H1283" t="s">
        <v>15</v>
      </c>
      <c r="I1283" t="s">
        <v>36</v>
      </c>
      <c r="J1283" t="s">
        <v>61</v>
      </c>
    </row>
    <row r="1284" spans="1:10" x14ac:dyDescent="0.35">
      <c r="A1284" t="s">
        <v>1459</v>
      </c>
      <c r="B1284" s="10">
        <v>45887</v>
      </c>
      <c r="C1284" t="s">
        <v>88</v>
      </c>
      <c r="D1284" t="s">
        <v>54</v>
      </c>
      <c r="E1284" t="s">
        <v>74</v>
      </c>
      <c r="F1284" t="s">
        <v>54</v>
      </c>
      <c r="G1284">
        <v>2817.93</v>
      </c>
      <c r="H1284" t="s">
        <v>15</v>
      </c>
      <c r="I1284" t="s">
        <v>36</v>
      </c>
      <c r="J1284" t="s">
        <v>89</v>
      </c>
    </row>
    <row r="1285" spans="1:10" x14ac:dyDescent="0.35">
      <c r="A1285" t="s">
        <v>1460</v>
      </c>
      <c r="B1285" s="10">
        <v>45887</v>
      </c>
      <c r="C1285" t="s">
        <v>243</v>
      </c>
      <c r="D1285" t="s">
        <v>101</v>
      </c>
      <c r="E1285" t="s">
        <v>244</v>
      </c>
      <c r="F1285" t="s">
        <v>14</v>
      </c>
      <c r="G1285">
        <v>189.75</v>
      </c>
      <c r="H1285" t="s">
        <v>98</v>
      </c>
      <c r="I1285" t="s">
        <v>47</v>
      </c>
      <c r="J1285" t="s">
        <v>102</v>
      </c>
    </row>
    <row r="1286" spans="1:10" x14ac:dyDescent="0.35">
      <c r="A1286" t="s">
        <v>1461</v>
      </c>
      <c r="B1286" s="10">
        <v>45887</v>
      </c>
      <c r="C1286" t="s">
        <v>63</v>
      </c>
      <c r="D1286" t="s">
        <v>54</v>
      </c>
      <c r="E1286" t="s">
        <v>64</v>
      </c>
      <c r="F1286" t="s">
        <v>54</v>
      </c>
      <c r="G1286">
        <v>318.32</v>
      </c>
      <c r="H1286" t="s">
        <v>15</v>
      </c>
      <c r="I1286" t="s">
        <v>47</v>
      </c>
      <c r="J1286" t="s">
        <v>65</v>
      </c>
    </row>
    <row r="1287" spans="1:10" x14ac:dyDescent="0.35">
      <c r="A1287" t="s">
        <v>1462</v>
      </c>
      <c r="B1287" s="10">
        <v>45887</v>
      </c>
      <c r="C1287" t="s">
        <v>464</v>
      </c>
      <c r="D1287" t="s">
        <v>34</v>
      </c>
      <c r="E1287" t="s">
        <v>122</v>
      </c>
      <c r="F1287" t="s">
        <v>14</v>
      </c>
      <c r="G1287">
        <v>80.47</v>
      </c>
      <c r="H1287" t="s">
        <v>15</v>
      </c>
      <c r="I1287" t="s">
        <v>22</v>
      </c>
      <c r="J1287" t="s">
        <v>239</v>
      </c>
    </row>
    <row r="1288" spans="1:10" x14ac:dyDescent="0.35">
      <c r="A1288" t="s">
        <v>1463</v>
      </c>
      <c r="B1288" s="10">
        <v>45887</v>
      </c>
      <c r="C1288" t="s">
        <v>198</v>
      </c>
      <c r="D1288" t="s">
        <v>59</v>
      </c>
      <c r="E1288" t="s">
        <v>199</v>
      </c>
      <c r="F1288" t="s">
        <v>14</v>
      </c>
      <c r="G1288">
        <v>950</v>
      </c>
      <c r="H1288" t="s">
        <v>15</v>
      </c>
      <c r="I1288" t="s">
        <v>47</v>
      </c>
      <c r="J1288" t="s">
        <v>61</v>
      </c>
    </row>
    <row r="1289" spans="1:10" x14ac:dyDescent="0.35">
      <c r="A1289" t="s">
        <v>1464</v>
      </c>
      <c r="B1289" s="10">
        <v>45887</v>
      </c>
      <c r="C1289" t="s">
        <v>424</v>
      </c>
      <c r="D1289" t="s">
        <v>101</v>
      </c>
      <c r="E1289" t="s">
        <v>136</v>
      </c>
      <c r="F1289" t="s">
        <v>14</v>
      </c>
      <c r="G1289">
        <v>23.2</v>
      </c>
      <c r="H1289" t="s">
        <v>15</v>
      </c>
      <c r="I1289" t="s">
        <v>47</v>
      </c>
      <c r="J1289" t="s">
        <v>102</v>
      </c>
    </row>
    <row r="1290" spans="1:10" x14ac:dyDescent="0.35">
      <c r="A1290" t="s">
        <v>1465</v>
      </c>
      <c r="B1290" s="10">
        <v>45888</v>
      </c>
      <c r="C1290" t="s">
        <v>100</v>
      </c>
      <c r="D1290" t="s">
        <v>101</v>
      </c>
      <c r="E1290" t="s">
        <v>102</v>
      </c>
      <c r="F1290" t="s">
        <v>14</v>
      </c>
      <c r="G1290">
        <v>24.4</v>
      </c>
      <c r="H1290" t="s">
        <v>21</v>
      </c>
      <c r="I1290" t="s">
        <v>22</v>
      </c>
      <c r="J1290" t="s">
        <v>103</v>
      </c>
    </row>
    <row r="1291" spans="1:10" x14ac:dyDescent="0.35">
      <c r="A1291" t="s">
        <v>1466</v>
      </c>
      <c r="B1291" s="10">
        <v>45888</v>
      </c>
      <c r="C1291" t="s">
        <v>256</v>
      </c>
      <c r="D1291" t="s">
        <v>34</v>
      </c>
      <c r="E1291" t="s">
        <v>40</v>
      </c>
      <c r="F1291" t="s">
        <v>14</v>
      </c>
      <c r="G1291">
        <v>90.59</v>
      </c>
      <c r="H1291" t="s">
        <v>21</v>
      </c>
      <c r="I1291" t="s">
        <v>22</v>
      </c>
      <c r="J1291" t="s">
        <v>239</v>
      </c>
    </row>
    <row r="1292" spans="1:10" x14ac:dyDescent="0.35">
      <c r="A1292" t="s">
        <v>1467</v>
      </c>
      <c r="B1292" s="10">
        <v>45888</v>
      </c>
      <c r="C1292" t="s">
        <v>210</v>
      </c>
      <c r="D1292" t="s">
        <v>59</v>
      </c>
      <c r="E1292" t="s">
        <v>185</v>
      </c>
      <c r="F1292" t="s">
        <v>14</v>
      </c>
      <c r="G1292">
        <v>593.57000000000005</v>
      </c>
      <c r="H1292" t="s">
        <v>15</v>
      </c>
      <c r="I1292" t="s">
        <v>36</v>
      </c>
      <c r="J1292" t="s">
        <v>211</v>
      </c>
    </row>
    <row r="1293" spans="1:10" x14ac:dyDescent="0.35">
      <c r="A1293" t="s">
        <v>1468</v>
      </c>
      <c r="B1293" s="10">
        <v>45888</v>
      </c>
      <c r="C1293" t="s">
        <v>324</v>
      </c>
      <c r="D1293" t="s">
        <v>80</v>
      </c>
      <c r="E1293" t="s">
        <v>92</v>
      </c>
      <c r="F1293" t="s">
        <v>14</v>
      </c>
      <c r="G1293">
        <v>43.39</v>
      </c>
      <c r="H1293" t="s">
        <v>21</v>
      </c>
      <c r="I1293" t="s">
        <v>22</v>
      </c>
      <c r="J1293" t="s">
        <v>161</v>
      </c>
    </row>
    <row r="1294" spans="1:10" x14ac:dyDescent="0.35">
      <c r="A1294" t="s">
        <v>1469</v>
      </c>
      <c r="B1294" s="10">
        <v>45888</v>
      </c>
      <c r="C1294" t="s">
        <v>253</v>
      </c>
      <c r="D1294" t="s">
        <v>29</v>
      </c>
      <c r="E1294" t="s">
        <v>30</v>
      </c>
      <c r="F1294" t="s">
        <v>14</v>
      </c>
      <c r="G1294">
        <v>23.99</v>
      </c>
      <c r="H1294" t="s">
        <v>15</v>
      </c>
      <c r="I1294" t="s">
        <v>22</v>
      </c>
      <c r="J1294" t="s">
        <v>158</v>
      </c>
    </row>
    <row r="1295" spans="1:10" x14ac:dyDescent="0.35">
      <c r="A1295" t="s">
        <v>1470</v>
      </c>
      <c r="B1295" s="10">
        <v>45888</v>
      </c>
      <c r="C1295" t="s">
        <v>272</v>
      </c>
      <c r="D1295" t="s">
        <v>54</v>
      </c>
      <c r="E1295" t="s">
        <v>55</v>
      </c>
      <c r="F1295" t="s">
        <v>54</v>
      </c>
      <c r="G1295">
        <v>645.88</v>
      </c>
      <c r="H1295" t="s">
        <v>15</v>
      </c>
      <c r="I1295" t="s">
        <v>22</v>
      </c>
      <c r="J1295" t="s">
        <v>65</v>
      </c>
    </row>
    <row r="1296" spans="1:10" x14ac:dyDescent="0.35">
      <c r="A1296" t="s">
        <v>1471</v>
      </c>
      <c r="B1296" s="10">
        <v>45888</v>
      </c>
      <c r="C1296" t="s">
        <v>163</v>
      </c>
      <c r="D1296" t="s">
        <v>80</v>
      </c>
      <c r="E1296" t="s">
        <v>92</v>
      </c>
      <c r="F1296" t="s">
        <v>14</v>
      </c>
      <c r="G1296">
        <v>48.6</v>
      </c>
      <c r="H1296" t="s">
        <v>15</v>
      </c>
      <c r="I1296" t="s">
        <v>84</v>
      </c>
      <c r="J1296" t="s">
        <v>118</v>
      </c>
    </row>
    <row r="1297" spans="1:10" x14ac:dyDescent="0.35">
      <c r="A1297" t="s">
        <v>1472</v>
      </c>
      <c r="B1297" s="10">
        <v>45889</v>
      </c>
      <c r="C1297" t="s">
        <v>143</v>
      </c>
      <c r="D1297" t="s">
        <v>54</v>
      </c>
      <c r="E1297" t="s">
        <v>55</v>
      </c>
      <c r="F1297" t="s">
        <v>54</v>
      </c>
      <c r="G1297">
        <v>523.52</v>
      </c>
      <c r="H1297" t="s">
        <v>21</v>
      </c>
      <c r="I1297" t="s">
        <v>36</v>
      </c>
      <c r="J1297" t="s">
        <v>89</v>
      </c>
    </row>
    <row r="1298" spans="1:10" x14ac:dyDescent="0.35">
      <c r="A1298" t="s">
        <v>1473</v>
      </c>
      <c r="B1298" s="10">
        <v>45889</v>
      </c>
      <c r="C1298" t="s">
        <v>345</v>
      </c>
      <c r="D1298" t="s">
        <v>59</v>
      </c>
      <c r="E1298" t="s">
        <v>60</v>
      </c>
      <c r="F1298" t="s">
        <v>14</v>
      </c>
      <c r="G1298">
        <v>115.82</v>
      </c>
      <c r="H1298" t="s">
        <v>21</v>
      </c>
      <c r="I1298" t="s">
        <v>22</v>
      </c>
      <c r="J1298" t="s">
        <v>211</v>
      </c>
    </row>
    <row r="1299" spans="1:10" x14ac:dyDescent="0.35">
      <c r="A1299" t="s">
        <v>1474</v>
      </c>
      <c r="B1299" s="10">
        <v>45889</v>
      </c>
      <c r="C1299" t="s">
        <v>28</v>
      </c>
      <c r="D1299" t="s">
        <v>29</v>
      </c>
      <c r="E1299" t="s">
        <v>30</v>
      </c>
      <c r="F1299" t="s">
        <v>14</v>
      </c>
      <c r="G1299">
        <v>5</v>
      </c>
      <c r="H1299" t="s">
        <v>15</v>
      </c>
      <c r="I1299" t="s">
        <v>36</v>
      </c>
      <c r="J1299" t="s">
        <v>31</v>
      </c>
    </row>
    <row r="1300" spans="1:10" x14ac:dyDescent="0.35">
      <c r="A1300" t="s">
        <v>1475</v>
      </c>
      <c r="B1300" s="10">
        <v>45889</v>
      </c>
      <c r="C1300" t="s">
        <v>376</v>
      </c>
      <c r="D1300" t="s">
        <v>80</v>
      </c>
      <c r="E1300" t="s">
        <v>117</v>
      </c>
      <c r="F1300" t="s">
        <v>14</v>
      </c>
      <c r="G1300">
        <v>31.04</v>
      </c>
      <c r="H1300" t="s">
        <v>98</v>
      </c>
      <c r="I1300" t="s">
        <v>22</v>
      </c>
      <c r="J1300" t="s">
        <v>82</v>
      </c>
    </row>
    <row r="1301" spans="1:10" x14ac:dyDescent="0.35">
      <c r="A1301" t="s">
        <v>1476</v>
      </c>
      <c r="B1301" s="10">
        <v>45889</v>
      </c>
      <c r="C1301" t="s">
        <v>63</v>
      </c>
      <c r="D1301" t="s">
        <v>54</v>
      </c>
      <c r="E1301" t="s">
        <v>64</v>
      </c>
      <c r="F1301" t="s">
        <v>54</v>
      </c>
      <c r="G1301">
        <v>311.06</v>
      </c>
      <c r="H1301" t="s">
        <v>15</v>
      </c>
      <c r="I1301" t="s">
        <v>22</v>
      </c>
      <c r="J1301" t="s">
        <v>65</v>
      </c>
    </row>
    <row r="1302" spans="1:10" x14ac:dyDescent="0.35">
      <c r="A1302" t="s">
        <v>1477</v>
      </c>
      <c r="B1302" s="10">
        <v>45889</v>
      </c>
      <c r="C1302" t="s">
        <v>229</v>
      </c>
      <c r="D1302" t="s">
        <v>54</v>
      </c>
      <c r="E1302" t="s">
        <v>64</v>
      </c>
      <c r="F1302" t="s">
        <v>54</v>
      </c>
      <c r="G1302">
        <v>357.36</v>
      </c>
      <c r="H1302" t="s">
        <v>15</v>
      </c>
      <c r="I1302" t="s">
        <v>16</v>
      </c>
      <c r="J1302" t="s">
        <v>56</v>
      </c>
    </row>
    <row r="1303" spans="1:10" x14ac:dyDescent="0.35">
      <c r="A1303" t="s">
        <v>1478</v>
      </c>
      <c r="B1303" s="10">
        <v>45890</v>
      </c>
      <c r="C1303" t="s">
        <v>91</v>
      </c>
      <c r="D1303" t="s">
        <v>80</v>
      </c>
      <c r="E1303" t="s">
        <v>92</v>
      </c>
      <c r="F1303" t="s">
        <v>14</v>
      </c>
      <c r="G1303">
        <v>71.27</v>
      </c>
      <c r="H1303" t="s">
        <v>15</v>
      </c>
      <c r="I1303" t="s">
        <v>16</v>
      </c>
      <c r="J1303" t="s">
        <v>82</v>
      </c>
    </row>
    <row r="1304" spans="1:10" x14ac:dyDescent="0.35">
      <c r="A1304" t="s">
        <v>1479</v>
      </c>
      <c r="B1304" s="10">
        <v>45890</v>
      </c>
      <c r="C1304" t="s">
        <v>415</v>
      </c>
      <c r="D1304" t="s">
        <v>12</v>
      </c>
      <c r="E1304" t="s">
        <v>51</v>
      </c>
      <c r="F1304" t="s">
        <v>14</v>
      </c>
      <c r="G1304">
        <v>155.83000000000001</v>
      </c>
      <c r="H1304" t="s">
        <v>21</v>
      </c>
      <c r="I1304" t="s">
        <v>22</v>
      </c>
      <c r="J1304" t="s">
        <v>77</v>
      </c>
    </row>
    <row r="1305" spans="1:10" x14ac:dyDescent="0.35">
      <c r="A1305" t="s">
        <v>1480</v>
      </c>
      <c r="B1305" s="10">
        <v>45890</v>
      </c>
      <c r="C1305" t="s">
        <v>411</v>
      </c>
      <c r="D1305" t="s">
        <v>29</v>
      </c>
      <c r="E1305" t="s">
        <v>151</v>
      </c>
      <c r="F1305" t="s">
        <v>14</v>
      </c>
      <c r="G1305">
        <v>22.9</v>
      </c>
      <c r="H1305" t="s">
        <v>15</v>
      </c>
      <c r="I1305" t="s">
        <v>47</v>
      </c>
      <c r="J1305" t="s">
        <v>151</v>
      </c>
    </row>
    <row r="1306" spans="1:10" x14ac:dyDescent="0.35">
      <c r="A1306" t="s">
        <v>1481</v>
      </c>
      <c r="B1306" s="10">
        <v>45890</v>
      </c>
      <c r="C1306" t="s">
        <v>215</v>
      </c>
      <c r="D1306" t="s">
        <v>80</v>
      </c>
      <c r="E1306" t="s">
        <v>117</v>
      </c>
      <c r="F1306" t="s">
        <v>14</v>
      </c>
      <c r="G1306">
        <v>37.33</v>
      </c>
      <c r="H1306" t="s">
        <v>21</v>
      </c>
      <c r="I1306" t="s">
        <v>36</v>
      </c>
      <c r="J1306" t="s">
        <v>141</v>
      </c>
    </row>
    <row r="1307" spans="1:10" x14ac:dyDescent="0.35">
      <c r="A1307" t="s">
        <v>1482</v>
      </c>
      <c r="B1307" s="10">
        <v>45890</v>
      </c>
      <c r="C1307" t="s">
        <v>143</v>
      </c>
      <c r="D1307" t="s">
        <v>54</v>
      </c>
      <c r="E1307" t="s">
        <v>55</v>
      </c>
      <c r="F1307" t="s">
        <v>54</v>
      </c>
      <c r="G1307">
        <v>643.51</v>
      </c>
      <c r="H1307" t="s">
        <v>15</v>
      </c>
      <c r="I1307" t="s">
        <v>16</v>
      </c>
      <c r="J1307" t="s">
        <v>89</v>
      </c>
    </row>
    <row r="1308" spans="1:10" x14ac:dyDescent="0.35">
      <c r="A1308" t="s">
        <v>1483</v>
      </c>
      <c r="B1308" s="10">
        <v>45890</v>
      </c>
      <c r="C1308" t="s">
        <v>253</v>
      </c>
      <c r="D1308" t="s">
        <v>29</v>
      </c>
      <c r="E1308" t="s">
        <v>30</v>
      </c>
      <c r="F1308" t="s">
        <v>14</v>
      </c>
      <c r="G1308">
        <v>29.56</v>
      </c>
      <c r="H1308" t="s">
        <v>98</v>
      </c>
      <c r="I1308" t="s">
        <v>47</v>
      </c>
      <c r="J1308" t="s">
        <v>158</v>
      </c>
    </row>
    <row r="1309" spans="1:10" x14ac:dyDescent="0.35">
      <c r="A1309" t="s">
        <v>1484</v>
      </c>
      <c r="B1309" s="10">
        <v>45891</v>
      </c>
      <c r="C1309" t="s">
        <v>143</v>
      </c>
      <c r="D1309" t="s">
        <v>54</v>
      </c>
      <c r="E1309" t="s">
        <v>55</v>
      </c>
      <c r="F1309" t="s">
        <v>54</v>
      </c>
      <c r="G1309">
        <v>636.99</v>
      </c>
      <c r="H1309" t="s">
        <v>15</v>
      </c>
      <c r="I1309" t="s">
        <v>22</v>
      </c>
      <c r="J1309" t="s">
        <v>89</v>
      </c>
    </row>
    <row r="1310" spans="1:10" x14ac:dyDescent="0.35">
      <c r="A1310" t="s">
        <v>1486</v>
      </c>
      <c r="B1310" s="10">
        <v>45891</v>
      </c>
      <c r="C1310" t="s">
        <v>73</v>
      </c>
      <c r="D1310" t="s">
        <v>54</v>
      </c>
      <c r="E1310" t="s">
        <v>74</v>
      </c>
      <c r="F1310" t="s">
        <v>54</v>
      </c>
      <c r="G1310">
        <v>2221.04</v>
      </c>
      <c r="H1310" t="s">
        <v>98</v>
      </c>
      <c r="I1310" t="s">
        <v>22</v>
      </c>
      <c r="J1310" t="s">
        <v>65</v>
      </c>
    </row>
    <row r="1311" spans="1:10" x14ac:dyDescent="0.35">
      <c r="A1311" t="s">
        <v>1487</v>
      </c>
      <c r="B1311" s="10">
        <v>45891</v>
      </c>
      <c r="C1311" t="s">
        <v>125</v>
      </c>
      <c r="D1311" t="s">
        <v>12</v>
      </c>
      <c r="E1311" t="s">
        <v>13</v>
      </c>
      <c r="F1311" t="s">
        <v>14</v>
      </c>
      <c r="G1311">
        <v>35.33</v>
      </c>
      <c r="H1311" t="s">
        <v>15</v>
      </c>
      <c r="I1311" t="s">
        <v>47</v>
      </c>
      <c r="J1311" t="s">
        <v>44</v>
      </c>
    </row>
    <row r="1312" spans="1:10" x14ac:dyDescent="0.35">
      <c r="A1312" t="s">
        <v>1488</v>
      </c>
      <c r="B1312" s="10">
        <v>45891</v>
      </c>
      <c r="C1312" t="s">
        <v>88</v>
      </c>
      <c r="D1312" t="s">
        <v>54</v>
      </c>
      <c r="E1312" t="s">
        <v>74</v>
      </c>
      <c r="F1312" t="s">
        <v>54</v>
      </c>
      <c r="G1312">
        <v>2804.54</v>
      </c>
      <c r="H1312" t="s">
        <v>21</v>
      </c>
      <c r="I1312" t="s">
        <v>22</v>
      </c>
      <c r="J1312" t="s">
        <v>89</v>
      </c>
    </row>
    <row r="1313" spans="1:10" x14ac:dyDescent="0.35">
      <c r="A1313" t="s">
        <v>1489</v>
      </c>
      <c r="B1313" s="10">
        <v>45891</v>
      </c>
      <c r="C1313" t="s">
        <v>238</v>
      </c>
      <c r="D1313" t="s">
        <v>34</v>
      </c>
      <c r="E1313" t="s">
        <v>35</v>
      </c>
      <c r="F1313" t="s">
        <v>14</v>
      </c>
      <c r="G1313">
        <v>138.15</v>
      </c>
      <c r="H1313" t="s">
        <v>15</v>
      </c>
      <c r="I1313" t="s">
        <v>22</v>
      </c>
      <c r="J1313" t="s">
        <v>239</v>
      </c>
    </row>
    <row r="1314" spans="1:10" x14ac:dyDescent="0.35">
      <c r="A1314" t="s">
        <v>1490</v>
      </c>
      <c r="B1314" s="10">
        <v>45891</v>
      </c>
      <c r="C1314" t="s">
        <v>1491</v>
      </c>
      <c r="D1314" t="s">
        <v>69</v>
      </c>
      <c r="E1314" t="s">
        <v>233</v>
      </c>
      <c r="F1314" t="s">
        <v>14</v>
      </c>
      <c r="G1314">
        <v>337.6</v>
      </c>
      <c r="H1314" t="s">
        <v>15</v>
      </c>
      <c r="I1314" t="s">
        <v>47</v>
      </c>
      <c r="J1314" t="s">
        <v>396</v>
      </c>
    </row>
    <row r="1315" spans="1:10" x14ac:dyDescent="0.35">
      <c r="A1315" t="s">
        <v>1492</v>
      </c>
      <c r="B1315" s="10">
        <v>45891</v>
      </c>
      <c r="C1315" t="s">
        <v>464</v>
      </c>
      <c r="D1315" t="s">
        <v>34</v>
      </c>
      <c r="E1315" t="s">
        <v>122</v>
      </c>
      <c r="F1315" t="s">
        <v>14</v>
      </c>
      <c r="G1315">
        <v>66.540000000000006</v>
      </c>
      <c r="H1315" t="s">
        <v>15</v>
      </c>
      <c r="I1315" t="s">
        <v>22</v>
      </c>
      <c r="J1315" t="s">
        <v>239</v>
      </c>
    </row>
    <row r="1316" spans="1:10" x14ac:dyDescent="0.35">
      <c r="A1316" t="s">
        <v>1493</v>
      </c>
      <c r="B1316" s="10">
        <v>45891</v>
      </c>
      <c r="C1316" t="s">
        <v>113</v>
      </c>
      <c r="D1316" t="s">
        <v>34</v>
      </c>
      <c r="E1316" t="s">
        <v>40</v>
      </c>
      <c r="F1316" t="s">
        <v>14</v>
      </c>
      <c r="G1316">
        <v>135.02000000000001</v>
      </c>
      <c r="H1316" t="s">
        <v>98</v>
      </c>
      <c r="I1316" t="s">
        <v>84</v>
      </c>
      <c r="J1316" t="s">
        <v>37</v>
      </c>
    </row>
    <row r="1317" spans="1:10" x14ac:dyDescent="0.35">
      <c r="A1317" t="s">
        <v>1494</v>
      </c>
      <c r="B1317" s="10">
        <v>45891</v>
      </c>
      <c r="C1317" t="s">
        <v>259</v>
      </c>
      <c r="D1317" t="s">
        <v>59</v>
      </c>
      <c r="E1317" t="s">
        <v>199</v>
      </c>
      <c r="F1317" t="s">
        <v>14</v>
      </c>
      <c r="G1317">
        <v>100.2</v>
      </c>
      <c r="H1317" t="s">
        <v>15</v>
      </c>
      <c r="I1317" t="s">
        <v>36</v>
      </c>
      <c r="J1317" t="s">
        <v>170</v>
      </c>
    </row>
    <row r="1318" spans="1:10" x14ac:dyDescent="0.35">
      <c r="A1318" t="s">
        <v>1495</v>
      </c>
      <c r="B1318" s="10">
        <v>45891</v>
      </c>
      <c r="C1318" t="s">
        <v>140</v>
      </c>
      <c r="D1318" t="s">
        <v>80</v>
      </c>
      <c r="E1318" t="s">
        <v>81</v>
      </c>
      <c r="F1318" t="s">
        <v>14</v>
      </c>
      <c r="G1318">
        <v>180.76</v>
      </c>
      <c r="H1318" t="s">
        <v>15</v>
      </c>
      <c r="I1318" t="s">
        <v>22</v>
      </c>
      <c r="J1318" t="s">
        <v>141</v>
      </c>
    </row>
    <row r="1319" spans="1:10" x14ac:dyDescent="0.35">
      <c r="A1319" t="s">
        <v>1496</v>
      </c>
      <c r="B1319" s="10">
        <v>45892</v>
      </c>
      <c r="C1319" t="s">
        <v>168</v>
      </c>
      <c r="D1319" t="s">
        <v>59</v>
      </c>
      <c r="E1319" t="s">
        <v>60</v>
      </c>
      <c r="F1319" t="s">
        <v>14</v>
      </c>
      <c r="G1319">
        <v>194.23</v>
      </c>
      <c r="H1319" t="s">
        <v>15</v>
      </c>
      <c r="I1319" t="s">
        <v>47</v>
      </c>
      <c r="J1319" t="s">
        <v>170</v>
      </c>
    </row>
    <row r="1320" spans="1:10" x14ac:dyDescent="0.35">
      <c r="A1320" t="s">
        <v>1497</v>
      </c>
      <c r="B1320" s="10">
        <v>45892</v>
      </c>
      <c r="C1320" t="s">
        <v>153</v>
      </c>
      <c r="D1320" t="s">
        <v>34</v>
      </c>
      <c r="E1320" t="s">
        <v>122</v>
      </c>
      <c r="F1320" t="s">
        <v>14</v>
      </c>
      <c r="G1320">
        <v>227.87</v>
      </c>
      <c r="H1320" t="s">
        <v>21</v>
      </c>
      <c r="I1320" t="s">
        <v>22</v>
      </c>
      <c r="J1320" t="s">
        <v>41</v>
      </c>
    </row>
    <row r="1321" spans="1:10" x14ac:dyDescent="0.35">
      <c r="A1321" t="s">
        <v>1498</v>
      </c>
      <c r="B1321" s="10">
        <v>45892</v>
      </c>
      <c r="C1321" t="s">
        <v>88</v>
      </c>
      <c r="D1321" t="s">
        <v>54</v>
      </c>
      <c r="E1321" t="s">
        <v>74</v>
      </c>
      <c r="F1321" t="s">
        <v>54</v>
      </c>
      <c r="G1321">
        <v>2294.94</v>
      </c>
      <c r="H1321" t="s">
        <v>15</v>
      </c>
      <c r="I1321" t="s">
        <v>22</v>
      </c>
      <c r="J1321" t="s">
        <v>89</v>
      </c>
    </row>
    <row r="1322" spans="1:10" x14ac:dyDescent="0.35">
      <c r="A1322" t="s">
        <v>1499</v>
      </c>
      <c r="B1322" s="10">
        <v>45893</v>
      </c>
      <c r="C1322" t="s">
        <v>138</v>
      </c>
      <c r="D1322" t="s">
        <v>12</v>
      </c>
      <c r="E1322" t="s">
        <v>26</v>
      </c>
      <c r="F1322" t="s">
        <v>14</v>
      </c>
      <c r="G1322">
        <v>51.6</v>
      </c>
      <c r="H1322" t="s">
        <v>15</v>
      </c>
      <c r="I1322" t="s">
        <v>22</v>
      </c>
      <c r="J1322" t="s">
        <v>77</v>
      </c>
    </row>
    <row r="1323" spans="1:10" x14ac:dyDescent="0.35">
      <c r="A1323" t="s">
        <v>1500</v>
      </c>
      <c r="B1323" s="10">
        <v>45893</v>
      </c>
      <c r="C1323" t="s">
        <v>33</v>
      </c>
      <c r="D1323" t="s">
        <v>34</v>
      </c>
      <c r="E1323" t="s">
        <v>35</v>
      </c>
      <c r="F1323" t="s">
        <v>14</v>
      </c>
      <c r="G1323">
        <v>142.96</v>
      </c>
      <c r="H1323" t="s">
        <v>15</v>
      </c>
      <c r="I1323" t="s">
        <v>47</v>
      </c>
      <c r="J1323" t="s">
        <v>37</v>
      </c>
    </row>
    <row r="1324" spans="1:10" x14ac:dyDescent="0.35">
      <c r="A1324" t="s">
        <v>1501</v>
      </c>
      <c r="B1324" s="10">
        <v>45894</v>
      </c>
      <c r="C1324" t="s">
        <v>734</v>
      </c>
      <c r="D1324" t="s">
        <v>69</v>
      </c>
      <c r="E1324" t="s">
        <v>291</v>
      </c>
      <c r="F1324" t="s">
        <v>14</v>
      </c>
      <c r="G1324">
        <v>216.23</v>
      </c>
      <c r="H1324" t="s">
        <v>21</v>
      </c>
      <c r="I1324" t="s">
        <v>47</v>
      </c>
      <c r="J1324" t="s">
        <v>71</v>
      </c>
    </row>
    <row r="1325" spans="1:10" x14ac:dyDescent="0.35">
      <c r="A1325" t="s">
        <v>1502</v>
      </c>
      <c r="B1325" s="10">
        <v>45894</v>
      </c>
      <c r="C1325" t="s">
        <v>130</v>
      </c>
      <c r="D1325" t="s">
        <v>12</v>
      </c>
      <c r="E1325" t="s">
        <v>26</v>
      </c>
      <c r="F1325" t="s">
        <v>14</v>
      </c>
      <c r="G1325">
        <v>46.25</v>
      </c>
      <c r="H1325" t="s">
        <v>21</v>
      </c>
      <c r="I1325" t="s">
        <v>84</v>
      </c>
      <c r="J1325" t="s">
        <v>48</v>
      </c>
    </row>
    <row r="1326" spans="1:10" x14ac:dyDescent="0.35">
      <c r="A1326" t="s">
        <v>1503</v>
      </c>
      <c r="B1326" s="10">
        <v>45894</v>
      </c>
      <c r="C1326" t="s">
        <v>734</v>
      </c>
      <c r="D1326" t="s">
        <v>69</v>
      </c>
      <c r="E1326" t="s">
        <v>291</v>
      </c>
      <c r="F1326" t="s">
        <v>14</v>
      </c>
      <c r="G1326">
        <v>235.72</v>
      </c>
      <c r="H1326" t="s">
        <v>15</v>
      </c>
      <c r="I1326" t="s">
        <v>22</v>
      </c>
      <c r="J1326" t="s">
        <v>71</v>
      </c>
    </row>
    <row r="1327" spans="1:10" x14ac:dyDescent="0.35">
      <c r="A1327" t="s">
        <v>1504</v>
      </c>
      <c r="B1327" s="10">
        <v>45895</v>
      </c>
      <c r="C1327" t="s">
        <v>125</v>
      </c>
      <c r="D1327" t="s">
        <v>12</v>
      </c>
      <c r="E1327" t="s">
        <v>13</v>
      </c>
      <c r="F1327" t="s">
        <v>14</v>
      </c>
      <c r="G1327">
        <v>72.02</v>
      </c>
      <c r="H1327" t="s">
        <v>21</v>
      </c>
      <c r="I1327" t="s">
        <v>22</v>
      </c>
      <c r="J1327" t="s">
        <v>44</v>
      </c>
    </row>
    <row r="1328" spans="1:10" x14ac:dyDescent="0.35">
      <c r="A1328" t="s">
        <v>1505</v>
      </c>
      <c r="B1328" s="10">
        <v>45895</v>
      </c>
      <c r="C1328" t="s">
        <v>177</v>
      </c>
      <c r="D1328" t="s">
        <v>54</v>
      </c>
      <c r="E1328" t="s">
        <v>74</v>
      </c>
      <c r="F1328" t="s">
        <v>54</v>
      </c>
      <c r="G1328">
        <v>2761.94</v>
      </c>
      <c r="H1328" t="s">
        <v>15</v>
      </c>
      <c r="I1328" t="s">
        <v>36</v>
      </c>
      <c r="J1328" t="s">
        <v>56</v>
      </c>
    </row>
    <row r="1329" spans="1:10" x14ac:dyDescent="0.35">
      <c r="A1329" t="s">
        <v>1506</v>
      </c>
      <c r="B1329" s="10">
        <v>45895</v>
      </c>
      <c r="C1329" t="s">
        <v>88</v>
      </c>
      <c r="D1329" t="s">
        <v>54</v>
      </c>
      <c r="E1329" t="s">
        <v>74</v>
      </c>
      <c r="F1329" t="s">
        <v>54</v>
      </c>
      <c r="G1329">
        <v>1827.74</v>
      </c>
      <c r="H1329" t="s">
        <v>15</v>
      </c>
      <c r="I1329" t="s">
        <v>36</v>
      </c>
      <c r="J1329" t="s">
        <v>89</v>
      </c>
    </row>
    <row r="1330" spans="1:10" x14ac:dyDescent="0.35">
      <c r="A1330" t="s">
        <v>1507</v>
      </c>
      <c r="B1330" s="10">
        <v>45895</v>
      </c>
      <c r="C1330" t="s">
        <v>73</v>
      </c>
      <c r="D1330" t="s">
        <v>54</v>
      </c>
      <c r="E1330" t="s">
        <v>74</v>
      </c>
      <c r="F1330" t="s">
        <v>54</v>
      </c>
      <c r="G1330">
        <v>2460.9299999999998</v>
      </c>
      <c r="H1330" t="s">
        <v>15</v>
      </c>
      <c r="I1330" t="s">
        <v>22</v>
      </c>
      <c r="J1330" t="s">
        <v>65</v>
      </c>
    </row>
    <row r="1331" spans="1:10" x14ac:dyDescent="0.35">
      <c r="A1331" t="s">
        <v>1508</v>
      </c>
      <c r="B1331" s="10">
        <v>45895</v>
      </c>
      <c r="C1331" t="s">
        <v>220</v>
      </c>
      <c r="D1331" t="s">
        <v>59</v>
      </c>
      <c r="E1331" t="s">
        <v>199</v>
      </c>
      <c r="F1331" t="s">
        <v>14</v>
      </c>
      <c r="G1331">
        <v>152.82</v>
      </c>
      <c r="H1331" t="s">
        <v>15</v>
      </c>
      <c r="I1331" t="s">
        <v>36</v>
      </c>
      <c r="J1331" t="s">
        <v>211</v>
      </c>
    </row>
    <row r="1332" spans="1:10" x14ac:dyDescent="0.35">
      <c r="A1332" t="s">
        <v>1509</v>
      </c>
      <c r="B1332" s="10">
        <v>45895</v>
      </c>
      <c r="C1332" t="s">
        <v>138</v>
      </c>
      <c r="D1332" t="s">
        <v>12</v>
      </c>
      <c r="E1332" t="s">
        <v>26</v>
      </c>
      <c r="F1332" t="s">
        <v>14</v>
      </c>
      <c r="G1332">
        <v>22.07</v>
      </c>
      <c r="H1332" t="s">
        <v>98</v>
      </c>
      <c r="I1332" t="s">
        <v>36</v>
      </c>
      <c r="J1332" t="s">
        <v>77</v>
      </c>
    </row>
    <row r="1333" spans="1:10" x14ac:dyDescent="0.35">
      <c r="A1333" t="s">
        <v>1510</v>
      </c>
      <c r="B1333" s="10">
        <v>45895</v>
      </c>
      <c r="C1333" t="s">
        <v>160</v>
      </c>
      <c r="D1333" t="s">
        <v>80</v>
      </c>
      <c r="E1333" t="s">
        <v>117</v>
      </c>
      <c r="F1333" t="s">
        <v>14</v>
      </c>
      <c r="G1333">
        <v>27.73</v>
      </c>
      <c r="H1333" t="s">
        <v>15</v>
      </c>
      <c r="I1333" t="s">
        <v>22</v>
      </c>
      <c r="J1333" t="s">
        <v>161</v>
      </c>
    </row>
    <row r="1334" spans="1:10" x14ac:dyDescent="0.35">
      <c r="A1334" t="s">
        <v>1511</v>
      </c>
      <c r="B1334" s="10">
        <v>45896</v>
      </c>
      <c r="C1334" t="s">
        <v>88</v>
      </c>
      <c r="D1334" t="s">
        <v>54</v>
      </c>
      <c r="E1334" t="s">
        <v>74</v>
      </c>
      <c r="F1334" t="s">
        <v>54</v>
      </c>
      <c r="G1334">
        <v>2941.93</v>
      </c>
      <c r="H1334" t="s">
        <v>15</v>
      </c>
      <c r="I1334" t="s">
        <v>22</v>
      </c>
      <c r="J1334" t="s">
        <v>89</v>
      </c>
    </row>
    <row r="1335" spans="1:10" x14ac:dyDescent="0.35">
      <c r="A1335" t="s">
        <v>1512</v>
      </c>
      <c r="B1335" s="10">
        <v>45896</v>
      </c>
      <c r="C1335" t="s">
        <v>125</v>
      </c>
      <c r="D1335" t="s">
        <v>12</v>
      </c>
      <c r="E1335" t="s">
        <v>13</v>
      </c>
      <c r="F1335" t="s">
        <v>14</v>
      </c>
      <c r="G1335">
        <v>26.68</v>
      </c>
      <c r="H1335" t="s">
        <v>15</v>
      </c>
      <c r="I1335" t="s">
        <v>36</v>
      </c>
      <c r="J1335" t="s">
        <v>44</v>
      </c>
    </row>
    <row r="1336" spans="1:10" x14ac:dyDescent="0.35">
      <c r="A1336" t="s">
        <v>1513</v>
      </c>
      <c r="B1336" s="10">
        <v>45896</v>
      </c>
      <c r="C1336" t="s">
        <v>94</v>
      </c>
      <c r="D1336" t="s">
        <v>29</v>
      </c>
      <c r="E1336" t="s">
        <v>95</v>
      </c>
      <c r="F1336" t="s">
        <v>14</v>
      </c>
      <c r="G1336">
        <v>36.78</v>
      </c>
      <c r="H1336" t="s">
        <v>21</v>
      </c>
      <c r="I1336" t="s">
        <v>22</v>
      </c>
      <c r="J1336" t="s">
        <v>96</v>
      </c>
    </row>
    <row r="1337" spans="1:10" x14ac:dyDescent="0.35">
      <c r="A1337" t="s">
        <v>1514</v>
      </c>
      <c r="B1337" s="10">
        <v>45896</v>
      </c>
      <c r="C1337" t="s">
        <v>296</v>
      </c>
      <c r="D1337" t="s">
        <v>101</v>
      </c>
      <c r="E1337" t="s">
        <v>136</v>
      </c>
      <c r="F1337" t="s">
        <v>14</v>
      </c>
      <c r="G1337">
        <v>38.43</v>
      </c>
      <c r="H1337" t="s">
        <v>15</v>
      </c>
      <c r="I1337" t="s">
        <v>16</v>
      </c>
      <c r="J1337" t="s">
        <v>136</v>
      </c>
    </row>
    <row r="1338" spans="1:10" x14ac:dyDescent="0.35">
      <c r="A1338" t="s">
        <v>1515</v>
      </c>
      <c r="B1338" s="10">
        <v>45896</v>
      </c>
      <c r="C1338" t="s">
        <v>76</v>
      </c>
      <c r="D1338" t="s">
        <v>12</v>
      </c>
      <c r="E1338" t="s">
        <v>13</v>
      </c>
      <c r="F1338" t="s">
        <v>14</v>
      </c>
      <c r="G1338">
        <v>26.92</v>
      </c>
      <c r="H1338" t="s">
        <v>15</v>
      </c>
      <c r="I1338" t="s">
        <v>47</v>
      </c>
      <c r="J1338" t="s">
        <v>77</v>
      </c>
    </row>
    <row r="1339" spans="1:10" x14ac:dyDescent="0.35">
      <c r="A1339" t="s">
        <v>1516</v>
      </c>
      <c r="B1339" s="10">
        <v>45896</v>
      </c>
      <c r="C1339" t="s">
        <v>296</v>
      </c>
      <c r="D1339" t="s">
        <v>101</v>
      </c>
      <c r="E1339" t="s">
        <v>136</v>
      </c>
      <c r="F1339" t="s">
        <v>14</v>
      </c>
      <c r="G1339">
        <v>41.43</v>
      </c>
      <c r="H1339" t="s">
        <v>21</v>
      </c>
      <c r="I1339" t="s">
        <v>36</v>
      </c>
      <c r="J1339" t="s">
        <v>136</v>
      </c>
    </row>
    <row r="1340" spans="1:10" x14ac:dyDescent="0.35">
      <c r="A1340" t="s">
        <v>1517</v>
      </c>
      <c r="B1340" s="10">
        <v>45896</v>
      </c>
      <c r="C1340" t="s">
        <v>76</v>
      </c>
      <c r="D1340" t="s">
        <v>12</v>
      </c>
      <c r="E1340" t="s">
        <v>13</v>
      </c>
      <c r="F1340" t="s">
        <v>14</v>
      </c>
      <c r="G1340">
        <v>24.52</v>
      </c>
      <c r="H1340" t="s">
        <v>15</v>
      </c>
      <c r="I1340" t="s">
        <v>47</v>
      </c>
      <c r="J1340" t="s">
        <v>77</v>
      </c>
    </row>
    <row r="1341" spans="1:10" x14ac:dyDescent="0.35">
      <c r="A1341" t="s">
        <v>1518</v>
      </c>
      <c r="B1341" s="10">
        <v>45896</v>
      </c>
      <c r="C1341" t="s">
        <v>272</v>
      </c>
      <c r="D1341" t="s">
        <v>54</v>
      </c>
      <c r="E1341" t="s">
        <v>55</v>
      </c>
      <c r="F1341" t="s">
        <v>54</v>
      </c>
      <c r="G1341">
        <v>639.86</v>
      </c>
      <c r="H1341" t="s">
        <v>15</v>
      </c>
      <c r="I1341" t="s">
        <v>36</v>
      </c>
      <c r="J1341" t="s">
        <v>65</v>
      </c>
    </row>
    <row r="1342" spans="1:10" x14ac:dyDescent="0.35">
      <c r="A1342" t="s">
        <v>1519</v>
      </c>
      <c r="B1342" s="10">
        <v>45896</v>
      </c>
      <c r="C1342" t="s">
        <v>28</v>
      </c>
      <c r="D1342" t="s">
        <v>29</v>
      </c>
      <c r="E1342" t="s">
        <v>30</v>
      </c>
      <c r="F1342" t="s">
        <v>14</v>
      </c>
      <c r="G1342">
        <v>35.409999999999997</v>
      </c>
      <c r="H1342" t="s">
        <v>15</v>
      </c>
      <c r="I1342" t="s">
        <v>22</v>
      </c>
      <c r="J1342" t="s">
        <v>31</v>
      </c>
    </row>
    <row r="1343" spans="1:10" x14ac:dyDescent="0.35">
      <c r="A1343" t="s">
        <v>1520</v>
      </c>
      <c r="B1343" s="10">
        <v>45896</v>
      </c>
      <c r="C1343" t="s">
        <v>58</v>
      </c>
      <c r="D1343" t="s">
        <v>59</v>
      </c>
      <c r="E1343" t="s">
        <v>60</v>
      </c>
      <c r="F1343" t="s">
        <v>14</v>
      </c>
      <c r="G1343">
        <v>65.63</v>
      </c>
      <c r="H1343" t="s">
        <v>15</v>
      </c>
      <c r="I1343" t="s">
        <v>22</v>
      </c>
      <c r="J1343" t="s">
        <v>61</v>
      </c>
    </row>
    <row r="1344" spans="1:10" x14ac:dyDescent="0.35">
      <c r="A1344" t="s">
        <v>1521</v>
      </c>
      <c r="B1344" s="10">
        <v>45896</v>
      </c>
      <c r="C1344" t="s">
        <v>88</v>
      </c>
      <c r="D1344" t="s">
        <v>54</v>
      </c>
      <c r="E1344" t="s">
        <v>74</v>
      </c>
      <c r="F1344" t="s">
        <v>54</v>
      </c>
      <c r="G1344">
        <v>2721.59</v>
      </c>
      <c r="H1344" t="s">
        <v>15</v>
      </c>
      <c r="I1344" t="s">
        <v>22</v>
      </c>
      <c r="J1344" t="s">
        <v>89</v>
      </c>
    </row>
    <row r="1345" spans="1:10" x14ac:dyDescent="0.35">
      <c r="A1345" t="s">
        <v>1522</v>
      </c>
      <c r="B1345" s="10">
        <v>45897</v>
      </c>
      <c r="C1345" t="s">
        <v>76</v>
      </c>
      <c r="D1345" t="s">
        <v>12</v>
      </c>
      <c r="E1345" t="s">
        <v>13</v>
      </c>
      <c r="F1345" t="s">
        <v>14</v>
      </c>
      <c r="G1345">
        <v>47.98</v>
      </c>
      <c r="H1345" t="s">
        <v>15</v>
      </c>
      <c r="I1345" t="s">
        <v>36</v>
      </c>
      <c r="J1345" t="s">
        <v>77</v>
      </c>
    </row>
    <row r="1346" spans="1:10" x14ac:dyDescent="0.35">
      <c r="A1346" t="s">
        <v>1523</v>
      </c>
      <c r="B1346" s="10">
        <v>45897</v>
      </c>
      <c r="C1346" t="s">
        <v>160</v>
      </c>
      <c r="D1346" t="s">
        <v>80</v>
      </c>
      <c r="E1346" t="s">
        <v>117</v>
      </c>
      <c r="F1346" t="s">
        <v>14</v>
      </c>
      <c r="G1346">
        <v>67.38</v>
      </c>
      <c r="H1346" t="s">
        <v>15</v>
      </c>
      <c r="I1346" t="s">
        <v>47</v>
      </c>
      <c r="J1346" t="s">
        <v>161</v>
      </c>
    </row>
    <row r="1347" spans="1:10" x14ac:dyDescent="0.35">
      <c r="A1347" t="s">
        <v>1524</v>
      </c>
      <c r="B1347" s="10">
        <v>45897</v>
      </c>
      <c r="C1347" t="s">
        <v>88</v>
      </c>
      <c r="D1347" t="s">
        <v>54</v>
      </c>
      <c r="E1347" t="s">
        <v>74</v>
      </c>
      <c r="F1347" t="s">
        <v>54</v>
      </c>
      <c r="G1347">
        <v>2610.86</v>
      </c>
      <c r="H1347" t="s">
        <v>15</v>
      </c>
      <c r="I1347" t="s">
        <v>16</v>
      </c>
      <c r="J1347" t="s">
        <v>89</v>
      </c>
    </row>
    <row r="1348" spans="1:10" x14ac:dyDescent="0.35">
      <c r="A1348" t="s">
        <v>1525</v>
      </c>
      <c r="B1348" s="10">
        <v>45897</v>
      </c>
      <c r="C1348" t="s">
        <v>163</v>
      </c>
      <c r="D1348" t="s">
        <v>80</v>
      </c>
      <c r="E1348" t="s">
        <v>92</v>
      </c>
      <c r="F1348" t="s">
        <v>14</v>
      </c>
      <c r="G1348">
        <v>32.909999999999997</v>
      </c>
      <c r="H1348" t="s">
        <v>15</v>
      </c>
      <c r="I1348" t="s">
        <v>47</v>
      </c>
      <c r="J1348" t="s">
        <v>118</v>
      </c>
    </row>
    <row r="1349" spans="1:10" x14ac:dyDescent="0.35">
      <c r="A1349" t="s">
        <v>1526</v>
      </c>
      <c r="B1349" s="10">
        <v>45897</v>
      </c>
      <c r="C1349" t="s">
        <v>331</v>
      </c>
      <c r="D1349" t="s">
        <v>29</v>
      </c>
      <c r="E1349" t="s">
        <v>95</v>
      </c>
      <c r="F1349" t="s">
        <v>14</v>
      </c>
      <c r="G1349">
        <v>22.23</v>
      </c>
      <c r="H1349" t="s">
        <v>15</v>
      </c>
      <c r="I1349" t="s">
        <v>22</v>
      </c>
      <c r="J1349" t="s">
        <v>151</v>
      </c>
    </row>
    <row r="1350" spans="1:10" x14ac:dyDescent="0.35">
      <c r="A1350" t="s">
        <v>1527</v>
      </c>
      <c r="B1350" s="10">
        <v>45897</v>
      </c>
      <c r="C1350" t="s">
        <v>143</v>
      </c>
      <c r="D1350" t="s">
        <v>54</v>
      </c>
      <c r="E1350" t="s">
        <v>55</v>
      </c>
      <c r="F1350" t="s">
        <v>54</v>
      </c>
      <c r="G1350">
        <v>791.44</v>
      </c>
      <c r="H1350" t="s">
        <v>15</v>
      </c>
      <c r="I1350" t="s">
        <v>36</v>
      </c>
      <c r="J1350" t="s">
        <v>89</v>
      </c>
    </row>
    <row r="1351" spans="1:10" x14ac:dyDescent="0.35">
      <c r="A1351" t="s">
        <v>1528</v>
      </c>
      <c r="B1351" s="10">
        <v>45898</v>
      </c>
      <c r="C1351" t="s">
        <v>345</v>
      </c>
      <c r="D1351" t="s">
        <v>59</v>
      </c>
      <c r="E1351" t="s">
        <v>60</v>
      </c>
      <c r="F1351" t="s">
        <v>14</v>
      </c>
      <c r="G1351">
        <v>147.03</v>
      </c>
      <c r="H1351" t="s">
        <v>15</v>
      </c>
      <c r="I1351" t="s">
        <v>22</v>
      </c>
      <c r="J1351" t="s">
        <v>211</v>
      </c>
    </row>
    <row r="1352" spans="1:10" x14ac:dyDescent="0.35">
      <c r="A1352" t="s">
        <v>1529</v>
      </c>
      <c r="B1352" s="10">
        <v>45898</v>
      </c>
      <c r="C1352" t="s">
        <v>415</v>
      </c>
      <c r="D1352" t="s">
        <v>12</v>
      </c>
      <c r="E1352" t="s">
        <v>51</v>
      </c>
      <c r="F1352" t="s">
        <v>14</v>
      </c>
      <c r="G1352">
        <v>74.19</v>
      </c>
      <c r="H1352" t="s">
        <v>15</v>
      </c>
      <c r="I1352" t="s">
        <v>22</v>
      </c>
      <c r="J1352" t="s">
        <v>77</v>
      </c>
    </row>
    <row r="1353" spans="1:10" x14ac:dyDescent="0.35">
      <c r="A1353" t="s">
        <v>1530</v>
      </c>
      <c r="B1353" s="10">
        <v>45898</v>
      </c>
      <c r="C1353" t="s">
        <v>79</v>
      </c>
      <c r="D1353" t="s">
        <v>80</v>
      </c>
      <c r="E1353" t="s">
        <v>81</v>
      </c>
      <c r="F1353" t="s">
        <v>14</v>
      </c>
      <c r="G1353">
        <v>98.68</v>
      </c>
      <c r="H1353" t="s">
        <v>15</v>
      </c>
      <c r="I1353" t="s">
        <v>22</v>
      </c>
      <c r="J1353" t="s">
        <v>82</v>
      </c>
    </row>
    <row r="1354" spans="1:10" x14ac:dyDescent="0.35">
      <c r="A1354" t="s">
        <v>1531</v>
      </c>
      <c r="B1354" s="10">
        <v>45898</v>
      </c>
      <c r="C1354" t="s">
        <v>259</v>
      </c>
      <c r="D1354" t="s">
        <v>59</v>
      </c>
      <c r="E1354" t="s">
        <v>199</v>
      </c>
      <c r="F1354" t="s">
        <v>14</v>
      </c>
      <c r="G1354">
        <v>86.22</v>
      </c>
      <c r="H1354" t="s">
        <v>15</v>
      </c>
      <c r="I1354" t="s">
        <v>16</v>
      </c>
      <c r="J1354" t="s">
        <v>170</v>
      </c>
    </row>
    <row r="1355" spans="1:10" x14ac:dyDescent="0.35">
      <c r="A1355" t="s">
        <v>1532</v>
      </c>
      <c r="B1355" s="10">
        <v>45898</v>
      </c>
      <c r="C1355" t="s">
        <v>243</v>
      </c>
      <c r="D1355" t="s">
        <v>101</v>
      </c>
      <c r="E1355" t="s">
        <v>244</v>
      </c>
      <c r="F1355" t="s">
        <v>14</v>
      </c>
      <c r="G1355">
        <v>41.5</v>
      </c>
      <c r="H1355" t="s">
        <v>15</v>
      </c>
      <c r="I1355" t="s">
        <v>36</v>
      </c>
      <c r="J1355" t="s">
        <v>102</v>
      </c>
    </row>
    <row r="1356" spans="1:10" x14ac:dyDescent="0.35">
      <c r="A1356" t="s">
        <v>1533</v>
      </c>
      <c r="B1356" s="10">
        <v>45898</v>
      </c>
      <c r="C1356" t="s">
        <v>243</v>
      </c>
      <c r="D1356" t="s">
        <v>101</v>
      </c>
      <c r="E1356" t="s">
        <v>244</v>
      </c>
      <c r="F1356" t="s">
        <v>14</v>
      </c>
      <c r="G1356">
        <v>189.06</v>
      </c>
      <c r="H1356" t="s">
        <v>15</v>
      </c>
      <c r="I1356" t="s">
        <v>22</v>
      </c>
      <c r="J1356" t="s">
        <v>102</v>
      </c>
    </row>
    <row r="1357" spans="1:10" x14ac:dyDescent="0.35">
      <c r="A1357" t="s">
        <v>1534</v>
      </c>
      <c r="B1357" s="10">
        <v>45899</v>
      </c>
      <c r="C1357" t="s">
        <v>53</v>
      </c>
      <c r="D1357" t="s">
        <v>54</v>
      </c>
      <c r="E1357" t="s">
        <v>55</v>
      </c>
      <c r="F1357" t="s">
        <v>54</v>
      </c>
      <c r="G1357">
        <v>750.62</v>
      </c>
      <c r="H1357" t="s">
        <v>15</v>
      </c>
      <c r="I1357" t="s">
        <v>16</v>
      </c>
      <c r="J1357" t="s">
        <v>56</v>
      </c>
    </row>
    <row r="1358" spans="1:10" x14ac:dyDescent="0.35">
      <c r="A1358" t="s">
        <v>1535</v>
      </c>
      <c r="B1358" s="10">
        <v>45899</v>
      </c>
      <c r="C1358" t="s">
        <v>121</v>
      </c>
      <c r="D1358" t="s">
        <v>34</v>
      </c>
      <c r="E1358" t="s">
        <v>122</v>
      </c>
      <c r="F1358" t="s">
        <v>14</v>
      </c>
      <c r="G1358">
        <v>149.18</v>
      </c>
      <c r="H1358" t="s">
        <v>21</v>
      </c>
      <c r="I1358" t="s">
        <v>22</v>
      </c>
      <c r="J1358" t="s">
        <v>123</v>
      </c>
    </row>
    <row r="1359" spans="1:10" x14ac:dyDescent="0.35">
      <c r="A1359" t="s">
        <v>1536</v>
      </c>
      <c r="B1359" s="10">
        <v>45899</v>
      </c>
      <c r="C1359" t="s">
        <v>411</v>
      </c>
      <c r="D1359" t="s">
        <v>29</v>
      </c>
      <c r="E1359" t="s">
        <v>151</v>
      </c>
      <c r="F1359" t="s">
        <v>14</v>
      </c>
      <c r="G1359">
        <v>15.64</v>
      </c>
      <c r="H1359" t="s">
        <v>21</v>
      </c>
      <c r="I1359" t="s">
        <v>22</v>
      </c>
      <c r="J1359" t="s">
        <v>151</v>
      </c>
    </row>
    <row r="1360" spans="1:10" x14ac:dyDescent="0.35">
      <c r="A1360" t="s">
        <v>1537</v>
      </c>
      <c r="B1360" s="10">
        <v>45899</v>
      </c>
      <c r="C1360" t="s">
        <v>229</v>
      </c>
      <c r="D1360" t="s">
        <v>54</v>
      </c>
      <c r="E1360" t="s">
        <v>64</v>
      </c>
      <c r="F1360" t="s">
        <v>54</v>
      </c>
      <c r="G1360">
        <v>366.37</v>
      </c>
      <c r="H1360" t="s">
        <v>15</v>
      </c>
      <c r="I1360" t="s">
        <v>22</v>
      </c>
      <c r="J1360" t="s">
        <v>56</v>
      </c>
    </row>
    <row r="1361" spans="1:10" x14ac:dyDescent="0.35">
      <c r="A1361" t="s">
        <v>1538</v>
      </c>
      <c r="B1361" s="10">
        <v>45899</v>
      </c>
      <c r="C1361" t="s">
        <v>19</v>
      </c>
      <c r="D1361" t="s">
        <v>12</v>
      </c>
      <c r="E1361" t="s">
        <v>13</v>
      </c>
      <c r="F1361" t="s">
        <v>14</v>
      </c>
      <c r="G1361">
        <v>180</v>
      </c>
      <c r="H1361" t="s">
        <v>21</v>
      </c>
      <c r="I1361" t="s">
        <v>84</v>
      </c>
      <c r="J1361" t="s">
        <v>23</v>
      </c>
    </row>
    <row r="1362" spans="1:10" x14ac:dyDescent="0.35">
      <c r="A1362" t="s">
        <v>1539</v>
      </c>
      <c r="B1362" s="10">
        <v>45900</v>
      </c>
      <c r="C1362" t="s">
        <v>73</v>
      </c>
      <c r="D1362" t="s">
        <v>54</v>
      </c>
      <c r="E1362" t="s">
        <v>74</v>
      </c>
      <c r="F1362" t="s">
        <v>54</v>
      </c>
      <c r="G1362">
        <v>2790.85</v>
      </c>
      <c r="H1362" t="s">
        <v>15</v>
      </c>
      <c r="I1362" t="s">
        <v>36</v>
      </c>
      <c r="J1362" t="s">
        <v>65</v>
      </c>
    </row>
    <row r="1363" spans="1:10" x14ac:dyDescent="0.35">
      <c r="A1363" t="s">
        <v>1540</v>
      </c>
      <c r="B1363" s="10">
        <v>45900</v>
      </c>
      <c r="C1363" t="s">
        <v>168</v>
      </c>
      <c r="D1363" t="s">
        <v>59</v>
      </c>
      <c r="E1363" t="s">
        <v>60</v>
      </c>
      <c r="F1363" t="s">
        <v>14</v>
      </c>
      <c r="G1363">
        <v>449.47</v>
      </c>
      <c r="H1363" t="s">
        <v>15</v>
      </c>
      <c r="I1363" t="s">
        <v>22</v>
      </c>
      <c r="J1363" t="s">
        <v>170</v>
      </c>
    </row>
    <row r="1364" spans="1:10" x14ac:dyDescent="0.35">
      <c r="A1364" t="s">
        <v>1541</v>
      </c>
      <c r="B1364" s="10">
        <v>45900</v>
      </c>
      <c r="C1364" t="s">
        <v>415</v>
      </c>
      <c r="D1364" t="s">
        <v>12</v>
      </c>
      <c r="E1364" t="s">
        <v>51</v>
      </c>
      <c r="F1364" t="s">
        <v>14</v>
      </c>
      <c r="G1364">
        <v>53.04</v>
      </c>
      <c r="H1364" t="s">
        <v>15</v>
      </c>
      <c r="I1364" t="s">
        <v>22</v>
      </c>
      <c r="J1364" t="s">
        <v>77</v>
      </c>
    </row>
    <row r="1365" spans="1:10" x14ac:dyDescent="0.35">
      <c r="A1365" t="s">
        <v>1542</v>
      </c>
      <c r="B1365" s="10">
        <v>45900</v>
      </c>
      <c r="C1365" t="s">
        <v>179</v>
      </c>
      <c r="D1365" t="s">
        <v>80</v>
      </c>
      <c r="E1365" t="s">
        <v>117</v>
      </c>
      <c r="F1365" t="s">
        <v>14</v>
      </c>
      <c r="G1365">
        <v>90.76</v>
      </c>
      <c r="H1365" t="s">
        <v>21</v>
      </c>
      <c r="I1365" t="s">
        <v>36</v>
      </c>
      <c r="J1365" t="s">
        <v>180</v>
      </c>
    </row>
    <row r="1366" spans="1:10" x14ac:dyDescent="0.35">
      <c r="A1366" t="s">
        <v>1543</v>
      </c>
      <c r="B1366" s="10">
        <v>45901</v>
      </c>
      <c r="C1366" t="s">
        <v>220</v>
      </c>
      <c r="D1366" t="s">
        <v>59</v>
      </c>
      <c r="E1366" t="s">
        <v>199</v>
      </c>
      <c r="F1366" t="s">
        <v>14</v>
      </c>
      <c r="G1366">
        <v>312.68</v>
      </c>
      <c r="H1366" t="s">
        <v>21</v>
      </c>
      <c r="I1366" t="s">
        <v>22</v>
      </c>
      <c r="J1366" t="s">
        <v>211</v>
      </c>
    </row>
    <row r="1367" spans="1:10" x14ac:dyDescent="0.35">
      <c r="A1367" t="s">
        <v>1544</v>
      </c>
      <c r="B1367" s="10">
        <v>45901</v>
      </c>
      <c r="C1367" t="s">
        <v>73</v>
      </c>
      <c r="D1367" t="s">
        <v>54</v>
      </c>
      <c r="E1367" t="s">
        <v>74</v>
      </c>
      <c r="F1367" t="s">
        <v>54</v>
      </c>
      <c r="G1367">
        <v>2493.4699999999998</v>
      </c>
      <c r="H1367" t="s">
        <v>21</v>
      </c>
      <c r="I1367" t="s">
        <v>22</v>
      </c>
      <c r="J1367" t="s">
        <v>65</v>
      </c>
    </row>
    <row r="1368" spans="1:10" x14ac:dyDescent="0.35">
      <c r="A1368" t="s">
        <v>1545</v>
      </c>
      <c r="B1368" s="10">
        <v>45901</v>
      </c>
      <c r="C1368" t="s">
        <v>424</v>
      </c>
      <c r="D1368" t="s">
        <v>101</v>
      </c>
      <c r="E1368" t="s">
        <v>136</v>
      </c>
      <c r="F1368" t="s">
        <v>14</v>
      </c>
      <c r="G1368">
        <v>41.36</v>
      </c>
      <c r="H1368" t="s">
        <v>15</v>
      </c>
      <c r="I1368" t="s">
        <v>36</v>
      </c>
      <c r="J1368" t="s">
        <v>102</v>
      </c>
    </row>
    <row r="1369" spans="1:10" x14ac:dyDescent="0.35">
      <c r="A1369" t="s">
        <v>1546</v>
      </c>
      <c r="B1369" s="10">
        <v>45901</v>
      </c>
      <c r="C1369" t="s">
        <v>281</v>
      </c>
      <c r="D1369" t="s">
        <v>34</v>
      </c>
      <c r="E1369" t="s">
        <v>40</v>
      </c>
      <c r="F1369" t="s">
        <v>14</v>
      </c>
      <c r="G1369">
        <v>56.86</v>
      </c>
      <c r="H1369" t="s">
        <v>15</v>
      </c>
      <c r="I1369" t="s">
        <v>22</v>
      </c>
      <c r="J1369" t="s">
        <v>123</v>
      </c>
    </row>
    <row r="1370" spans="1:10" x14ac:dyDescent="0.35">
      <c r="A1370" t="s">
        <v>1547</v>
      </c>
      <c r="B1370" s="10">
        <v>45901</v>
      </c>
      <c r="C1370" t="s">
        <v>109</v>
      </c>
      <c r="D1370" t="s">
        <v>34</v>
      </c>
      <c r="E1370" t="s">
        <v>35</v>
      </c>
      <c r="F1370" t="s">
        <v>14</v>
      </c>
      <c r="G1370">
        <v>245.73</v>
      </c>
      <c r="H1370" t="s">
        <v>21</v>
      </c>
      <c r="I1370" t="s">
        <v>47</v>
      </c>
      <c r="J1370" t="s">
        <v>41</v>
      </c>
    </row>
    <row r="1371" spans="1:10" x14ac:dyDescent="0.35">
      <c r="A1371" t="s">
        <v>1548</v>
      </c>
      <c r="B1371" s="10">
        <v>45902</v>
      </c>
      <c r="C1371" t="s">
        <v>734</v>
      </c>
      <c r="D1371" t="s">
        <v>69</v>
      </c>
      <c r="E1371" t="s">
        <v>291</v>
      </c>
      <c r="F1371" t="s">
        <v>14</v>
      </c>
      <c r="G1371">
        <v>514.03</v>
      </c>
      <c r="H1371" t="s">
        <v>21</v>
      </c>
      <c r="I1371" t="s">
        <v>47</v>
      </c>
      <c r="J1371" t="s">
        <v>71</v>
      </c>
    </row>
    <row r="1372" spans="1:10" x14ac:dyDescent="0.35">
      <c r="A1372" t="s">
        <v>1549</v>
      </c>
      <c r="B1372" s="10">
        <v>45902</v>
      </c>
      <c r="C1372" t="s">
        <v>88</v>
      </c>
      <c r="D1372" t="s">
        <v>54</v>
      </c>
      <c r="E1372" t="s">
        <v>74</v>
      </c>
      <c r="F1372" t="s">
        <v>54</v>
      </c>
      <c r="G1372">
        <v>2768.16</v>
      </c>
      <c r="H1372" t="s">
        <v>15</v>
      </c>
      <c r="I1372" t="s">
        <v>36</v>
      </c>
      <c r="J1372" t="s">
        <v>89</v>
      </c>
    </row>
    <row r="1373" spans="1:10" x14ac:dyDescent="0.35">
      <c r="A1373" t="s">
        <v>1550</v>
      </c>
      <c r="B1373" s="10">
        <v>45902</v>
      </c>
      <c r="C1373" t="s">
        <v>113</v>
      </c>
      <c r="D1373" t="s">
        <v>34</v>
      </c>
      <c r="E1373" t="s">
        <v>40</v>
      </c>
      <c r="F1373" t="s">
        <v>14</v>
      </c>
      <c r="G1373">
        <v>142.66999999999999</v>
      </c>
      <c r="H1373" t="s">
        <v>15</v>
      </c>
      <c r="I1373" t="s">
        <v>84</v>
      </c>
      <c r="J1373" t="s">
        <v>37</v>
      </c>
    </row>
    <row r="1374" spans="1:10" x14ac:dyDescent="0.35">
      <c r="A1374" t="s">
        <v>1551</v>
      </c>
      <c r="B1374" s="10">
        <v>45902</v>
      </c>
      <c r="C1374" t="s">
        <v>238</v>
      </c>
      <c r="D1374" t="s">
        <v>34</v>
      </c>
      <c r="E1374" t="s">
        <v>35</v>
      </c>
      <c r="F1374" t="s">
        <v>14</v>
      </c>
      <c r="G1374">
        <v>146.49</v>
      </c>
      <c r="H1374" t="s">
        <v>15</v>
      </c>
      <c r="I1374" t="s">
        <v>16</v>
      </c>
      <c r="J1374" t="s">
        <v>239</v>
      </c>
    </row>
    <row r="1375" spans="1:10" x14ac:dyDescent="0.35">
      <c r="A1375" t="s">
        <v>1552</v>
      </c>
      <c r="B1375" s="10">
        <v>45902</v>
      </c>
      <c r="C1375" t="s">
        <v>109</v>
      </c>
      <c r="D1375" t="s">
        <v>34</v>
      </c>
      <c r="E1375" t="s">
        <v>35</v>
      </c>
      <c r="F1375" t="s">
        <v>14</v>
      </c>
      <c r="G1375">
        <v>82.49</v>
      </c>
      <c r="H1375" t="s">
        <v>15</v>
      </c>
      <c r="I1375" t="s">
        <v>22</v>
      </c>
      <c r="J1375" t="s">
        <v>41</v>
      </c>
    </row>
    <row r="1376" spans="1:10" x14ac:dyDescent="0.35">
      <c r="A1376" t="s">
        <v>1553</v>
      </c>
      <c r="B1376" s="10">
        <v>45902</v>
      </c>
      <c r="C1376" t="s">
        <v>251</v>
      </c>
      <c r="D1376" t="s">
        <v>29</v>
      </c>
      <c r="E1376" t="s">
        <v>151</v>
      </c>
      <c r="F1376" t="s">
        <v>14</v>
      </c>
      <c r="G1376">
        <v>84.56</v>
      </c>
      <c r="H1376" t="s">
        <v>15</v>
      </c>
      <c r="I1376" t="s">
        <v>36</v>
      </c>
      <c r="J1376" t="s">
        <v>31</v>
      </c>
    </row>
    <row r="1377" spans="1:10" x14ac:dyDescent="0.35">
      <c r="A1377" t="s">
        <v>1554</v>
      </c>
      <c r="B1377" s="10">
        <v>45902</v>
      </c>
      <c r="C1377" t="s">
        <v>28</v>
      </c>
      <c r="D1377" t="s">
        <v>29</v>
      </c>
      <c r="E1377" t="s">
        <v>30</v>
      </c>
      <c r="F1377" t="s">
        <v>14</v>
      </c>
      <c r="G1377">
        <v>9.24</v>
      </c>
      <c r="H1377" t="s">
        <v>21</v>
      </c>
      <c r="I1377" t="s">
        <v>36</v>
      </c>
      <c r="J1377" t="s">
        <v>31</v>
      </c>
    </row>
    <row r="1378" spans="1:10" x14ac:dyDescent="0.35">
      <c r="A1378" t="s">
        <v>1555</v>
      </c>
      <c r="B1378" s="10">
        <v>45902</v>
      </c>
      <c r="C1378" t="s">
        <v>73</v>
      </c>
      <c r="D1378" t="s">
        <v>54</v>
      </c>
      <c r="E1378" t="s">
        <v>74</v>
      </c>
      <c r="F1378" t="s">
        <v>54</v>
      </c>
      <c r="G1378">
        <v>2509.17</v>
      </c>
      <c r="H1378" t="s">
        <v>15</v>
      </c>
      <c r="I1378" t="s">
        <v>16</v>
      </c>
      <c r="J1378" t="s">
        <v>65</v>
      </c>
    </row>
    <row r="1379" spans="1:10" x14ac:dyDescent="0.35">
      <c r="A1379" t="s">
        <v>1556</v>
      </c>
      <c r="B1379" s="10">
        <v>45902</v>
      </c>
      <c r="C1379" t="s">
        <v>39</v>
      </c>
      <c r="D1379" t="s">
        <v>34</v>
      </c>
      <c r="E1379" t="s">
        <v>40</v>
      </c>
      <c r="F1379" t="s">
        <v>14</v>
      </c>
      <c r="G1379">
        <v>113.16</v>
      </c>
      <c r="H1379" t="s">
        <v>15</v>
      </c>
      <c r="I1379" t="s">
        <v>22</v>
      </c>
      <c r="J1379" t="s">
        <v>41</v>
      </c>
    </row>
    <row r="1380" spans="1:10" x14ac:dyDescent="0.35">
      <c r="A1380" t="s">
        <v>1557</v>
      </c>
      <c r="B1380" s="10">
        <v>45902</v>
      </c>
      <c r="C1380" t="s">
        <v>73</v>
      </c>
      <c r="D1380" t="s">
        <v>54</v>
      </c>
      <c r="E1380" t="s">
        <v>74</v>
      </c>
      <c r="F1380" t="s">
        <v>54</v>
      </c>
      <c r="G1380">
        <v>2327.25</v>
      </c>
      <c r="H1380" t="s">
        <v>98</v>
      </c>
      <c r="I1380" t="s">
        <v>22</v>
      </c>
      <c r="J1380" t="s">
        <v>65</v>
      </c>
    </row>
    <row r="1381" spans="1:10" x14ac:dyDescent="0.35">
      <c r="A1381" t="s">
        <v>1558</v>
      </c>
      <c r="B1381" s="10">
        <v>45903</v>
      </c>
      <c r="C1381" t="s">
        <v>143</v>
      </c>
      <c r="D1381" t="s">
        <v>54</v>
      </c>
      <c r="E1381" t="s">
        <v>55</v>
      </c>
      <c r="F1381" t="s">
        <v>54</v>
      </c>
      <c r="G1381">
        <v>735.62</v>
      </c>
      <c r="H1381" t="s">
        <v>98</v>
      </c>
      <c r="I1381" t="s">
        <v>36</v>
      </c>
      <c r="J1381" t="s">
        <v>89</v>
      </c>
    </row>
    <row r="1382" spans="1:10" x14ac:dyDescent="0.35">
      <c r="A1382" t="s">
        <v>1559</v>
      </c>
      <c r="B1382" s="10">
        <v>45903</v>
      </c>
      <c r="C1382" t="s">
        <v>63</v>
      </c>
      <c r="D1382" t="s">
        <v>54</v>
      </c>
      <c r="E1382" t="s">
        <v>64</v>
      </c>
      <c r="F1382" t="s">
        <v>54</v>
      </c>
      <c r="G1382">
        <v>381.99</v>
      </c>
      <c r="H1382" t="s">
        <v>15</v>
      </c>
      <c r="I1382" t="s">
        <v>36</v>
      </c>
      <c r="J1382" t="s">
        <v>65</v>
      </c>
    </row>
    <row r="1383" spans="1:10" x14ac:dyDescent="0.35">
      <c r="A1383" t="s">
        <v>1560</v>
      </c>
      <c r="B1383" s="10">
        <v>45903</v>
      </c>
      <c r="C1383" t="s">
        <v>33</v>
      </c>
      <c r="D1383" t="s">
        <v>34</v>
      </c>
      <c r="E1383" t="s">
        <v>35</v>
      </c>
      <c r="F1383" t="s">
        <v>14</v>
      </c>
      <c r="G1383">
        <v>107.56</v>
      </c>
      <c r="H1383" t="s">
        <v>15</v>
      </c>
      <c r="I1383" t="s">
        <v>22</v>
      </c>
      <c r="J1383" t="s">
        <v>37</v>
      </c>
    </row>
    <row r="1384" spans="1:10" x14ac:dyDescent="0.35">
      <c r="A1384" t="s">
        <v>1561</v>
      </c>
      <c r="B1384" s="10">
        <v>45903</v>
      </c>
      <c r="C1384" t="s">
        <v>269</v>
      </c>
      <c r="D1384" t="s">
        <v>34</v>
      </c>
      <c r="E1384" t="s">
        <v>35</v>
      </c>
      <c r="F1384" t="s">
        <v>14</v>
      </c>
      <c r="G1384">
        <v>55.18</v>
      </c>
      <c r="H1384" t="s">
        <v>15</v>
      </c>
      <c r="I1384" t="s">
        <v>47</v>
      </c>
      <c r="J1384" t="s">
        <v>123</v>
      </c>
    </row>
    <row r="1385" spans="1:10" x14ac:dyDescent="0.35">
      <c r="A1385" t="s">
        <v>1562</v>
      </c>
      <c r="B1385" s="10">
        <v>45903</v>
      </c>
      <c r="C1385" t="s">
        <v>138</v>
      </c>
      <c r="D1385" t="s">
        <v>12</v>
      </c>
      <c r="E1385" t="s">
        <v>26</v>
      </c>
      <c r="F1385" t="s">
        <v>14</v>
      </c>
      <c r="G1385">
        <v>35.549999999999997</v>
      </c>
      <c r="H1385" t="s">
        <v>15</v>
      </c>
      <c r="I1385" t="s">
        <v>22</v>
      </c>
      <c r="J1385" t="s">
        <v>77</v>
      </c>
    </row>
    <row r="1386" spans="1:10" x14ac:dyDescent="0.35">
      <c r="A1386" t="s">
        <v>1563</v>
      </c>
      <c r="B1386" s="10">
        <v>45903</v>
      </c>
      <c r="C1386" t="s">
        <v>46</v>
      </c>
      <c r="D1386" t="s">
        <v>12</v>
      </c>
      <c r="E1386" t="s">
        <v>13</v>
      </c>
      <c r="F1386" t="s">
        <v>14</v>
      </c>
      <c r="G1386">
        <v>66.03</v>
      </c>
      <c r="H1386" t="s">
        <v>15</v>
      </c>
      <c r="I1386" t="s">
        <v>22</v>
      </c>
      <c r="J1386" t="s">
        <v>48</v>
      </c>
    </row>
    <row r="1387" spans="1:10" x14ac:dyDescent="0.35">
      <c r="A1387" t="s">
        <v>1564</v>
      </c>
      <c r="B1387" s="10">
        <v>45904</v>
      </c>
      <c r="C1387" t="s">
        <v>157</v>
      </c>
      <c r="D1387" t="s">
        <v>29</v>
      </c>
      <c r="E1387" t="s">
        <v>95</v>
      </c>
      <c r="F1387" t="s">
        <v>14</v>
      </c>
      <c r="G1387">
        <v>61.4</v>
      </c>
      <c r="H1387" t="s">
        <v>15</v>
      </c>
      <c r="I1387" t="s">
        <v>36</v>
      </c>
      <c r="J1387" t="s">
        <v>158</v>
      </c>
    </row>
    <row r="1388" spans="1:10" x14ac:dyDescent="0.35">
      <c r="A1388" t="s">
        <v>1565</v>
      </c>
      <c r="B1388" s="10">
        <v>45904</v>
      </c>
      <c r="C1388" t="s">
        <v>125</v>
      </c>
      <c r="D1388" t="s">
        <v>12</v>
      </c>
      <c r="E1388" t="s">
        <v>13</v>
      </c>
      <c r="F1388" t="s">
        <v>14</v>
      </c>
      <c r="G1388">
        <v>78.25</v>
      </c>
      <c r="H1388" t="s">
        <v>15</v>
      </c>
      <c r="I1388" t="s">
        <v>36</v>
      </c>
      <c r="J1388" t="s">
        <v>44</v>
      </c>
    </row>
    <row r="1389" spans="1:10" x14ac:dyDescent="0.35">
      <c r="A1389" t="s">
        <v>1566</v>
      </c>
      <c r="B1389" s="10">
        <v>45904</v>
      </c>
      <c r="C1389" t="s">
        <v>227</v>
      </c>
      <c r="D1389" t="s">
        <v>12</v>
      </c>
      <c r="E1389" t="s">
        <v>51</v>
      </c>
      <c r="F1389" t="s">
        <v>14</v>
      </c>
      <c r="G1389">
        <v>47.38</v>
      </c>
      <c r="H1389" t="s">
        <v>98</v>
      </c>
      <c r="I1389" t="s">
        <v>22</v>
      </c>
      <c r="J1389" t="s">
        <v>17</v>
      </c>
    </row>
    <row r="1390" spans="1:10" x14ac:dyDescent="0.35">
      <c r="A1390" t="s">
        <v>1567</v>
      </c>
      <c r="B1390" s="10">
        <v>45904</v>
      </c>
      <c r="C1390" t="s">
        <v>331</v>
      </c>
      <c r="D1390" t="s">
        <v>29</v>
      </c>
      <c r="E1390" t="s">
        <v>95</v>
      </c>
      <c r="F1390" t="s">
        <v>14</v>
      </c>
      <c r="G1390">
        <v>38.729999999999997</v>
      </c>
      <c r="H1390" t="s">
        <v>15</v>
      </c>
      <c r="I1390" t="s">
        <v>22</v>
      </c>
      <c r="J1390" t="s">
        <v>151</v>
      </c>
    </row>
    <row r="1391" spans="1:10" x14ac:dyDescent="0.35">
      <c r="A1391" t="s">
        <v>1568</v>
      </c>
      <c r="B1391" s="10">
        <v>45905</v>
      </c>
      <c r="C1391" t="s">
        <v>217</v>
      </c>
      <c r="D1391" t="s">
        <v>80</v>
      </c>
      <c r="E1391" t="s">
        <v>81</v>
      </c>
      <c r="F1391" t="s">
        <v>14</v>
      </c>
      <c r="G1391">
        <v>72.739999999999995</v>
      </c>
      <c r="H1391" t="s">
        <v>21</v>
      </c>
      <c r="I1391" t="s">
        <v>47</v>
      </c>
      <c r="J1391" t="s">
        <v>180</v>
      </c>
    </row>
    <row r="1392" spans="1:10" x14ac:dyDescent="0.35">
      <c r="A1392" t="s">
        <v>1569</v>
      </c>
      <c r="B1392" s="10">
        <v>45905</v>
      </c>
      <c r="C1392" t="s">
        <v>63</v>
      </c>
      <c r="D1392" t="s">
        <v>54</v>
      </c>
      <c r="E1392" t="s">
        <v>64</v>
      </c>
      <c r="F1392" t="s">
        <v>54</v>
      </c>
      <c r="G1392">
        <v>351.21</v>
      </c>
      <c r="H1392" t="s">
        <v>98</v>
      </c>
      <c r="I1392" t="s">
        <v>16</v>
      </c>
      <c r="J1392" t="s">
        <v>65</v>
      </c>
    </row>
    <row r="1393" spans="1:10" x14ac:dyDescent="0.35">
      <c r="A1393" t="s">
        <v>1570</v>
      </c>
      <c r="B1393" s="10">
        <v>45905</v>
      </c>
      <c r="C1393" t="s">
        <v>39</v>
      </c>
      <c r="D1393" t="s">
        <v>34</v>
      </c>
      <c r="E1393" t="s">
        <v>40</v>
      </c>
      <c r="F1393" t="s">
        <v>14</v>
      </c>
      <c r="G1393">
        <v>78.02</v>
      </c>
      <c r="H1393" t="s">
        <v>15</v>
      </c>
      <c r="I1393" t="s">
        <v>36</v>
      </c>
      <c r="J1393" t="s">
        <v>41</v>
      </c>
    </row>
    <row r="1394" spans="1:10" x14ac:dyDescent="0.35">
      <c r="A1394" t="s">
        <v>1571</v>
      </c>
      <c r="B1394" s="10">
        <v>45906</v>
      </c>
      <c r="C1394" t="s">
        <v>189</v>
      </c>
      <c r="D1394" t="s">
        <v>34</v>
      </c>
      <c r="E1394" t="s">
        <v>122</v>
      </c>
      <c r="F1394" t="s">
        <v>14</v>
      </c>
      <c r="G1394">
        <v>87.2</v>
      </c>
      <c r="H1394" t="s">
        <v>15</v>
      </c>
      <c r="I1394" t="s">
        <v>84</v>
      </c>
      <c r="J1394" t="s">
        <v>37</v>
      </c>
    </row>
    <row r="1395" spans="1:10" x14ac:dyDescent="0.35">
      <c r="A1395" t="s">
        <v>1572</v>
      </c>
      <c r="B1395" s="10">
        <v>45906</v>
      </c>
      <c r="C1395" t="s">
        <v>238</v>
      </c>
      <c r="D1395" t="s">
        <v>34</v>
      </c>
      <c r="E1395" t="s">
        <v>35</v>
      </c>
      <c r="F1395" t="s">
        <v>14</v>
      </c>
      <c r="G1395">
        <v>142.97999999999999</v>
      </c>
      <c r="H1395" t="s">
        <v>15</v>
      </c>
      <c r="I1395" t="s">
        <v>22</v>
      </c>
      <c r="J1395" t="s">
        <v>239</v>
      </c>
    </row>
    <row r="1396" spans="1:10" x14ac:dyDescent="0.35">
      <c r="A1396" t="s">
        <v>1573</v>
      </c>
      <c r="B1396" s="10">
        <v>45906</v>
      </c>
      <c r="C1396" t="s">
        <v>272</v>
      </c>
      <c r="D1396" t="s">
        <v>54</v>
      </c>
      <c r="E1396" t="s">
        <v>55</v>
      </c>
      <c r="F1396" t="s">
        <v>54</v>
      </c>
      <c r="G1396">
        <v>724.07</v>
      </c>
      <c r="H1396" t="s">
        <v>15</v>
      </c>
      <c r="I1396" t="s">
        <v>47</v>
      </c>
      <c r="J1396" t="s">
        <v>65</v>
      </c>
    </row>
    <row r="1397" spans="1:10" x14ac:dyDescent="0.35">
      <c r="A1397" t="s">
        <v>1574</v>
      </c>
      <c r="B1397" s="10">
        <v>45906</v>
      </c>
      <c r="C1397" t="s">
        <v>220</v>
      </c>
      <c r="D1397" t="s">
        <v>59</v>
      </c>
      <c r="E1397" t="s">
        <v>199</v>
      </c>
      <c r="F1397" t="s">
        <v>14</v>
      </c>
      <c r="G1397">
        <v>113.66</v>
      </c>
      <c r="H1397" t="s">
        <v>21</v>
      </c>
      <c r="I1397" t="s">
        <v>16</v>
      </c>
      <c r="J1397" t="s">
        <v>211</v>
      </c>
    </row>
    <row r="1398" spans="1:10" x14ac:dyDescent="0.35">
      <c r="A1398" t="s">
        <v>1575</v>
      </c>
      <c r="B1398" s="10">
        <v>45906</v>
      </c>
      <c r="C1398" t="s">
        <v>168</v>
      </c>
      <c r="D1398" t="s">
        <v>59</v>
      </c>
      <c r="E1398" t="s">
        <v>60</v>
      </c>
      <c r="F1398" t="s">
        <v>14</v>
      </c>
      <c r="G1398">
        <v>300.82</v>
      </c>
      <c r="H1398" t="s">
        <v>21</v>
      </c>
      <c r="I1398" t="s">
        <v>22</v>
      </c>
      <c r="J1398" t="s">
        <v>170</v>
      </c>
    </row>
    <row r="1399" spans="1:10" x14ac:dyDescent="0.35">
      <c r="A1399" t="s">
        <v>1576</v>
      </c>
      <c r="B1399" s="10">
        <v>45907</v>
      </c>
      <c r="C1399" t="s">
        <v>130</v>
      </c>
      <c r="D1399" t="s">
        <v>12</v>
      </c>
      <c r="E1399" t="s">
        <v>26</v>
      </c>
      <c r="F1399" t="s">
        <v>14</v>
      </c>
      <c r="G1399">
        <v>77.08</v>
      </c>
      <c r="H1399" t="s">
        <v>21</v>
      </c>
      <c r="I1399" t="s">
        <v>22</v>
      </c>
      <c r="J1399" t="s">
        <v>48</v>
      </c>
    </row>
    <row r="1400" spans="1:10" x14ac:dyDescent="0.35">
      <c r="A1400" t="s">
        <v>1577</v>
      </c>
      <c r="B1400" s="10">
        <v>45907</v>
      </c>
      <c r="C1400" t="s">
        <v>824</v>
      </c>
      <c r="D1400" t="s">
        <v>69</v>
      </c>
      <c r="E1400" t="s">
        <v>233</v>
      </c>
      <c r="F1400" t="s">
        <v>14</v>
      </c>
      <c r="G1400">
        <v>242.41</v>
      </c>
      <c r="H1400" t="s">
        <v>15</v>
      </c>
      <c r="I1400" t="s">
        <v>22</v>
      </c>
      <c r="J1400" t="s">
        <v>133</v>
      </c>
    </row>
    <row r="1401" spans="1:10" x14ac:dyDescent="0.35">
      <c r="A1401" t="s">
        <v>1578</v>
      </c>
      <c r="B1401" s="10">
        <v>45907</v>
      </c>
      <c r="C1401" t="s">
        <v>198</v>
      </c>
      <c r="D1401" t="s">
        <v>59</v>
      </c>
      <c r="E1401" t="s">
        <v>199</v>
      </c>
      <c r="F1401" t="s">
        <v>14</v>
      </c>
      <c r="G1401">
        <v>380.2</v>
      </c>
      <c r="H1401" t="s">
        <v>15</v>
      </c>
      <c r="I1401" t="s">
        <v>36</v>
      </c>
      <c r="J1401" t="s">
        <v>61</v>
      </c>
    </row>
    <row r="1402" spans="1:10" x14ac:dyDescent="0.35">
      <c r="A1402" t="s">
        <v>1579</v>
      </c>
      <c r="B1402" s="10">
        <v>45907</v>
      </c>
      <c r="C1402" t="s">
        <v>445</v>
      </c>
      <c r="D1402" t="s">
        <v>101</v>
      </c>
      <c r="E1402" t="s">
        <v>244</v>
      </c>
      <c r="F1402" t="s">
        <v>14</v>
      </c>
      <c r="G1402">
        <v>39.83</v>
      </c>
      <c r="H1402" t="s">
        <v>15</v>
      </c>
      <c r="I1402" t="s">
        <v>22</v>
      </c>
      <c r="J1402" t="s">
        <v>103</v>
      </c>
    </row>
    <row r="1403" spans="1:10" x14ac:dyDescent="0.35">
      <c r="A1403" t="s">
        <v>1580</v>
      </c>
      <c r="B1403" s="10">
        <v>45907</v>
      </c>
      <c r="C1403" t="s">
        <v>155</v>
      </c>
      <c r="D1403" t="s">
        <v>12</v>
      </c>
      <c r="E1403" t="s">
        <v>51</v>
      </c>
      <c r="F1403" t="s">
        <v>14</v>
      </c>
      <c r="G1403">
        <v>72.62</v>
      </c>
      <c r="H1403" t="s">
        <v>15</v>
      </c>
      <c r="I1403" t="s">
        <v>22</v>
      </c>
      <c r="J1403" t="s">
        <v>48</v>
      </c>
    </row>
    <row r="1404" spans="1:10" x14ac:dyDescent="0.35">
      <c r="A1404" t="s">
        <v>1581</v>
      </c>
      <c r="B1404" s="10">
        <v>45908</v>
      </c>
      <c r="C1404" t="s">
        <v>204</v>
      </c>
      <c r="D1404" t="s">
        <v>12</v>
      </c>
      <c r="E1404" t="s">
        <v>51</v>
      </c>
      <c r="F1404" t="s">
        <v>14</v>
      </c>
      <c r="G1404">
        <v>64.73</v>
      </c>
      <c r="H1404" t="s">
        <v>15</v>
      </c>
      <c r="I1404" t="s">
        <v>22</v>
      </c>
      <c r="J1404" t="s">
        <v>23</v>
      </c>
    </row>
    <row r="1405" spans="1:10" x14ac:dyDescent="0.35">
      <c r="A1405" t="s">
        <v>1582</v>
      </c>
      <c r="B1405" s="10">
        <v>45908</v>
      </c>
      <c r="C1405" t="s">
        <v>109</v>
      </c>
      <c r="D1405" t="s">
        <v>34</v>
      </c>
      <c r="E1405" t="s">
        <v>35</v>
      </c>
      <c r="F1405" t="s">
        <v>14</v>
      </c>
      <c r="G1405">
        <v>354.33</v>
      </c>
      <c r="H1405" t="s">
        <v>15</v>
      </c>
      <c r="I1405" t="s">
        <v>22</v>
      </c>
      <c r="J1405" t="s">
        <v>41</v>
      </c>
    </row>
    <row r="1406" spans="1:10" x14ac:dyDescent="0.35">
      <c r="A1406" t="s">
        <v>1583</v>
      </c>
      <c r="B1406" s="10">
        <v>45908</v>
      </c>
      <c r="C1406" t="s">
        <v>113</v>
      </c>
      <c r="D1406" t="s">
        <v>34</v>
      </c>
      <c r="E1406" t="s">
        <v>40</v>
      </c>
      <c r="F1406" t="s">
        <v>14</v>
      </c>
      <c r="G1406">
        <v>77.17</v>
      </c>
      <c r="H1406" t="s">
        <v>15</v>
      </c>
      <c r="I1406" t="s">
        <v>36</v>
      </c>
      <c r="J1406" t="s">
        <v>37</v>
      </c>
    </row>
    <row r="1407" spans="1:10" x14ac:dyDescent="0.35">
      <c r="A1407" t="s">
        <v>1584</v>
      </c>
      <c r="B1407" s="10">
        <v>45908</v>
      </c>
      <c r="C1407" t="s">
        <v>25</v>
      </c>
      <c r="D1407" t="s">
        <v>12</v>
      </c>
      <c r="E1407" t="s">
        <v>26</v>
      </c>
      <c r="F1407" t="s">
        <v>14</v>
      </c>
      <c r="G1407">
        <v>34.700000000000003</v>
      </c>
      <c r="H1407" t="s">
        <v>15</v>
      </c>
      <c r="I1407" t="s">
        <v>36</v>
      </c>
      <c r="J1407" t="s">
        <v>17</v>
      </c>
    </row>
    <row r="1408" spans="1:10" x14ac:dyDescent="0.35">
      <c r="A1408" t="s">
        <v>1585</v>
      </c>
      <c r="B1408" s="10">
        <v>45908</v>
      </c>
      <c r="C1408" t="s">
        <v>168</v>
      </c>
      <c r="D1408" t="s">
        <v>59</v>
      </c>
      <c r="E1408" t="s">
        <v>60</v>
      </c>
      <c r="F1408" t="s">
        <v>14</v>
      </c>
      <c r="G1408">
        <v>253.48</v>
      </c>
      <c r="H1408" t="s">
        <v>21</v>
      </c>
      <c r="I1408" t="s">
        <v>36</v>
      </c>
      <c r="J1408" t="s">
        <v>170</v>
      </c>
    </row>
    <row r="1409" spans="1:10" x14ac:dyDescent="0.35">
      <c r="A1409" t="s">
        <v>1586</v>
      </c>
      <c r="B1409" s="10">
        <v>45908</v>
      </c>
      <c r="C1409" t="s">
        <v>411</v>
      </c>
      <c r="D1409" t="s">
        <v>29</v>
      </c>
      <c r="E1409" t="s">
        <v>151</v>
      </c>
      <c r="F1409" t="s">
        <v>14</v>
      </c>
      <c r="G1409">
        <v>33.82</v>
      </c>
      <c r="H1409" t="s">
        <v>15</v>
      </c>
      <c r="I1409" t="s">
        <v>84</v>
      </c>
      <c r="J1409" t="s">
        <v>151</v>
      </c>
    </row>
    <row r="1410" spans="1:10" x14ac:dyDescent="0.35">
      <c r="A1410" t="s">
        <v>1587</v>
      </c>
      <c r="B1410" s="10">
        <v>45908</v>
      </c>
      <c r="C1410" t="s">
        <v>272</v>
      </c>
      <c r="D1410" t="s">
        <v>54</v>
      </c>
      <c r="E1410" t="s">
        <v>55</v>
      </c>
      <c r="F1410" t="s">
        <v>54</v>
      </c>
      <c r="G1410">
        <v>775.74</v>
      </c>
      <c r="H1410" t="s">
        <v>21</v>
      </c>
      <c r="I1410" t="s">
        <v>47</v>
      </c>
      <c r="J1410" t="s">
        <v>65</v>
      </c>
    </row>
    <row r="1411" spans="1:10" x14ac:dyDescent="0.35">
      <c r="A1411" t="s">
        <v>1588</v>
      </c>
      <c r="B1411" s="10">
        <v>45908</v>
      </c>
      <c r="C1411" t="s">
        <v>140</v>
      </c>
      <c r="D1411" t="s">
        <v>80</v>
      </c>
      <c r="E1411" t="s">
        <v>81</v>
      </c>
      <c r="F1411" t="s">
        <v>14</v>
      </c>
      <c r="G1411">
        <v>154.6</v>
      </c>
      <c r="H1411" t="s">
        <v>15</v>
      </c>
      <c r="I1411" t="s">
        <v>22</v>
      </c>
      <c r="J1411" t="s">
        <v>141</v>
      </c>
    </row>
    <row r="1412" spans="1:10" x14ac:dyDescent="0.35">
      <c r="A1412" t="s">
        <v>1589</v>
      </c>
      <c r="B1412" s="10">
        <v>45908</v>
      </c>
      <c r="C1412" t="s">
        <v>415</v>
      </c>
      <c r="D1412" t="s">
        <v>12</v>
      </c>
      <c r="E1412" t="s">
        <v>51</v>
      </c>
      <c r="F1412" t="s">
        <v>14</v>
      </c>
      <c r="G1412">
        <v>111.56</v>
      </c>
      <c r="H1412" t="s">
        <v>15</v>
      </c>
      <c r="I1412" t="s">
        <v>16</v>
      </c>
      <c r="J1412" t="s">
        <v>77</v>
      </c>
    </row>
    <row r="1413" spans="1:10" x14ac:dyDescent="0.35">
      <c r="A1413" t="s">
        <v>1590</v>
      </c>
      <c r="B1413" s="10">
        <v>45908</v>
      </c>
      <c r="C1413" t="s">
        <v>143</v>
      </c>
      <c r="D1413" t="s">
        <v>54</v>
      </c>
      <c r="E1413" t="s">
        <v>55</v>
      </c>
      <c r="F1413" t="s">
        <v>54</v>
      </c>
      <c r="G1413">
        <v>667.66</v>
      </c>
      <c r="H1413" t="s">
        <v>21</v>
      </c>
      <c r="I1413" t="s">
        <v>36</v>
      </c>
      <c r="J1413" t="s">
        <v>89</v>
      </c>
    </row>
    <row r="1414" spans="1:10" x14ac:dyDescent="0.35">
      <c r="A1414" t="s">
        <v>1591</v>
      </c>
      <c r="B1414" s="10">
        <v>45908</v>
      </c>
      <c r="C1414" t="s">
        <v>43</v>
      </c>
      <c r="D1414" t="s">
        <v>12</v>
      </c>
      <c r="E1414" t="s">
        <v>26</v>
      </c>
      <c r="F1414" t="s">
        <v>14</v>
      </c>
      <c r="G1414">
        <v>23.07</v>
      </c>
      <c r="H1414" t="s">
        <v>98</v>
      </c>
      <c r="I1414" t="s">
        <v>36</v>
      </c>
      <c r="J1414" t="s">
        <v>44</v>
      </c>
    </row>
    <row r="1415" spans="1:10" x14ac:dyDescent="0.35">
      <c r="A1415" t="s">
        <v>1592</v>
      </c>
      <c r="B1415" s="10">
        <v>45909</v>
      </c>
      <c r="C1415" t="s">
        <v>345</v>
      </c>
      <c r="D1415" t="s">
        <v>59</v>
      </c>
      <c r="E1415" t="s">
        <v>60</v>
      </c>
      <c r="F1415" t="s">
        <v>14</v>
      </c>
      <c r="G1415">
        <v>207.56</v>
      </c>
      <c r="H1415" t="s">
        <v>15</v>
      </c>
      <c r="I1415" t="s">
        <v>16</v>
      </c>
      <c r="J1415" t="s">
        <v>211</v>
      </c>
    </row>
    <row r="1416" spans="1:10" x14ac:dyDescent="0.35">
      <c r="A1416" t="s">
        <v>1593</v>
      </c>
      <c r="B1416" s="10">
        <v>45909</v>
      </c>
      <c r="C1416" t="s">
        <v>50</v>
      </c>
      <c r="D1416" t="s">
        <v>12</v>
      </c>
      <c r="E1416" t="s">
        <v>51</v>
      </c>
      <c r="F1416" t="s">
        <v>14</v>
      </c>
      <c r="G1416">
        <v>21.2</v>
      </c>
      <c r="H1416" t="s">
        <v>15</v>
      </c>
      <c r="I1416" t="s">
        <v>36</v>
      </c>
      <c r="J1416" t="s">
        <v>44</v>
      </c>
    </row>
    <row r="1417" spans="1:10" x14ac:dyDescent="0.35">
      <c r="A1417" t="s">
        <v>1594</v>
      </c>
      <c r="B1417" s="10">
        <v>45909</v>
      </c>
      <c r="C1417" t="s">
        <v>168</v>
      </c>
      <c r="D1417" t="s">
        <v>59</v>
      </c>
      <c r="E1417" t="s">
        <v>60</v>
      </c>
      <c r="F1417" t="s">
        <v>14</v>
      </c>
      <c r="G1417">
        <v>358.96</v>
      </c>
      <c r="H1417" t="s">
        <v>21</v>
      </c>
      <c r="I1417" t="s">
        <v>16</v>
      </c>
      <c r="J1417" t="s">
        <v>170</v>
      </c>
    </row>
    <row r="1418" spans="1:10" x14ac:dyDescent="0.35">
      <c r="A1418" t="s">
        <v>1595</v>
      </c>
      <c r="B1418" s="10">
        <v>45909</v>
      </c>
      <c r="C1418" t="s">
        <v>281</v>
      </c>
      <c r="D1418" t="s">
        <v>34</v>
      </c>
      <c r="E1418" t="s">
        <v>40</v>
      </c>
      <c r="F1418" t="s">
        <v>14</v>
      </c>
      <c r="G1418">
        <v>55.4</v>
      </c>
      <c r="H1418" t="s">
        <v>98</v>
      </c>
      <c r="I1418" t="s">
        <v>36</v>
      </c>
      <c r="J1418" t="s">
        <v>123</v>
      </c>
    </row>
    <row r="1419" spans="1:10" x14ac:dyDescent="0.35">
      <c r="A1419" t="s">
        <v>1596</v>
      </c>
      <c r="B1419" s="10">
        <v>45909</v>
      </c>
      <c r="C1419" t="s">
        <v>192</v>
      </c>
      <c r="D1419" t="s">
        <v>80</v>
      </c>
      <c r="E1419" t="s">
        <v>92</v>
      </c>
      <c r="F1419" t="s">
        <v>14</v>
      </c>
      <c r="G1419">
        <v>50.67</v>
      </c>
      <c r="H1419" t="s">
        <v>15</v>
      </c>
      <c r="I1419" t="s">
        <v>22</v>
      </c>
      <c r="J1419" t="s">
        <v>180</v>
      </c>
    </row>
    <row r="1420" spans="1:10" x14ac:dyDescent="0.35">
      <c r="A1420" t="s">
        <v>1597</v>
      </c>
      <c r="B1420" s="10">
        <v>45909</v>
      </c>
      <c r="C1420" t="s">
        <v>177</v>
      </c>
      <c r="D1420" t="s">
        <v>54</v>
      </c>
      <c r="E1420" t="s">
        <v>74</v>
      </c>
      <c r="F1420" t="s">
        <v>54</v>
      </c>
      <c r="G1420">
        <v>2434.5500000000002</v>
      </c>
      <c r="H1420" t="s">
        <v>15</v>
      </c>
      <c r="I1420" t="s">
        <v>22</v>
      </c>
      <c r="J1420" t="s">
        <v>56</v>
      </c>
    </row>
    <row r="1421" spans="1:10" x14ac:dyDescent="0.35">
      <c r="A1421" t="s">
        <v>1598</v>
      </c>
      <c r="B1421" s="10">
        <v>45909</v>
      </c>
      <c r="C1421" t="s">
        <v>204</v>
      </c>
      <c r="D1421" t="s">
        <v>12</v>
      </c>
      <c r="E1421" t="s">
        <v>51</v>
      </c>
      <c r="F1421" t="s">
        <v>14</v>
      </c>
      <c r="G1421">
        <v>24.6</v>
      </c>
      <c r="H1421" t="s">
        <v>15</v>
      </c>
      <c r="I1421" t="s">
        <v>22</v>
      </c>
      <c r="J1421" t="s">
        <v>23</v>
      </c>
    </row>
    <row r="1422" spans="1:10" x14ac:dyDescent="0.35">
      <c r="A1422" t="s">
        <v>1599</v>
      </c>
      <c r="B1422" s="10">
        <v>45910</v>
      </c>
      <c r="C1422" t="s">
        <v>94</v>
      </c>
      <c r="D1422" t="s">
        <v>29</v>
      </c>
      <c r="E1422" t="s">
        <v>95</v>
      </c>
      <c r="F1422" t="s">
        <v>14</v>
      </c>
      <c r="G1422">
        <v>33.380000000000003</v>
      </c>
      <c r="H1422" t="s">
        <v>15</v>
      </c>
      <c r="I1422" t="s">
        <v>22</v>
      </c>
      <c r="J1422" t="s">
        <v>96</v>
      </c>
    </row>
    <row r="1423" spans="1:10" x14ac:dyDescent="0.35">
      <c r="A1423" t="s">
        <v>1600</v>
      </c>
      <c r="B1423" s="10">
        <v>45910</v>
      </c>
      <c r="C1423" t="s">
        <v>1491</v>
      </c>
      <c r="D1423" t="s">
        <v>69</v>
      </c>
      <c r="E1423" t="s">
        <v>233</v>
      </c>
      <c r="F1423" t="s">
        <v>14</v>
      </c>
      <c r="G1423">
        <v>476.28</v>
      </c>
      <c r="H1423" t="s">
        <v>15</v>
      </c>
      <c r="I1423" t="s">
        <v>36</v>
      </c>
      <c r="J1423" t="s">
        <v>396</v>
      </c>
    </row>
    <row r="1424" spans="1:10" x14ac:dyDescent="0.35">
      <c r="A1424" t="s">
        <v>1601</v>
      </c>
      <c r="B1424" s="10">
        <v>45911</v>
      </c>
      <c r="C1424" t="s">
        <v>184</v>
      </c>
      <c r="D1424" t="s">
        <v>59</v>
      </c>
      <c r="E1424" t="s">
        <v>185</v>
      </c>
      <c r="F1424" t="s">
        <v>14</v>
      </c>
      <c r="G1424">
        <v>237.95</v>
      </c>
      <c r="H1424" t="s">
        <v>15</v>
      </c>
      <c r="I1424" t="s">
        <v>16</v>
      </c>
      <c r="J1424" t="s">
        <v>61</v>
      </c>
    </row>
    <row r="1425" spans="1:10" x14ac:dyDescent="0.35">
      <c r="A1425" t="s">
        <v>1602</v>
      </c>
      <c r="B1425" s="10">
        <v>45911</v>
      </c>
      <c r="C1425" t="s">
        <v>198</v>
      </c>
      <c r="D1425" t="s">
        <v>59</v>
      </c>
      <c r="E1425" t="s">
        <v>199</v>
      </c>
      <c r="F1425" t="s">
        <v>14</v>
      </c>
      <c r="G1425">
        <v>131.68</v>
      </c>
      <c r="H1425" t="s">
        <v>15</v>
      </c>
      <c r="I1425" t="s">
        <v>47</v>
      </c>
      <c r="J1425" t="s">
        <v>61</v>
      </c>
    </row>
    <row r="1426" spans="1:10" x14ac:dyDescent="0.35">
      <c r="A1426" t="s">
        <v>1603</v>
      </c>
      <c r="B1426" s="10">
        <v>45911</v>
      </c>
      <c r="C1426" t="s">
        <v>113</v>
      </c>
      <c r="D1426" t="s">
        <v>34</v>
      </c>
      <c r="E1426" t="s">
        <v>40</v>
      </c>
      <c r="F1426" t="s">
        <v>14</v>
      </c>
      <c r="G1426">
        <v>264.14999999999998</v>
      </c>
      <c r="H1426" t="s">
        <v>21</v>
      </c>
      <c r="I1426" t="s">
        <v>36</v>
      </c>
      <c r="J1426" t="s">
        <v>37</v>
      </c>
    </row>
    <row r="1427" spans="1:10" x14ac:dyDescent="0.35">
      <c r="A1427" t="s">
        <v>1604</v>
      </c>
      <c r="B1427" s="10">
        <v>45911</v>
      </c>
      <c r="C1427" t="s">
        <v>580</v>
      </c>
      <c r="D1427" t="s">
        <v>80</v>
      </c>
      <c r="E1427" t="s">
        <v>81</v>
      </c>
      <c r="F1427" t="s">
        <v>14</v>
      </c>
      <c r="G1427">
        <v>15.27</v>
      </c>
      <c r="H1427" t="s">
        <v>21</v>
      </c>
      <c r="I1427" t="s">
        <v>22</v>
      </c>
      <c r="J1427" t="s">
        <v>118</v>
      </c>
    </row>
    <row r="1428" spans="1:10" x14ac:dyDescent="0.35">
      <c r="A1428" t="s">
        <v>1605</v>
      </c>
      <c r="B1428" s="10">
        <v>45911</v>
      </c>
      <c r="C1428" t="s">
        <v>58</v>
      </c>
      <c r="D1428" t="s">
        <v>59</v>
      </c>
      <c r="E1428" t="s">
        <v>60</v>
      </c>
      <c r="F1428" t="s">
        <v>14</v>
      </c>
      <c r="G1428">
        <v>222.74</v>
      </c>
      <c r="H1428" t="s">
        <v>15</v>
      </c>
      <c r="I1428" t="s">
        <v>36</v>
      </c>
      <c r="J1428" t="s">
        <v>61</v>
      </c>
    </row>
    <row r="1429" spans="1:10" x14ac:dyDescent="0.35">
      <c r="A1429" t="s">
        <v>1606</v>
      </c>
      <c r="B1429" s="10">
        <v>45911</v>
      </c>
      <c r="C1429" t="s">
        <v>179</v>
      </c>
      <c r="D1429" t="s">
        <v>80</v>
      </c>
      <c r="E1429" t="s">
        <v>117</v>
      </c>
      <c r="F1429" t="s">
        <v>14</v>
      </c>
      <c r="G1429">
        <v>37.909999999999997</v>
      </c>
      <c r="H1429" t="s">
        <v>21</v>
      </c>
      <c r="I1429" t="s">
        <v>22</v>
      </c>
      <c r="J1429" t="s">
        <v>180</v>
      </c>
    </row>
    <row r="1430" spans="1:10" x14ac:dyDescent="0.35">
      <c r="A1430" t="s">
        <v>1607</v>
      </c>
      <c r="B1430" s="10">
        <v>45911</v>
      </c>
      <c r="C1430" t="s">
        <v>58</v>
      </c>
      <c r="D1430" t="s">
        <v>59</v>
      </c>
      <c r="E1430" t="s">
        <v>60</v>
      </c>
      <c r="F1430" t="s">
        <v>14</v>
      </c>
      <c r="G1430">
        <v>108.36</v>
      </c>
      <c r="H1430" t="s">
        <v>15</v>
      </c>
      <c r="I1430" t="s">
        <v>36</v>
      </c>
      <c r="J1430" t="s">
        <v>61</v>
      </c>
    </row>
    <row r="1431" spans="1:10" x14ac:dyDescent="0.35">
      <c r="A1431" t="s">
        <v>1608</v>
      </c>
      <c r="B1431" s="10">
        <v>45911</v>
      </c>
      <c r="C1431" t="s">
        <v>345</v>
      </c>
      <c r="D1431" t="s">
        <v>59</v>
      </c>
      <c r="E1431" t="s">
        <v>60</v>
      </c>
      <c r="F1431" t="s">
        <v>14</v>
      </c>
      <c r="G1431">
        <v>707.3</v>
      </c>
      <c r="H1431" t="s">
        <v>15</v>
      </c>
      <c r="I1431" t="s">
        <v>16</v>
      </c>
      <c r="J1431" t="s">
        <v>211</v>
      </c>
    </row>
    <row r="1432" spans="1:10" x14ac:dyDescent="0.35">
      <c r="A1432" t="s">
        <v>1609</v>
      </c>
      <c r="B1432" s="10">
        <v>45912</v>
      </c>
      <c r="C1432" t="s">
        <v>269</v>
      </c>
      <c r="D1432" t="s">
        <v>34</v>
      </c>
      <c r="E1432" t="s">
        <v>35</v>
      </c>
      <c r="F1432" t="s">
        <v>14</v>
      </c>
      <c r="G1432">
        <v>61.54</v>
      </c>
      <c r="H1432" t="s">
        <v>21</v>
      </c>
      <c r="I1432" t="s">
        <v>36</v>
      </c>
      <c r="J1432" t="s">
        <v>123</v>
      </c>
    </row>
    <row r="1433" spans="1:10" x14ac:dyDescent="0.35">
      <c r="A1433" t="s">
        <v>1610</v>
      </c>
      <c r="B1433" s="10">
        <v>45912</v>
      </c>
      <c r="C1433" t="s">
        <v>179</v>
      </c>
      <c r="D1433" t="s">
        <v>80</v>
      </c>
      <c r="E1433" t="s">
        <v>117</v>
      </c>
      <c r="F1433" t="s">
        <v>14</v>
      </c>
      <c r="G1433">
        <v>31.94</v>
      </c>
      <c r="H1433" t="s">
        <v>15</v>
      </c>
      <c r="I1433" t="s">
        <v>22</v>
      </c>
      <c r="J1433" t="s">
        <v>180</v>
      </c>
    </row>
    <row r="1434" spans="1:10" x14ac:dyDescent="0.35">
      <c r="A1434" t="s">
        <v>1611</v>
      </c>
      <c r="B1434" s="10">
        <v>45912</v>
      </c>
      <c r="C1434" t="s">
        <v>76</v>
      </c>
      <c r="D1434" t="s">
        <v>12</v>
      </c>
      <c r="E1434" t="s">
        <v>13</v>
      </c>
      <c r="F1434" t="s">
        <v>14</v>
      </c>
      <c r="G1434">
        <v>63.19</v>
      </c>
      <c r="H1434" t="s">
        <v>15</v>
      </c>
      <c r="I1434" t="s">
        <v>47</v>
      </c>
      <c r="J1434" t="s">
        <v>77</v>
      </c>
    </row>
    <row r="1435" spans="1:10" x14ac:dyDescent="0.35">
      <c r="A1435" t="s">
        <v>1612</v>
      </c>
      <c r="B1435" s="10">
        <v>45912</v>
      </c>
      <c r="C1435" t="s">
        <v>25</v>
      </c>
      <c r="D1435" t="s">
        <v>12</v>
      </c>
      <c r="E1435" t="s">
        <v>26</v>
      </c>
      <c r="F1435" t="s">
        <v>14</v>
      </c>
      <c r="G1435">
        <v>25.18</v>
      </c>
      <c r="H1435" t="s">
        <v>15</v>
      </c>
      <c r="I1435" t="s">
        <v>22</v>
      </c>
      <c r="J1435" t="s">
        <v>17</v>
      </c>
    </row>
    <row r="1436" spans="1:10" x14ac:dyDescent="0.35">
      <c r="A1436" t="s">
        <v>1613</v>
      </c>
      <c r="B1436" s="10">
        <v>45913</v>
      </c>
      <c r="C1436" t="s">
        <v>445</v>
      </c>
      <c r="D1436" t="s">
        <v>101</v>
      </c>
      <c r="E1436" t="s">
        <v>244</v>
      </c>
      <c r="F1436" t="s">
        <v>14</v>
      </c>
      <c r="G1436">
        <v>16.11</v>
      </c>
      <c r="H1436" t="s">
        <v>21</v>
      </c>
      <c r="I1436" t="s">
        <v>47</v>
      </c>
      <c r="J1436" t="s">
        <v>103</v>
      </c>
    </row>
    <row r="1437" spans="1:10" x14ac:dyDescent="0.35">
      <c r="A1437" t="s">
        <v>1614</v>
      </c>
      <c r="B1437" s="10">
        <v>45913</v>
      </c>
      <c r="C1437" t="s">
        <v>150</v>
      </c>
      <c r="D1437" t="s">
        <v>29</v>
      </c>
      <c r="E1437" t="s">
        <v>30</v>
      </c>
      <c r="F1437" t="s">
        <v>14</v>
      </c>
      <c r="G1437">
        <v>10.44</v>
      </c>
      <c r="H1437" t="s">
        <v>21</v>
      </c>
      <c r="I1437" t="s">
        <v>22</v>
      </c>
      <c r="J1437" t="s">
        <v>151</v>
      </c>
    </row>
    <row r="1438" spans="1:10" x14ac:dyDescent="0.35">
      <c r="A1438" t="s">
        <v>1615</v>
      </c>
      <c r="B1438" s="10">
        <v>45913</v>
      </c>
      <c r="C1438" t="s">
        <v>168</v>
      </c>
      <c r="D1438" t="s">
        <v>59</v>
      </c>
      <c r="E1438" t="s">
        <v>60</v>
      </c>
      <c r="F1438" t="s">
        <v>14</v>
      </c>
      <c r="G1438">
        <v>204.54</v>
      </c>
      <c r="H1438" t="s">
        <v>15</v>
      </c>
      <c r="I1438" t="s">
        <v>16</v>
      </c>
      <c r="J1438" t="s">
        <v>170</v>
      </c>
    </row>
    <row r="1439" spans="1:10" x14ac:dyDescent="0.35">
      <c r="A1439" t="s">
        <v>1616</v>
      </c>
      <c r="B1439" s="10">
        <v>45913</v>
      </c>
      <c r="C1439" t="s">
        <v>11</v>
      </c>
      <c r="D1439" t="s">
        <v>12</v>
      </c>
      <c r="E1439" t="s">
        <v>13</v>
      </c>
      <c r="F1439" t="s">
        <v>14</v>
      </c>
      <c r="G1439">
        <v>169.82</v>
      </c>
      <c r="H1439" t="s">
        <v>15</v>
      </c>
      <c r="I1439" t="s">
        <v>47</v>
      </c>
      <c r="J1439" t="s">
        <v>17</v>
      </c>
    </row>
    <row r="1440" spans="1:10" x14ac:dyDescent="0.35">
      <c r="A1440" t="s">
        <v>1617</v>
      </c>
      <c r="B1440" s="10">
        <v>45914</v>
      </c>
      <c r="C1440" t="s">
        <v>172</v>
      </c>
      <c r="D1440" t="s">
        <v>101</v>
      </c>
      <c r="E1440" t="s">
        <v>102</v>
      </c>
      <c r="F1440" t="s">
        <v>14</v>
      </c>
      <c r="G1440">
        <v>119.68</v>
      </c>
      <c r="H1440" t="s">
        <v>21</v>
      </c>
      <c r="I1440" t="s">
        <v>22</v>
      </c>
      <c r="J1440" t="s">
        <v>102</v>
      </c>
    </row>
    <row r="1441" spans="1:10" x14ac:dyDescent="0.35">
      <c r="A1441" t="s">
        <v>1618</v>
      </c>
      <c r="B1441" s="10">
        <v>45914</v>
      </c>
      <c r="C1441" t="s">
        <v>111</v>
      </c>
      <c r="D1441" t="s">
        <v>12</v>
      </c>
      <c r="E1441" t="s">
        <v>26</v>
      </c>
      <c r="F1441" t="s">
        <v>14</v>
      </c>
      <c r="G1441">
        <v>31</v>
      </c>
      <c r="H1441" t="s">
        <v>98</v>
      </c>
      <c r="I1441" t="s">
        <v>22</v>
      </c>
      <c r="J1441" t="s">
        <v>23</v>
      </c>
    </row>
    <row r="1442" spans="1:10" x14ac:dyDescent="0.35">
      <c r="A1442" t="s">
        <v>1619</v>
      </c>
      <c r="B1442" s="10">
        <v>45914</v>
      </c>
      <c r="C1442" t="s">
        <v>160</v>
      </c>
      <c r="D1442" t="s">
        <v>80</v>
      </c>
      <c r="E1442" t="s">
        <v>117</v>
      </c>
      <c r="F1442" t="s">
        <v>14</v>
      </c>
      <c r="G1442">
        <v>32.590000000000003</v>
      </c>
      <c r="H1442" t="s">
        <v>15</v>
      </c>
      <c r="I1442" t="s">
        <v>22</v>
      </c>
      <c r="J1442" t="s">
        <v>161</v>
      </c>
    </row>
    <row r="1443" spans="1:10" x14ac:dyDescent="0.35">
      <c r="A1443" t="s">
        <v>1620</v>
      </c>
      <c r="B1443" s="10">
        <v>45914</v>
      </c>
      <c r="C1443" t="s">
        <v>194</v>
      </c>
      <c r="D1443" t="s">
        <v>101</v>
      </c>
      <c r="E1443" t="s">
        <v>136</v>
      </c>
      <c r="F1443" t="s">
        <v>14</v>
      </c>
      <c r="G1443">
        <v>31.25</v>
      </c>
      <c r="H1443" t="s">
        <v>98</v>
      </c>
      <c r="I1443" t="s">
        <v>16</v>
      </c>
      <c r="J1443" t="s">
        <v>103</v>
      </c>
    </row>
    <row r="1444" spans="1:10" x14ac:dyDescent="0.35">
      <c r="A1444" t="s">
        <v>1621</v>
      </c>
      <c r="B1444" s="10">
        <v>45914</v>
      </c>
      <c r="C1444" t="s">
        <v>272</v>
      </c>
      <c r="D1444" t="s">
        <v>54</v>
      </c>
      <c r="E1444" t="s">
        <v>55</v>
      </c>
      <c r="F1444" t="s">
        <v>54</v>
      </c>
      <c r="G1444">
        <v>759.06</v>
      </c>
      <c r="H1444" t="s">
        <v>15</v>
      </c>
      <c r="I1444" t="s">
        <v>16</v>
      </c>
      <c r="J1444" t="s">
        <v>65</v>
      </c>
    </row>
    <row r="1445" spans="1:10" x14ac:dyDescent="0.35">
      <c r="A1445" t="s">
        <v>1622</v>
      </c>
      <c r="B1445" s="10">
        <v>45914</v>
      </c>
      <c r="C1445" t="s">
        <v>177</v>
      </c>
      <c r="D1445" t="s">
        <v>54</v>
      </c>
      <c r="E1445" t="s">
        <v>74</v>
      </c>
      <c r="F1445" t="s">
        <v>54</v>
      </c>
      <c r="G1445">
        <v>2325.4899999999998</v>
      </c>
      <c r="H1445" t="s">
        <v>15</v>
      </c>
      <c r="I1445" t="s">
        <v>47</v>
      </c>
      <c r="J1445" t="s">
        <v>56</v>
      </c>
    </row>
    <row r="1446" spans="1:10" x14ac:dyDescent="0.35">
      <c r="A1446" t="s">
        <v>1624</v>
      </c>
      <c r="B1446" s="10">
        <v>45915</v>
      </c>
      <c r="C1446" t="s">
        <v>238</v>
      </c>
      <c r="D1446" t="s">
        <v>34</v>
      </c>
      <c r="E1446" t="s">
        <v>35</v>
      </c>
      <c r="F1446" t="s">
        <v>14</v>
      </c>
      <c r="G1446">
        <v>85.55</v>
      </c>
      <c r="H1446" t="s">
        <v>15</v>
      </c>
      <c r="I1446" t="s">
        <v>47</v>
      </c>
      <c r="J1446" t="s">
        <v>239</v>
      </c>
    </row>
    <row r="1447" spans="1:10" x14ac:dyDescent="0.35">
      <c r="A1447" t="s">
        <v>1625</v>
      </c>
      <c r="B1447" s="10">
        <v>45915</v>
      </c>
      <c r="C1447" t="s">
        <v>138</v>
      </c>
      <c r="D1447" t="s">
        <v>12</v>
      </c>
      <c r="E1447" t="s">
        <v>26</v>
      </c>
      <c r="F1447" t="s">
        <v>14</v>
      </c>
      <c r="G1447">
        <v>20.11</v>
      </c>
      <c r="H1447" t="s">
        <v>21</v>
      </c>
      <c r="I1447" t="s">
        <v>16</v>
      </c>
      <c r="J1447" t="s">
        <v>77</v>
      </c>
    </row>
    <row r="1448" spans="1:10" x14ac:dyDescent="0.35">
      <c r="A1448" t="s">
        <v>1626</v>
      </c>
      <c r="B1448" s="10">
        <v>45915</v>
      </c>
      <c r="C1448" t="s">
        <v>253</v>
      </c>
      <c r="D1448" t="s">
        <v>29</v>
      </c>
      <c r="E1448" t="s">
        <v>30</v>
      </c>
      <c r="F1448" t="s">
        <v>14</v>
      </c>
      <c r="G1448">
        <v>103.44</v>
      </c>
      <c r="H1448" t="s">
        <v>15</v>
      </c>
      <c r="I1448" t="s">
        <v>22</v>
      </c>
      <c r="J1448" t="s">
        <v>158</v>
      </c>
    </row>
    <row r="1449" spans="1:10" x14ac:dyDescent="0.35">
      <c r="A1449" t="s">
        <v>1627</v>
      </c>
      <c r="B1449" s="10">
        <v>45915</v>
      </c>
      <c r="C1449" t="s">
        <v>116</v>
      </c>
      <c r="D1449" t="s">
        <v>80</v>
      </c>
      <c r="E1449" t="s">
        <v>117</v>
      </c>
      <c r="F1449" t="s">
        <v>14</v>
      </c>
      <c r="G1449">
        <v>23.73</v>
      </c>
      <c r="H1449" t="s">
        <v>21</v>
      </c>
      <c r="I1449" t="s">
        <v>84</v>
      </c>
      <c r="J1449" t="s">
        <v>118</v>
      </c>
    </row>
    <row r="1450" spans="1:10" x14ac:dyDescent="0.35">
      <c r="A1450" t="s">
        <v>1628</v>
      </c>
      <c r="B1450" s="10">
        <v>45916</v>
      </c>
      <c r="C1450" t="s">
        <v>25</v>
      </c>
      <c r="D1450" t="s">
        <v>12</v>
      </c>
      <c r="E1450" t="s">
        <v>26</v>
      </c>
      <c r="F1450" t="s">
        <v>14</v>
      </c>
      <c r="G1450">
        <v>26.2</v>
      </c>
      <c r="H1450" t="s">
        <v>98</v>
      </c>
      <c r="I1450" t="s">
        <v>22</v>
      </c>
      <c r="J1450" t="s">
        <v>17</v>
      </c>
    </row>
    <row r="1451" spans="1:10" x14ac:dyDescent="0.35">
      <c r="A1451" t="s">
        <v>1629</v>
      </c>
      <c r="B1451" s="10">
        <v>45916</v>
      </c>
      <c r="C1451" t="s">
        <v>272</v>
      </c>
      <c r="D1451" t="s">
        <v>54</v>
      </c>
      <c r="E1451" t="s">
        <v>55</v>
      </c>
      <c r="F1451" t="s">
        <v>54</v>
      </c>
      <c r="G1451">
        <v>691.96</v>
      </c>
      <c r="H1451" t="s">
        <v>15</v>
      </c>
      <c r="I1451" t="s">
        <v>22</v>
      </c>
      <c r="J1451" t="s">
        <v>65</v>
      </c>
    </row>
    <row r="1452" spans="1:10" x14ac:dyDescent="0.35">
      <c r="A1452" t="s">
        <v>1630</v>
      </c>
      <c r="B1452" s="10">
        <v>45916</v>
      </c>
      <c r="C1452" t="s">
        <v>116</v>
      </c>
      <c r="D1452" t="s">
        <v>80</v>
      </c>
      <c r="E1452" t="s">
        <v>117</v>
      </c>
      <c r="F1452" t="s">
        <v>14</v>
      </c>
      <c r="G1452">
        <v>21.33</v>
      </c>
      <c r="H1452" t="s">
        <v>15</v>
      </c>
      <c r="I1452" t="s">
        <v>36</v>
      </c>
      <c r="J1452" t="s">
        <v>118</v>
      </c>
    </row>
    <row r="1453" spans="1:10" x14ac:dyDescent="0.35">
      <c r="A1453" t="s">
        <v>1631</v>
      </c>
      <c r="B1453" s="10">
        <v>45916</v>
      </c>
      <c r="C1453" t="s">
        <v>113</v>
      </c>
      <c r="D1453" t="s">
        <v>34</v>
      </c>
      <c r="E1453" t="s">
        <v>40</v>
      </c>
      <c r="F1453" t="s">
        <v>14</v>
      </c>
      <c r="G1453">
        <v>120.51</v>
      </c>
      <c r="H1453" t="s">
        <v>21</v>
      </c>
      <c r="I1453" t="s">
        <v>22</v>
      </c>
      <c r="J1453" t="s">
        <v>37</v>
      </c>
    </row>
    <row r="1454" spans="1:10" x14ac:dyDescent="0.35">
      <c r="A1454" t="s">
        <v>1632</v>
      </c>
      <c r="B1454" s="10">
        <v>45916</v>
      </c>
      <c r="C1454" t="s">
        <v>272</v>
      </c>
      <c r="D1454" t="s">
        <v>54</v>
      </c>
      <c r="E1454" t="s">
        <v>55</v>
      </c>
      <c r="F1454" t="s">
        <v>54</v>
      </c>
      <c r="G1454">
        <v>723.65</v>
      </c>
      <c r="H1454" t="s">
        <v>15</v>
      </c>
      <c r="I1454" t="s">
        <v>22</v>
      </c>
      <c r="J1454" t="s">
        <v>65</v>
      </c>
    </row>
    <row r="1455" spans="1:10" x14ac:dyDescent="0.35">
      <c r="A1455" t="s">
        <v>1633</v>
      </c>
      <c r="B1455" s="10">
        <v>45916</v>
      </c>
      <c r="C1455" t="s">
        <v>308</v>
      </c>
      <c r="D1455" t="s">
        <v>54</v>
      </c>
      <c r="E1455" t="s">
        <v>64</v>
      </c>
      <c r="F1455" t="s">
        <v>54</v>
      </c>
      <c r="G1455">
        <v>284.08</v>
      </c>
      <c r="H1455" t="s">
        <v>15</v>
      </c>
      <c r="I1455" t="s">
        <v>47</v>
      </c>
      <c r="J1455" t="s">
        <v>89</v>
      </c>
    </row>
    <row r="1456" spans="1:10" x14ac:dyDescent="0.35">
      <c r="A1456" t="s">
        <v>1634</v>
      </c>
      <c r="B1456" s="10">
        <v>45917</v>
      </c>
      <c r="C1456" t="s">
        <v>168</v>
      </c>
      <c r="D1456" t="s">
        <v>59</v>
      </c>
      <c r="E1456" t="s">
        <v>60</v>
      </c>
      <c r="F1456" t="s">
        <v>14</v>
      </c>
      <c r="G1456">
        <v>188.5</v>
      </c>
      <c r="H1456" t="s">
        <v>98</v>
      </c>
      <c r="I1456" t="s">
        <v>16</v>
      </c>
      <c r="J1456" t="s">
        <v>170</v>
      </c>
    </row>
    <row r="1457" spans="1:10" x14ac:dyDescent="0.35">
      <c r="A1457" t="s">
        <v>1635</v>
      </c>
      <c r="B1457" s="10">
        <v>45917</v>
      </c>
      <c r="C1457" t="s">
        <v>68</v>
      </c>
      <c r="D1457" t="s">
        <v>69</v>
      </c>
      <c r="E1457" t="s">
        <v>70</v>
      </c>
      <c r="F1457" t="s">
        <v>14</v>
      </c>
      <c r="G1457">
        <v>187.03</v>
      </c>
      <c r="H1457" t="s">
        <v>98</v>
      </c>
      <c r="I1457" t="s">
        <v>22</v>
      </c>
      <c r="J1457" t="s">
        <v>71</v>
      </c>
    </row>
    <row r="1458" spans="1:10" x14ac:dyDescent="0.35">
      <c r="A1458" t="s">
        <v>1636</v>
      </c>
      <c r="B1458" s="10">
        <v>45917</v>
      </c>
      <c r="C1458" t="s">
        <v>88</v>
      </c>
      <c r="D1458" t="s">
        <v>54</v>
      </c>
      <c r="E1458" t="s">
        <v>74</v>
      </c>
      <c r="F1458" t="s">
        <v>54</v>
      </c>
      <c r="G1458">
        <v>2241.6999999999998</v>
      </c>
      <c r="H1458" t="s">
        <v>15</v>
      </c>
      <c r="I1458" t="s">
        <v>36</v>
      </c>
      <c r="J1458" t="s">
        <v>89</v>
      </c>
    </row>
    <row r="1459" spans="1:10" x14ac:dyDescent="0.35">
      <c r="A1459" t="s">
        <v>1637</v>
      </c>
      <c r="B1459" s="10">
        <v>45917</v>
      </c>
      <c r="C1459" t="s">
        <v>33</v>
      </c>
      <c r="D1459" t="s">
        <v>34</v>
      </c>
      <c r="E1459" t="s">
        <v>35</v>
      </c>
      <c r="F1459" t="s">
        <v>14</v>
      </c>
      <c r="G1459">
        <v>138.03</v>
      </c>
      <c r="H1459" t="s">
        <v>15</v>
      </c>
      <c r="I1459" t="s">
        <v>84</v>
      </c>
      <c r="J1459" t="s">
        <v>37</v>
      </c>
    </row>
    <row r="1460" spans="1:10" x14ac:dyDescent="0.35">
      <c r="A1460" t="s">
        <v>1638</v>
      </c>
      <c r="B1460" s="10">
        <v>45917</v>
      </c>
      <c r="C1460" t="s">
        <v>88</v>
      </c>
      <c r="D1460" t="s">
        <v>54</v>
      </c>
      <c r="E1460" t="s">
        <v>74</v>
      </c>
      <c r="F1460" t="s">
        <v>54</v>
      </c>
      <c r="G1460">
        <v>2127.1999999999998</v>
      </c>
      <c r="H1460" t="s">
        <v>15</v>
      </c>
      <c r="I1460" t="s">
        <v>22</v>
      </c>
      <c r="J1460" t="s">
        <v>89</v>
      </c>
    </row>
    <row r="1461" spans="1:10" x14ac:dyDescent="0.35">
      <c r="A1461" t="s">
        <v>1639</v>
      </c>
      <c r="B1461" s="10">
        <v>45918</v>
      </c>
      <c r="C1461" t="s">
        <v>135</v>
      </c>
      <c r="D1461" t="s">
        <v>101</v>
      </c>
      <c r="E1461" t="s">
        <v>102</v>
      </c>
      <c r="F1461" t="s">
        <v>14</v>
      </c>
      <c r="G1461">
        <v>93.36</v>
      </c>
      <c r="H1461" t="s">
        <v>15</v>
      </c>
      <c r="I1461" t="s">
        <v>47</v>
      </c>
      <c r="J1461" t="s">
        <v>136</v>
      </c>
    </row>
    <row r="1462" spans="1:10" x14ac:dyDescent="0.35">
      <c r="A1462" t="s">
        <v>1640</v>
      </c>
      <c r="B1462" s="10">
        <v>45918</v>
      </c>
      <c r="C1462" t="s">
        <v>68</v>
      </c>
      <c r="D1462" t="s">
        <v>69</v>
      </c>
      <c r="E1462" t="s">
        <v>70</v>
      </c>
      <c r="F1462" t="s">
        <v>14</v>
      </c>
      <c r="G1462">
        <v>637.84</v>
      </c>
      <c r="H1462" t="s">
        <v>15</v>
      </c>
      <c r="I1462" t="s">
        <v>22</v>
      </c>
      <c r="J1462" t="s">
        <v>71</v>
      </c>
    </row>
    <row r="1463" spans="1:10" x14ac:dyDescent="0.35">
      <c r="A1463" t="s">
        <v>1641</v>
      </c>
      <c r="B1463" s="10">
        <v>45918</v>
      </c>
      <c r="C1463" t="s">
        <v>140</v>
      </c>
      <c r="D1463" t="s">
        <v>80</v>
      </c>
      <c r="E1463" t="s">
        <v>81</v>
      </c>
      <c r="F1463" t="s">
        <v>14</v>
      </c>
      <c r="G1463">
        <v>95.03</v>
      </c>
      <c r="H1463" t="s">
        <v>15</v>
      </c>
      <c r="I1463" t="s">
        <v>22</v>
      </c>
      <c r="J1463" t="s">
        <v>141</v>
      </c>
    </row>
    <row r="1464" spans="1:10" x14ac:dyDescent="0.35">
      <c r="A1464" t="s">
        <v>1642</v>
      </c>
      <c r="B1464" s="10">
        <v>45918</v>
      </c>
      <c r="C1464" t="s">
        <v>580</v>
      </c>
      <c r="D1464" t="s">
        <v>80</v>
      </c>
      <c r="E1464" t="s">
        <v>81</v>
      </c>
      <c r="F1464" t="s">
        <v>14</v>
      </c>
      <c r="G1464">
        <v>111.54</v>
      </c>
      <c r="H1464" t="s">
        <v>98</v>
      </c>
      <c r="I1464" t="s">
        <v>22</v>
      </c>
      <c r="J1464" t="s">
        <v>118</v>
      </c>
    </row>
    <row r="1465" spans="1:10" x14ac:dyDescent="0.35">
      <c r="A1465" t="s">
        <v>1643</v>
      </c>
      <c r="B1465" s="10">
        <v>45918</v>
      </c>
      <c r="C1465" t="s">
        <v>153</v>
      </c>
      <c r="D1465" t="s">
        <v>34</v>
      </c>
      <c r="E1465" t="s">
        <v>122</v>
      </c>
      <c r="F1465" t="s">
        <v>14</v>
      </c>
      <c r="G1465">
        <v>104.74</v>
      </c>
      <c r="H1465" t="s">
        <v>21</v>
      </c>
      <c r="I1465" t="s">
        <v>22</v>
      </c>
      <c r="J1465" t="s">
        <v>41</v>
      </c>
    </row>
    <row r="1466" spans="1:10" x14ac:dyDescent="0.35">
      <c r="A1466" t="s">
        <v>1644</v>
      </c>
      <c r="B1466" s="10">
        <v>45919</v>
      </c>
      <c r="C1466" t="s">
        <v>824</v>
      </c>
      <c r="D1466" t="s">
        <v>69</v>
      </c>
      <c r="E1466" t="s">
        <v>233</v>
      </c>
      <c r="F1466" t="s">
        <v>14</v>
      </c>
      <c r="G1466">
        <v>343.02</v>
      </c>
      <c r="H1466" t="s">
        <v>15</v>
      </c>
      <c r="I1466" t="s">
        <v>36</v>
      </c>
      <c r="J1466" t="s">
        <v>133</v>
      </c>
    </row>
    <row r="1467" spans="1:10" x14ac:dyDescent="0.35">
      <c r="A1467" t="s">
        <v>1645</v>
      </c>
      <c r="B1467" s="10">
        <v>45919</v>
      </c>
      <c r="C1467" t="s">
        <v>91</v>
      </c>
      <c r="D1467" t="s">
        <v>80</v>
      </c>
      <c r="E1467" t="s">
        <v>92</v>
      </c>
      <c r="F1467" t="s">
        <v>14</v>
      </c>
      <c r="G1467">
        <v>45.02</v>
      </c>
      <c r="H1467" t="s">
        <v>98</v>
      </c>
      <c r="I1467" t="s">
        <v>22</v>
      </c>
      <c r="J1467" t="s">
        <v>82</v>
      </c>
    </row>
    <row r="1468" spans="1:10" x14ac:dyDescent="0.35">
      <c r="A1468" t="s">
        <v>1646</v>
      </c>
      <c r="B1468" s="10">
        <v>45919</v>
      </c>
      <c r="C1468" t="s">
        <v>143</v>
      </c>
      <c r="D1468" t="s">
        <v>54</v>
      </c>
      <c r="E1468" t="s">
        <v>55</v>
      </c>
      <c r="F1468" t="s">
        <v>54</v>
      </c>
      <c r="G1468">
        <v>652.35</v>
      </c>
      <c r="H1468" t="s">
        <v>98</v>
      </c>
      <c r="I1468" t="s">
        <v>22</v>
      </c>
      <c r="J1468" t="s">
        <v>89</v>
      </c>
    </row>
    <row r="1469" spans="1:10" x14ac:dyDescent="0.35">
      <c r="A1469" t="s">
        <v>1647</v>
      </c>
      <c r="B1469" s="10">
        <v>45919</v>
      </c>
      <c r="C1469" t="s">
        <v>251</v>
      </c>
      <c r="D1469" t="s">
        <v>29</v>
      </c>
      <c r="E1469" t="s">
        <v>151</v>
      </c>
      <c r="F1469" t="s">
        <v>14</v>
      </c>
      <c r="G1469">
        <v>26.67</v>
      </c>
      <c r="H1469" t="s">
        <v>21</v>
      </c>
      <c r="I1469" t="s">
        <v>36</v>
      </c>
      <c r="J1469" t="s">
        <v>31</v>
      </c>
    </row>
    <row r="1470" spans="1:10" x14ac:dyDescent="0.35">
      <c r="A1470" t="s">
        <v>1648</v>
      </c>
      <c r="B1470" s="10">
        <v>45920</v>
      </c>
      <c r="C1470" t="s">
        <v>175</v>
      </c>
      <c r="D1470" t="s">
        <v>80</v>
      </c>
      <c r="E1470" t="s">
        <v>92</v>
      </c>
      <c r="F1470" t="s">
        <v>14</v>
      </c>
      <c r="G1470">
        <v>20.47</v>
      </c>
      <c r="H1470" t="s">
        <v>15</v>
      </c>
      <c r="I1470" t="s">
        <v>36</v>
      </c>
      <c r="J1470" t="s">
        <v>141</v>
      </c>
    </row>
    <row r="1471" spans="1:10" x14ac:dyDescent="0.35">
      <c r="A1471" t="s">
        <v>1649</v>
      </c>
      <c r="B1471" s="10">
        <v>45920</v>
      </c>
      <c r="C1471" t="s">
        <v>175</v>
      </c>
      <c r="D1471" t="s">
        <v>80</v>
      </c>
      <c r="E1471" t="s">
        <v>92</v>
      </c>
      <c r="F1471" t="s">
        <v>14</v>
      </c>
      <c r="G1471">
        <v>97.72</v>
      </c>
      <c r="H1471" t="s">
        <v>15</v>
      </c>
      <c r="I1471" t="s">
        <v>22</v>
      </c>
      <c r="J1471" t="s">
        <v>141</v>
      </c>
    </row>
    <row r="1472" spans="1:10" x14ac:dyDescent="0.35">
      <c r="A1472" t="s">
        <v>1650</v>
      </c>
      <c r="B1472" s="10">
        <v>45920</v>
      </c>
      <c r="C1472" t="s">
        <v>376</v>
      </c>
      <c r="D1472" t="s">
        <v>80</v>
      </c>
      <c r="E1472" t="s">
        <v>117</v>
      </c>
      <c r="F1472" t="s">
        <v>14</v>
      </c>
      <c r="G1472">
        <v>243.2</v>
      </c>
      <c r="H1472" t="s">
        <v>15</v>
      </c>
      <c r="I1472" t="s">
        <v>36</v>
      </c>
      <c r="J1472" t="s">
        <v>82</v>
      </c>
    </row>
    <row r="1473" spans="1:10" x14ac:dyDescent="0.35">
      <c r="A1473" t="s">
        <v>1651</v>
      </c>
      <c r="B1473" s="10">
        <v>45920</v>
      </c>
      <c r="C1473" t="s">
        <v>192</v>
      </c>
      <c r="D1473" t="s">
        <v>80</v>
      </c>
      <c r="E1473" t="s">
        <v>92</v>
      </c>
      <c r="F1473" t="s">
        <v>14</v>
      </c>
      <c r="G1473">
        <v>25.45</v>
      </c>
      <c r="H1473" t="s">
        <v>15</v>
      </c>
      <c r="I1473" t="s">
        <v>22</v>
      </c>
      <c r="J1473" t="s">
        <v>180</v>
      </c>
    </row>
    <row r="1474" spans="1:10" x14ac:dyDescent="0.35">
      <c r="A1474" t="s">
        <v>1652</v>
      </c>
      <c r="B1474" s="10">
        <v>45920</v>
      </c>
      <c r="C1474" t="s">
        <v>25</v>
      </c>
      <c r="D1474" t="s">
        <v>12</v>
      </c>
      <c r="E1474" t="s">
        <v>26</v>
      </c>
      <c r="F1474" t="s">
        <v>14</v>
      </c>
      <c r="G1474">
        <v>92.53</v>
      </c>
      <c r="H1474" t="s">
        <v>15</v>
      </c>
      <c r="I1474" t="s">
        <v>22</v>
      </c>
      <c r="J1474" t="s">
        <v>17</v>
      </c>
    </row>
    <row r="1475" spans="1:10" x14ac:dyDescent="0.35">
      <c r="A1475" t="s">
        <v>1653</v>
      </c>
      <c r="B1475" s="10">
        <v>45920</v>
      </c>
      <c r="C1475" t="s">
        <v>155</v>
      </c>
      <c r="D1475" t="s">
        <v>12</v>
      </c>
      <c r="E1475" t="s">
        <v>51</v>
      </c>
      <c r="F1475" t="s">
        <v>14</v>
      </c>
      <c r="G1475">
        <v>50.32</v>
      </c>
      <c r="H1475" t="s">
        <v>98</v>
      </c>
      <c r="I1475" t="s">
        <v>16</v>
      </c>
      <c r="J1475" t="s">
        <v>48</v>
      </c>
    </row>
    <row r="1476" spans="1:10" x14ac:dyDescent="0.35">
      <c r="A1476" t="s">
        <v>1654</v>
      </c>
      <c r="B1476" s="10">
        <v>45920</v>
      </c>
      <c r="C1476" t="s">
        <v>347</v>
      </c>
      <c r="D1476" t="s">
        <v>29</v>
      </c>
      <c r="E1476" t="s">
        <v>151</v>
      </c>
      <c r="F1476" t="s">
        <v>14</v>
      </c>
      <c r="G1476">
        <v>10.199999999999999</v>
      </c>
      <c r="H1476" t="s">
        <v>15</v>
      </c>
      <c r="I1476" t="s">
        <v>47</v>
      </c>
      <c r="J1476" t="s">
        <v>96</v>
      </c>
    </row>
    <row r="1477" spans="1:10" x14ac:dyDescent="0.35">
      <c r="A1477" t="s">
        <v>1655</v>
      </c>
      <c r="B1477" s="10">
        <v>45921</v>
      </c>
      <c r="C1477" t="s">
        <v>121</v>
      </c>
      <c r="D1477" t="s">
        <v>34</v>
      </c>
      <c r="E1477" t="s">
        <v>122</v>
      </c>
      <c r="F1477" t="s">
        <v>14</v>
      </c>
      <c r="G1477">
        <v>98.6</v>
      </c>
      <c r="H1477" t="s">
        <v>21</v>
      </c>
      <c r="I1477" t="s">
        <v>36</v>
      </c>
      <c r="J1477" t="s">
        <v>123</v>
      </c>
    </row>
    <row r="1478" spans="1:10" x14ac:dyDescent="0.35">
      <c r="A1478" t="s">
        <v>1656</v>
      </c>
      <c r="B1478" s="10">
        <v>45921</v>
      </c>
      <c r="C1478" t="s">
        <v>204</v>
      </c>
      <c r="D1478" t="s">
        <v>12</v>
      </c>
      <c r="E1478" t="s">
        <v>51</v>
      </c>
      <c r="F1478" t="s">
        <v>14</v>
      </c>
      <c r="G1478">
        <v>25.57</v>
      </c>
      <c r="H1478" t="s">
        <v>21</v>
      </c>
      <c r="I1478" t="s">
        <v>36</v>
      </c>
      <c r="J1478" t="s">
        <v>23</v>
      </c>
    </row>
    <row r="1479" spans="1:10" x14ac:dyDescent="0.35">
      <c r="A1479" t="s">
        <v>1657</v>
      </c>
      <c r="B1479" s="10">
        <v>45921</v>
      </c>
      <c r="C1479" t="s">
        <v>281</v>
      </c>
      <c r="D1479" t="s">
        <v>34</v>
      </c>
      <c r="E1479" t="s">
        <v>40</v>
      </c>
      <c r="F1479" t="s">
        <v>14</v>
      </c>
      <c r="G1479">
        <v>38.89</v>
      </c>
      <c r="H1479" t="s">
        <v>15</v>
      </c>
      <c r="I1479" t="s">
        <v>36</v>
      </c>
      <c r="J1479" t="s">
        <v>123</v>
      </c>
    </row>
    <row r="1480" spans="1:10" x14ac:dyDescent="0.35">
      <c r="A1480" t="s">
        <v>1658</v>
      </c>
      <c r="B1480" s="10">
        <v>45921</v>
      </c>
      <c r="C1480" t="s">
        <v>19</v>
      </c>
      <c r="D1480" t="s">
        <v>12</v>
      </c>
      <c r="E1480" t="s">
        <v>13</v>
      </c>
      <c r="F1480" t="s">
        <v>14</v>
      </c>
      <c r="G1480">
        <v>110.31</v>
      </c>
      <c r="H1480" t="s">
        <v>15</v>
      </c>
      <c r="I1480" t="s">
        <v>22</v>
      </c>
      <c r="J1480" t="s">
        <v>23</v>
      </c>
    </row>
    <row r="1481" spans="1:10" x14ac:dyDescent="0.35">
      <c r="A1481" t="s">
        <v>1659</v>
      </c>
      <c r="B1481" s="10">
        <v>45921</v>
      </c>
      <c r="C1481" t="s">
        <v>53</v>
      </c>
      <c r="D1481" t="s">
        <v>54</v>
      </c>
      <c r="E1481" t="s">
        <v>55</v>
      </c>
      <c r="F1481" t="s">
        <v>54</v>
      </c>
      <c r="G1481">
        <v>626.59</v>
      </c>
      <c r="H1481" t="s">
        <v>15</v>
      </c>
      <c r="I1481" t="s">
        <v>16</v>
      </c>
      <c r="J1481" t="s">
        <v>56</v>
      </c>
    </row>
    <row r="1482" spans="1:10" x14ac:dyDescent="0.35">
      <c r="A1482" t="s">
        <v>1660</v>
      </c>
      <c r="B1482" s="10">
        <v>45922</v>
      </c>
      <c r="C1482" t="s">
        <v>232</v>
      </c>
      <c r="D1482" t="s">
        <v>69</v>
      </c>
      <c r="E1482" t="s">
        <v>233</v>
      </c>
      <c r="F1482" t="s">
        <v>14</v>
      </c>
      <c r="G1482">
        <v>239.22</v>
      </c>
      <c r="H1482" t="s">
        <v>15</v>
      </c>
      <c r="I1482" t="s">
        <v>22</v>
      </c>
      <c r="J1482" t="s">
        <v>71</v>
      </c>
    </row>
    <row r="1483" spans="1:10" x14ac:dyDescent="0.35">
      <c r="A1483" t="s">
        <v>1661</v>
      </c>
      <c r="B1483" s="10">
        <v>45922</v>
      </c>
      <c r="C1483" t="s">
        <v>50</v>
      </c>
      <c r="D1483" t="s">
        <v>12</v>
      </c>
      <c r="E1483" t="s">
        <v>51</v>
      </c>
      <c r="F1483" t="s">
        <v>14</v>
      </c>
      <c r="G1483">
        <v>19.28</v>
      </c>
      <c r="H1483" t="s">
        <v>15</v>
      </c>
      <c r="I1483" t="s">
        <v>22</v>
      </c>
      <c r="J1483" t="s">
        <v>44</v>
      </c>
    </row>
    <row r="1484" spans="1:10" x14ac:dyDescent="0.35">
      <c r="A1484" t="s">
        <v>1662</v>
      </c>
      <c r="B1484" s="10">
        <v>45922</v>
      </c>
      <c r="C1484" t="s">
        <v>50</v>
      </c>
      <c r="D1484" t="s">
        <v>12</v>
      </c>
      <c r="E1484" t="s">
        <v>51</v>
      </c>
      <c r="F1484" t="s">
        <v>14</v>
      </c>
      <c r="G1484">
        <v>97.52</v>
      </c>
      <c r="H1484" t="s">
        <v>21</v>
      </c>
      <c r="I1484" t="s">
        <v>47</v>
      </c>
      <c r="J1484" t="s">
        <v>44</v>
      </c>
    </row>
    <row r="1485" spans="1:10" x14ac:dyDescent="0.35">
      <c r="A1485" t="s">
        <v>1663</v>
      </c>
      <c r="B1485" s="10">
        <v>45922</v>
      </c>
      <c r="C1485" t="s">
        <v>172</v>
      </c>
      <c r="D1485" t="s">
        <v>101</v>
      </c>
      <c r="E1485" t="s">
        <v>102</v>
      </c>
      <c r="F1485" t="s">
        <v>14</v>
      </c>
      <c r="G1485">
        <v>153.34</v>
      </c>
      <c r="H1485" t="s">
        <v>15</v>
      </c>
      <c r="I1485" t="s">
        <v>47</v>
      </c>
      <c r="J1485" t="s">
        <v>102</v>
      </c>
    </row>
    <row r="1486" spans="1:10" x14ac:dyDescent="0.35">
      <c r="A1486" t="s">
        <v>1664</v>
      </c>
      <c r="B1486" s="10">
        <v>45922</v>
      </c>
      <c r="C1486" t="s">
        <v>130</v>
      </c>
      <c r="D1486" t="s">
        <v>12</v>
      </c>
      <c r="E1486" t="s">
        <v>26</v>
      </c>
      <c r="F1486" t="s">
        <v>14</v>
      </c>
      <c r="G1486">
        <v>50.2</v>
      </c>
      <c r="H1486" t="s">
        <v>15</v>
      </c>
      <c r="I1486" t="s">
        <v>22</v>
      </c>
      <c r="J1486" t="s">
        <v>48</v>
      </c>
    </row>
    <row r="1487" spans="1:10" x14ac:dyDescent="0.35">
      <c r="A1487" t="s">
        <v>1665</v>
      </c>
      <c r="B1487" s="10">
        <v>45922</v>
      </c>
      <c r="C1487" t="s">
        <v>160</v>
      </c>
      <c r="D1487" t="s">
        <v>80</v>
      </c>
      <c r="E1487" t="s">
        <v>117</v>
      </c>
      <c r="F1487" t="s">
        <v>14</v>
      </c>
      <c r="G1487">
        <v>27.5</v>
      </c>
      <c r="H1487" t="s">
        <v>98</v>
      </c>
      <c r="I1487" t="s">
        <v>47</v>
      </c>
      <c r="J1487" t="s">
        <v>161</v>
      </c>
    </row>
    <row r="1488" spans="1:10" x14ac:dyDescent="0.35">
      <c r="A1488" t="s">
        <v>1666</v>
      </c>
      <c r="B1488" s="10">
        <v>45922</v>
      </c>
      <c r="C1488" t="s">
        <v>111</v>
      </c>
      <c r="D1488" t="s">
        <v>12</v>
      </c>
      <c r="E1488" t="s">
        <v>26</v>
      </c>
      <c r="F1488" t="s">
        <v>14</v>
      </c>
      <c r="G1488">
        <v>35.69</v>
      </c>
      <c r="H1488" t="s">
        <v>21</v>
      </c>
      <c r="I1488" t="s">
        <v>22</v>
      </c>
      <c r="J1488" t="s">
        <v>23</v>
      </c>
    </row>
    <row r="1489" spans="1:10" x14ac:dyDescent="0.35">
      <c r="A1489" t="s">
        <v>1667</v>
      </c>
      <c r="B1489" s="10">
        <v>45922</v>
      </c>
      <c r="C1489" t="s">
        <v>175</v>
      </c>
      <c r="D1489" t="s">
        <v>80</v>
      </c>
      <c r="E1489" t="s">
        <v>92</v>
      </c>
      <c r="F1489" t="s">
        <v>14</v>
      </c>
      <c r="G1489">
        <v>250</v>
      </c>
      <c r="H1489" t="s">
        <v>15</v>
      </c>
      <c r="I1489" t="s">
        <v>47</v>
      </c>
      <c r="J1489" t="s">
        <v>141</v>
      </c>
    </row>
    <row r="1490" spans="1:10" x14ac:dyDescent="0.35">
      <c r="A1490" t="s">
        <v>1668</v>
      </c>
      <c r="B1490" s="10">
        <v>45923</v>
      </c>
      <c r="C1490" t="s">
        <v>253</v>
      </c>
      <c r="D1490" t="s">
        <v>29</v>
      </c>
      <c r="E1490" t="s">
        <v>30</v>
      </c>
      <c r="F1490" t="s">
        <v>14</v>
      </c>
      <c r="G1490">
        <v>46.22</v>
      </c>
      <c r="H1490" t="s">
        <v>98</v>
      </c>
      <c r="I1490" t="s">
        <v>36</v>
      </c>
      <c r="J1490" t="s">
        <v>158</v>
      </c>
    </row>
    <row r="1491" spans="1:10" x14ac:dyDescent="0.35">
      <c r="A1491" t="s">
        <v>1669</v>
      </c>
      <c r="B1491" s="10">
        <v>45923</v>
      </c>
      <c r="C1491" t="s">
        <v>50</v>
      </c>
      <c r="D1491" t="s">
        <v>12</v>
      </c>
      <c r="E1491" t="s">
        <v>51</v>
      </c>
      <c r="F1491" t="s">
        <v>14</v>
      </c>
      <c r="G1491">
        <v>36.75</v>
      </c>
      <c r="H1491" t="s">
        <v>21</v>
      </c>
      <c r="I1491" t="s">
        <v>22</v>
      </c>
      <c r="J1491" t="s">
        <v>44</v>
      </c>
    </row>
    <row r="1492" spans="1:10" x14ac:dyDescent="0.35">
      <c r="A1492" t="s">
        <v>1670</v>
      </c>
      <c r="B1492" s="10">
        <v>45923</v>
      </c>
      <c r="C1492" t="s">
        <v>155</v>
      </c>
      <c r="D1492" t="s">
        <v>12</v>
      </c>
      <c r="E1492" t="s">
        <v>51</v>
      </c>
      <c r="F1492" t="s">
        <v>14</v>
      </c>
      <c r="G1492">
        <v>50.89</v>
      </c>
      <c r="H1492" t="s">
        <v>15</v>
      </c>
      <c r="I1492" t="s">
        <v>47</v>
      </c>
      <c r="J1492" t="s">
        <v>48</v>
      </c>
    </row>
    <row r="1493" spans="1:10" x14ac:dyDescent="0.35">
      <c r="A1493" t="s">
        <v>1671</v>
      </c>
      <c r="B1493" s="10">
        <v>45923</v>
      </c>
      <c r="C1493" t="s">
        <v>143</v>
      </c>
      <c r="D1493" t="s">
        <v>54</v>
      </c>
      <c r="E1493" t="s">
        <v>55</v>
      </c>
      <c r="F1493" t="s">
        <v>54</v>
      </c>
      <c r="G1493">
        <v>589.38</v>
      </c>
      <c r="H1493" t="s">
        <v>15</v>
      </c>
      <c r="I1493" t="s">
        <v>47</v>
      </c>
      <c r="J1493" t="s">
        <v>89</v>
      </c>
    </row>
    <row r="1494" spans="1:10" x14ac:dyDescent="0.35">
      <c r="A1494" t="s">
        <v>1672</v>
      </c>
      <c r="B1494" s="10">
        <v>45923</v>
      </c>
      <c r="C1494" t="s">
        <v>194</v>
      </c>
      <c r="D1494" t="s">
        <v>101</v>
      </c>
      <c r="E1494" t="s">
        <v>136</v>
      </c>
      <c r="F1494" t="s">
        <v>14</v>
      </c>
      <c r="G1494">
        <v>69.709999999999994</v>
      </c>
      <c r="H1494" t="s">
        <v>21</v>
      </c>
      <c r="I1494" t="s">
        <v>36</v>
      </c>
      <c r="J1494" t="s">
        <v>103</v>
      </c>
    </row>
    <row r="1495" spans="1:10" x14ac:dyDescent="0.35">
      <c r="A1495" t="s">
        <v>1673</v>
      </c>
      <c r="B1495" s="10">
        <v>45924</v>
      </c>
      <c r="C1495" t="s">
        <v>217</v>
      </c>
      <c r="D1495" t="s">
        <v>80</v>
      </c>
      <c r="E1495" t="s">
        <v>81</v>
      </c>
      <c r="F1495" t="s">
        <v>14</v>
      </c>
      <c r="G1495">
        <v>34.06</v>
      </c>
      <c r="H1495" t="s">
        <v>15</v>
      </c>
      <c r="I1495" t="s">
        <v>22</v>
      </c>
      <c r="J1495" t="s">
        <v>180</v>
      </c>
    </row>
    <row r="1496" spans="1:10" x14ac:dyDescent="0.35">
      <c r="A1496" t="s">
        <v>1674</v>
      </c>
      <c r="B1496" s="10">
        <v>45925</v>
      </c>
      <c r="C1496" t="s">
        <v>63</v>
      </c>
      <c r="D1496" t="s">
        <v>54</v>
      </c>
      <c r="E1496" t="s">
        <v>64</v>
      </c>
      <c r="F1496" t="s">
        <v>54</v>
      </c>
      <c r="G1496">
        <v>360.88</v>
      </c>
      <c r="H1496" t="s">
        <v>15</v>
      </c>
      <c r="I1496" t="s">
        <v>47</v>
      </c>
      <c r="J1496" t="s">
        <v>65</v>
      </c>
    </row>
    <row r="1497" spans="1:10" x14ac:dyDescent="0.35">
      <c r="A1497" t="s">
        <v>1675</v>
      </c>
      <c r="B1497" s="10">
        <v>45925</v>
      </c>
      <c r="C1497" t="s">
        <v>350</v>
      </c>
      <c r="D1497" t="s">
        <v>29</v>
      </c>
      <c r="E1497" t="s">
        <v>151</v>
      </c>
      <c r="F1497" t="s">
        <v>14</v>
      </c>
      <c r="G1497">
        <v>26.35</v>
      </c>
      <c r="H1497" t="s">
        <v>15</v>
      </c>
      <c r="I1497" t="s">
        <v>47</v>
      </c>
      <c r="J1497" t="s">
        <v>158</v>
      </c>
    </row>
    <row r="1498" spans="1:10" x14ac:dyDescent="0.35">
      <c r="A1498" t="s">
        <v>1676</v>
      </c>
      <c r="B1498" s="10">
        <v>45925</v>
      </c>
      <c r="C1498" t="s">
        <v>143</v>
      </c>
      <c r="D1498" t="s">
        <v>54</v>
      </c>
      <c r="E1498" t="s">
        <v>55</v>
      </c>
      <c r="F1498" t="s">
        <v>54</v>
      </c>
      <c r="G1498">
        <v>669.16</v>
      </c>
      <c r="H1498" t="s">
        <v>15</v>
      </c>
      <c r="I1498" t="s">
        <v>22</v>
      </c>
      <c r="J1498" t="s">
        <v>89</v>
      </c>
    </row>
    <row r="1499" spans="1:10" x14ac:dyDescent="0.35">
      <c r="A1499" t="s">
        <v>1677</v>
      </c>
      <c r="B1499" s="10">
        <v>45925</v>
      </c>
      <c r="C1499" t="s">
        <v>163</v>
      </c>
      <c r="D1499" t="s">
        <v>80</v>
      </c>
      <c r="E1499" t="s">
        <v>92</v>
      </c>
      <c r="F1499" t="s">
        <v>14</v>
      </c>
      <c r="G1499">
        <v>163.41</v>
      </c>
      <c r="H1499" t="s">
        <v>15</v>
      </c>
      <c r="I1499" t="s">
        <v>22</v>
      </c>
      <c r="J1499" t="s">
        <v>118</v>
      </c>
    </row>
    <row r="1500" spans="1:10" x14ac:dyDescent="0.35">
      <c r="A1500" t="s">
        <v>1678</v>
      </c>
      <c r="B1500" s="10">
        <v>45925</v>
      </c>
      <c r="C1500" t="s">
        <v>179</v>
      </c>
      <c r="D1500" t="s">
        <v>80</v>
      </c>
      <c r="E1500" t="s">
        <v>117</v>
      </c>
      <c r="F1500" t="s">
        <v>14</v>
      </c>
      <c r="G1500">
        <v>108.48</v>
      </c>
      <c r="H1500" t="s">
        <v>15</v>
      </c>
      <c r="I1500" t="s">
        <v>22</v>
      </c>
      <c r="J1500" t="s">
        <v>180</v>
      </c>
    </row>
    <row r="1501" spans="1:10" x14ac:dyDescent="0.35">
      <c r="A1501" t="s">
        <v>1679</v>
      </c>
      <c r="B1501" s="10">
        <v>45925</v>
      </c>
      <c r="C1501" t="s">
        <v>875</v>
      </c>
      <c r="D1501" t="s">
        <v>69</v>
      </c>
      <c r="E1501" t="s">
        <v>291</v>
      </c>
      <c r="F1501" t="s">
        <v>14</v>
      </c>
      <c r="G1501">
        <v>122.21</v>
      </c>
      <c r="H1501" t="s">
        <v>15</v>
      </c>
      <c r="I1501" t="s">
        <v>16</v>
      </c>
      <c r="J1501" t="s">
        <v>133</v>
      </c>
    </row>
    <row r="1502" spans="1:10" x14ac:dyDescent="0.35">
      <c r="A1502" t="s">
        <v>1680</v>
      </c>
      <c r="B1502" s="10">
        <v>45925</v>
      </c>
      <c r="C1502" t="s">
        <v>79</v>
      </c>
      <c r="D1502" t="s">
        <v>80</v>
      </c>
      <c r="E1502" t="s">
        <v>81</v>
      </c>
      <c r="F1502" t="s">
        <v>14</v>
      </c>
      <c r="G1502">
        <v>49.66</v>
      </c>
      <c r="H1502" t="s">
        <v>15</v>
      </c>
      <c r="I1502" t="s">
        <v>16</v>
      </c>
      <c r="J1502" t="s">
        <v>82</v>
      </c>
    </row>
    <row r="1503" spans="1:10" x14ac:dyDescent="0.35">
      <c r="A1503" t="s">
        <v>1681</v>
      </c>
      <c r="B1503" s="10">
        <v>45926</v>
      </c>
      <c r="C1503" t="s">
        <v>140</v>
      </c>
      <c r="D1503" t="s">
        <v>80</v>
      </c>
      <c r="E1503" t="s">
        <v>81</v>
      </c>
      <c r="F1503" t="s">
        <v>14</v>
      </c>
      <c r="G1503">
        <v>199.56</v>
      </c>
      <c r="H1503" t="s">
        <v>15</v>
      </c>
      <c r="I1503" t="s">
        <v>22</v>
      </c>
      <c r="J1503" t="s">
        <v>141</v>
      </c>
    </row>
    <row r="1504" spans="1:10" x14ac:dyDescent="0.35">
      <c r="A1504" t="s">
        <v>1682</v>
      </c>
      <c r="B1504" s="10">
        <v>45926</v>
      </c>
      <c r="C1504" t="s">
        <v>415</v>
      </c>
      <c r="D1504" t="s">
        <v>12</v>
      </c>
      <c r="E1504" t="s">
        <v>51</v>
      </c>
      <c r="F1504" t="s">
        <v>14</v>
      </c>
      <c r="G1504">
        <v>35.58</v>
      </c>
      <c r="H1504" t="s">
        <v>15</v>
      </c>
      <c r="I1504" t="s">
        <v>22</v>
      </c>
      <c r="J1504" t="s">
        <v>77</v>
      </c>
    </row>
    <row r="1505" spans="1:10" x14ac:dyDescent="0.35">
      <c r="A1505" t="s">
        <v>1683</v>
      </c>
      <c r="B1505" s="10">
        <v>45926</v>
      </c>
      <c r="C1505" t="s">
        <v>109</v>
      </c>
      <c r="D1505" t="s">
        <v>34</v>
      </c>
      <c r="E1505" t="s">
        <v>35</v>
      </c>
      <c r="F1505" t="s">
        <v>14</v>
      </c>
      <c r="G1505">
        <v>211.93</v>
      </c>
      <c r="H1505" t="s">
        <v>21</v>
      </c>
      <c r="I1505" t="s">
        <v>22</v>
      </c>
      <c r="J1505" t="s">
        <v>41</v>
      </c>
    </row>
    <row r="1506" spans="1:10" x14ac:dyDescent="0.35">
      <c r="A1506" t="s">
        <v>1684</v>
      </c>
      <c r="B1506" s="10">
        <v>45926</v>
      </c>
      <c r="C1506" t="s">
        <v>79</v>
      </c>
      <c r="D1506" t="s">
        <v>80</v>
      </c>
      <c r="E1506" t="s">
        <v>81</v>
      </c>
      <c r="F1506" t="s">
        <v>14</v>
      </c>
      <c r="G1506">
        <v>21.54</v>
      </c>
      <c r="H1506" t="s">
        <v>21</v>
      </c>
      <c r="I1506" t="s">
        <v>36</v>
      </c>
      <c r="J1506" t="s">
        <v>82</v>
      </c>
    </row>
    <row r="1507" spans="1:10" x14ac:dyDescent="0.35">
      <c r="A1507" t="s">
        <v>1685</v>
      </c>
      <c r="B1507" s="10">
        <v>45926</v>
      </c>
      <c r="C1507" t="s">
        <v>281</v>
      </c>
      <c r="D1507" t="s">
        <v>34</v>
      </c>
      <c r="E1507" t="s">
        <v>40</v>
      </c>
      <c r="F1507" t="s">
        <v>14</v>
      </c>
      <c r="G1507">
        <v>140.13999999999999</v>
      </c>
      <c r="H1507" t="s">
        <v>15</v>
      </c>
      <c r="I1507" t="s">
        <v>36</v>
      </c>
      <c r="J1507" t="s">
        <v>123</v>
      </c>
    </row>
    <row r="1508" spans="1:10" x14ac:dyDescent="0.35">
      <c r="A1508" t="s">
        <v>1686</v>
      </c>
      <c r="B1508" s="10">
        <v>45926</v>
      </c>
      <c r="C1508" t="s">
        <v>19</v>
      </c>
      <c r="D1508" t="s">
        <v>12</v>
      </c>
      <c r="E1508" t="s">
        <v>13</v>
      </c>
      <c r="F1508" t="s">
        <v>14</v>
      </c>
      <c r="G1508">
        <v>180</v>
      </c>
      <c r="H1508" t="s">
        <v>15</v>
      </c>
      <c r="I1508" t="s">
        <v>22</v>
      </c>
      <c r="J1508" t="s">
        <v>23</v>
      </c>
    </row>
    <row r="1509" spans="1:10" x14ac:dyDescent="0.35">
      <c r="A1509" t="s">
        <v>1687</v>
      </c>
      <c r="B1509" s="10">
        <v>45926</v>
      </c>
      <c r="C1509" t="s">
        <v>395</v>
      </c>
      <c r="D1509" t="s">
        <v>69</v>
      </c>
      <c r="E1509" t="s">
        <v>291</v>
      </c>
      <c r="F1509" t="s">
        <v>14</v>
      </c>
      <c r="G1509">
        <v>189.97</v>
      </c>
      <c r="H1509" t="s">
        <v>21</v>
      </c>
      <c r="I1509" t="s">
        <v>22</v>
      </c>
      <c r="J1509" t="s">
        <v>396</v>
      </c>
    </row>
    <row r="1510" spans="1:10" x14ac:dyDescent="0.35">
      <c r="A1510" t="s">
        <v>1688</v>
      </c>
      <c r="B1510" s="10">
        <v>45926</v>
      </c>
      <c r="C1510" t="s">
        <v>91</v>
      </c>
      <c r="D1510" t="s">
        <v>80</v>
      </c>
      <c r="E1510" t="s">
        <v>92</v>
      </c>
      <c r="F1510" t="s">
        <v>14</v>
      </c>
      <c r="G1510">
        <v>56.27</v>
      </c>
      <c r="H1510" t="s">
        <v>21</v>
      </c>
      <c r="I1510" t="s">
        <v>22</v>
      </c>
      <c r="J1510" t="s">
        <v>82</v>
      </c>
    </row>
    <row r="1511" spans="1:10" x14ac:dyDescent="0.35">
      <c r="A1511" t="s">
        <v>1689</v>
      </c>
      <c r="B1511" s="10">
        <v>45926</v>
      </c>
      <c r="C1511" t="s">
        <v>189</v>
      </c>
      <c r="D1511" t="s">
        <v>34</v>
      </c>
      <c r="E1511" t="s">
        <v>122</v>
      </c>
      <c r="F1511" t="s">
        <v>14</v>
      </c>
      <c r="G1511">
        <v>163.41</v>
      </c>
      <c r="H1511" t="s">
        <v>15</v>
      </c>
      <c r="I1511" t="s">
        <v>16</v>
      </c>
      <c r="J1511" t="s">
        <v>37</v>
      </c>
    </row>
    <row r="1512" spans="1:10" x14ac:dyDescent="0.35">
      <c r="A1512" t="s">
        <v>1690</v>
      </c>
      <c r="B1512" s="10">
        <v>45926</v>
      </c>
      <c r="C1512" t="s">
        <v>194</v>
      </c>
      <c r="D1512" t="s">
        <v>101</v>
      </c>
      <c r="E1512" t="s">
        <v>136</v>
      </c>
      <c r="F1512" t="s">
        <v>14</v>
      </c>
      <c r="G1512">
        <v>152.93</v>
      </c>
      <c r="H1512" t="s">
        <v>21</v>
      </c>
      <c r="I1512" t="s">
        <v>22</v>
      </c>
      <c r="J1512" t="s">
        <v>103</v>
      </c>
    </row>
    <row r="1513" spans="1:10" x14ac:dyDescent="0.35">
      <c r="A1513" t="s">
        <v>1691</v>
      </c>
      <c r="B1513" s="10">
        <v>45926</v>
      </c>
      <c r="C1513" t="s">
        <v>138</v>
      </c>
      <c r="D1513" t="s">
        <v>12</v>
      </c>
      <c r="E1513" t="s">
        <v>26</v>
      </c>
      <c r="F1513" t="s">
        <v>14</v>
      </c>
      <c r="G1513">
        <v>54.84</v>
      </c>
      <c r="H1513" t="s">
        <v>21</v>
      </c>
      <c r="I1513" t="s">
        <v>47</v>
      </c>
      <c r="J1513" t="s">
        <v>77</v>
      </c>
    </row>
    <row r="1514" spans="1:10" x14ac:dyDescent="0.35">
      <c r="A1514" t="s">
        <v>1692</v>
      </c>
      <c r="B1514" s="10">
        <v>45927</v>
      </c>
      <c r="C1514" t="s">
        <v>184</v>
      </c>
      <c r="D1514" t="s">
        <v>59</v>
      </c>
      <c r="E1514" t="s">
        <v>185</v>
      </c>
      <c r="F1514" t="s">
        <v>14</v>
      </c>
      <c r="G1514">
        <v>337.05</v>
      </c>
      <c r="H1514" t="s">
        <v>98</v>
      </c>
      <c r="I1514" t="s">
        <v>47</v>
      </c>
      <c r="J1514" t="s">
        <v>61</v>
      </c>
    </row>
    <row r="1515" spans="1:10" x14ac:dyDescent="0.35">
      <c r="A1515" t="s">
        <v>1693</v>
      </c>
      <c r="B1515" s="10">
        <v>45927</v>
      </c>
      <c r="C1515" t="s">
        <v>308</v>
      </c>
      <c r="D1515" t="s">
        <v>54</v>
      </c>
      <c r="E1515" t="s">
        <v>64</v>
      </c>
      <c r="F1515" t="s">
        <v>54</v>
      </c>
      <c r="G1515">
        <v>356.18</v>
      </c>
      <c r="H1515" t="s">
        <v>15</v>
      </c>
      <c r="I1515" t="s">
        <v>22</v>
      </c>
      <c r="J1515" t="s">
        <v>89</v>
      </c>
    </row>
    <row r="1516" spans="1:10" x14ac:dyDescent="0.35">
      <c r="A1516" t="s">
        <v>1694</v>
      </c>
      <c r="B1516" s="10">
        <v>45927</v>
      </c>
      <c r="C1516" t="s">
        <v>331</v>
      </c>
      <c r="D1516" t="s">
        <v>29</v>
      </c>
      <c r="E1516" t="s">
        <v>95</v>
      </c>
      <c r="F1516" t="s">
        <v>14</v>
      </c>
      <c r="G1516">
        <v>41.53</v>
      </c>
      <c r="H1516" t="s">
        <v>21</v>
      </c>
      <c r="I1516" t="s">
        <v>16</v>
      </c>
      <c r="J1516" t="s">
        <v>151</v>
      </c>
    </row>
    <row r="1517" spans="1:10" x14ac:dyDescent="0.35">
      <c r="A1517" t="s">
        <v>1695</v>
      </c>
      <c r="B1517" s="10">
        <v>45927</v>
      </c>
      <c r="C1517" t="s">
        <v>232</v>
      </c>
      <c r="D1517" t="s">
        <v>69</v>
      </c>
      <c r="E1517" t="s">
        <v>233</v>
      </c>
      <c r="F1517" t="s">
        <v>14</v>
      </c>
      <c r="G1517">
        <v>99.53</v>
      </c>
      <c r="H1517" t="s">
        <v>15</v>
      </c>
      <c r="I1517" t="s">
        <v>22</v>
      </c>
      <c r="J1517" t="s">
        <v>71</v>
      </c>
    </row>
    <row r="1518" spans="1:10" x14ac:dyDescent="0.35">
      <c r="A1518" t="s">
        <v>1696</v>
      </c>
      <c r="B1518" s="10">
        <v>45928</v>
      </c>
      <c r="C1518" t="s">
        <v>19</v>
      </c>
      <c r="D1518" t="s">
        <v>12</v>
      </c>
      <c r="E1518" t="s">
        <v>13</v>
      </c>
      <c r="F1518" t="s">
        <v>14</v>
      </c>
      <c r="G1518">
        <v>94</v>
      </c>
      <c r="H1518" t="s">
        <v>15</v>
      </c>
      <c r="I1518" t="s">
        <v>22</v>
      </c>
      <c r="J1518" t="s">
        <v>23</v>
      </c>
    </row>
    <row r="1519" spans="1:10" x14ac:dyDescent="0.35">
      <c r="A1519" t="s">
        <v>1697</v>
      </c>
      <c r="B1519" s="10">
        <v>45928</v>
      </c>
      <c r="C1519" t="s">
        <v>153</v>
      </c>
      <c r="D1519" t="s">
        <v>34</v>
      </c>
      <c r="E1519" t="s">
        <v>122</v>
      </c>
      <c r="F1519" t="s">
        <v>14</v>
      </c>
      <c r="G1519">
        <v>124.7</v>
      </c>
      <c r="H1519" t="s">
        <v>15</v>
      </c>
      <c r="I1519" t="s">
        <v>22</v>
      </c>
      <c r="J1519" t="s">
        <v>41</v>
      </c>
    </row>
    <row r="1520" spans="1:10" x14ac:dyDescent="0.35">
      <c r="A1520" t="s">
        <v>1698</v>
      </c>
      <c r="B1520" s="10">
        <v>45928</v>
      </c>
      <c r="C1520" t="s">
        <v>251</v>
      </c>
      <c r="D1520" t="s">
        <v>29</v>
      </c>
      <c r="E1520" t="s">
        <v>151</v>
      </c>
      <c r="F1520" t="s">
        <v>14</v>
      </c>
      <c r="G1520">
        <v>55.24</v>
      </c>
      <c r="H1520" t="s">
        <v>98</v>
      </c>
      <c r="I1520" t="s">
        <v>36</v>
      </c>
      <c r="J1520" t="s">
        <v>31</v>
      </c>
    </row>
    <row r="1521" spans="1:10" x14ac:dyDescent="0.35">
      <c r="A1521" t="s">
        <v>1699</v>
      </c>
      <c r="B1521" s="10">
        <v>45928</v>
      </c>
      <c r="C1521" t="s">
        <v>424</v>
      </c>
      <c r="D1521" t="s">
        <v>101</v>
      </c>
      <c r="E1521" t="s">
        <v>136</v>
      </c>
      <c r="F1521" t="s">
        <v>14</v>
      </c>
      <c r="G1521">
        <v>30.47</v>
      </c>
      <c r="H1521" t="s">
        <v>21</v>
      </c>
      <c r="I1521" t="s">
        <v>36</v>
      </c>
      <c r="J1521" t="s">
        <v>102</v>
      </c>
    </row>
    <row r="1522" spans="1:10" x14ac:dyDescent="0.35">
      <c r="A1522" t="s">
        <v>1700</v>
      </c>
      <c r="B1522" s="10">
        <v>45928</v>
      </c>
      <c r="C1522" t="s">
        <v>58</v>
      </c>
      <c r="D1522" t="s">
        <v>59</v>
      </c>
      <c r="E1522" t="s">
        <v>60</v>
      </c>
      <c r="F1522" t="s">
        <v>14</v>
      </c>
      <c r="G1522">
        <v>426.34</v>
      </c>
      <c r="H1522" t="s">
        <v>21</v>
      </c>
      <c r="I1522" t="s">
        <v>36</v>
      </c>
      <c r="J1522" t="s">
        <v>61</v>
      </c>
    </row>
    <row r="1523" spans="1:10" x14ac:dyDescent="0.35">
      <c r="A1523" t="s">
        <v>1701</v>
      </c>
      <c r="B1523" s="10">
        <v>45928</v>
      </c>
      <c r="C1523" t="s">
        <v>734</v>
      </c>
      <c r="D1523" t="s">
        <v>69</v>
      </c>
      <c r="E1523" t="s">
        <v>291</v>
      </c>
      <c r="F1523" t="s">
        <v>14</v>
      </c>
      <c r="G1523">
        <v>130.44999999999999</v>
      </c>
      <c r="H1523" t="s">
        <v>15</v>
      </c>
      <c r="I1523" t="s">
        <v>36</v>
      </c>
      <c r="J1523" t="s">
        <v>71</v>
      </c>
    </row>
    <row r="1524" spans="1:10" x14ac:dyDescent="0.35">
      <c r="A1524" t="s">
        <v>1702</v>
      </c>
      <c r="B1524" s="10">
        <v>45928</v>
      </c>
      <c r="C1524" t="s">
        <v>130</v>
      </c>
      <c r="D1524" t="s">
        <v>12</v>
      </c>
      <c r="E1524" t="s">
        <v>26</v>
      </c>
      <c r="F1524" t="s">
        <v>14</v>
      </c>
      <c r="G1524">
        <v>28.82</v>
      </c>
      <c r="H1524" t="s">
        <v>21</v>
      </c>
      <c r="I1524" t="s">
        <v>36</v>
      </c>
      <c r="J1524" t="s">
        <v>48</v>
      </c>
    </row>
    <row r="1525" spans="1:10" x14ac:dyDescent="0.35">
      <c r="A1525" t="s">
        <v>1703</v>
      </c>
      <c r="B1525" s="10">
        <v>45928</v>
      </c>
      <c r="C1525" t="s">
        <v>345</v>
      </c>
      <c r="D1525" t="s">
        <v>59</v>
      </c>
      <c r="E1525" t="s">
        <v>60</v>
      </c>
      <c r="F1525" t="s">
        <v>14</v>
      </c>
      <c r="G1525">
        <v>950</v>
      </c>
      <c r="H1525" t="s">
        <v>15</v>
      </c>
      <c r="I1525" t="s">
        <v>22</v>
      </c>
      <c r="J1525" t="s">
        <v>211</v>
      </c>
    </row>
    <row r="1526" spans="1:10" x14ac:dyDescent="0.35">
      <c r="A1526" t="s">
        <v>1704</v>
      </c>
      <c r="B1526" s="10">
        <v>45929</v>
      </c>
      <c r="C1526" t="s">
        <v>269</v>
      </c>
      <c r="D1526" t="s">
        <v>34</v>
      </c>
      <c r="E1526" t="s">
        <v>35</v>
      </c>
      <c r="F1526" t="s">
        <v>14</v>
      </c>
      <c r="G1526">
        <v>78.8</v>
      </c>
      <c r="H1526" t="s">
        <v>15</v>
      </c>
      <c r="I1526" t="s">
        <v>36</v>
      </c>
      <c r="J1526" t="s">
        <v>123</v>
      </c>
    </row>
    <row r="1527" spans="1:10" x14ac:dyDescent="0.35">
      <c r="A1527" t="s">
        <v>1705</v>
      </c>
      <c r="B1527" s="10">
        <v>45929</v>
      </c>
      <c r="C1527" t="s">
        <v>19</v>
      </c>
      <c r="D1527" t="s">
        <v>12</v>
      </c>
      <c r="E1527" t="s">
        <v>13</v>
      </c>
      <c r="F1527" t="s">
        <v>14</v>
      </c>
      <c r="G1527">
        <v>79.97</v>
      </c>
      <c r="H1527" t="s">
        <v>21</v>
      </c>
      <c r="I1527" t="s">
        <v>36</v>
      </c>
      <c r="J1527" t="s">
        <v>23</v>
      </c>
    </row>
    <row r="1528" spans="1:10" x14ac:dyDescent="0.35">
      <c r="A1528" t="s">
        <v>1706</v>
      </c>
      <c r="B1528" s="10">
        <v>45929</v>
      </c>
      <c r="C1528" t="s">
        <v>25</v>
      </c>
      <c r="D1528" t="s">
        <v>12</v>
      </c>
      <c r="E1528" t="s">
        <v>26</v>
      </c>
      <c r="F1528" t="s">
        <v>14</v>
      </c>
      <c r="G1528">
        <v>42.54</v>
      </c>
      <c r="H1528" t="s">
        <v>21</v>
      </c>
      <c r="I1528" t="s">
        <v>36</v>
      </c>
      <c r="J1528" t="s">
        <v>17</v>
      </c>
    </row>
    <row r="1529" spans="1:10" x14ac:dyDescent="0.35">
      <c r="A1529" t="s">
        <v>1707</v>
      </c>
      <c r="B1529" s="10">
        <v>45929</v>
      </c>
      <c r="C1529" t="s">
        <v>88</v>
      </c>
      <c r="D1529" t="s">
        <v>54</v>
      </c>
      <c r="E1529" t="s">
        <v>74</v>
      </c>
      <c r="F1529" t="s">
        <v>54</v>
      </c>
      <c r="G1529">
        <v>2629.4</v>
      </c>
      <c r="H1529" t="s">
        <v>98</v>
      </c>
      <c r="I1529" t="s">
        <v>22</v>
      </c>
      <c r="J1529" t="s">
        <v>89</v>
      </c>
    </row>
    <row r="1530" spans="1:10" x14ac:dyDescent="0.35">
      <c r="A1530" t="s">
        <v>1708</v>
      </c>
      <c r="B1530" s="10">
        <v>45929</v>
      </c>
      <c r="C1530" t="s">
        <v>153</v>
      </c>
      <c r="D1530" t="s">
        <v>34</v>
      </c>
      <c r="E1530" t="s">
        <v>122</v>
      </c>
      <c r="F1530" t="s">
        <v>14</v>
      </c>
      <c r="G1530">
        <v>229.07</v>
      </c>
      <c r="H1530" t="s">
        <v>15</v>
      </c>
      <c r="I1530" t="s">
        <v>22</v>
      </c>
      <c r="J1530" t="s">
        <v>41</v>
      </c>
    </row>
    <row r="1531" spans="1:10" x14ac:dyDescent="0.35">
      <c r="A1531" t="s">
        <v>1709</v>
      </c>
      <c r="B1531" s="10">
        <v>45929</v>
      </c>
      <c r="C1531" t="s">
        <v>177</v>
      </c>
      <c r="D1531" t="s">
        <v>54</v>
      </c>
      <c r="E1531" t="s">
        <v>74</v>
      </c>
      <c r="F1531" t="s">
        <v>54</v>
      </c>
      <c r="G1531">
        <v>2879.85</v>
      </c>
      <c r="H1531" t="s">
        <v>98</v>
      </c>
      <c r="I1531" t="s">
        <v>47</v>
      </c>
      <c r="J1531" t="s">
        <v>56</v>
      </c>
    </row>
    <row r="1532" spans="1:10" x14ac:dyDescent="0.35">
      <c r="A1532" t="s">
        <v>1710</v>
      </c>
      <c r="B1532" s="10">
        <v>45930</v>
      </c>
      <c r="C1532" t="s">
        <v>155</v>
      </c>
      <c r="D1532" t="s">
        <v>12</v>
      </c>
      <c r="E1532" t="s">
        <v>51</v>
      </c>
      <c r="F1532" t="s">
        <v>14</v>
      </c>
      <c r="G1532">
        <v>179.95</v>
      </c>
      <c r="H1532" t="s">
        <v>21</v>
      </c>
      <c r="I1532" t="s">
        <v>36</v>
      </c>
      <c r="J1532" t="s">
        <v>48</v>
      </c>
    </row>
    <row r="1533" spans="1:10" x14ac:dyDescent="0.35">
      <c r="A1533" t="s">
        <v>1711</v>
      </c>
      <c r="B1533" s="10">
        <v>45930</v>
      </c>
      <c r="C1533" t="s">
        <v>43</v>
      </c>
      <c r="D1533" t="s">
        <v>12</v>
      </c>
      <c r="E1533" t="s">
        <v>26</v>
      </c>
      <c r="F1533" t="s">
        <v>14</v>
      </c>
      <c r="G1533">
        <v>27.52</v>
      </c>
      <c r="H1533" t="s">
        <v>15</v>
      </c>
      <c r="I1533" t="s">
        <v>22</v>
      </c>
      <c r="J1533" t="s">
        <v>44</v>
      </c>
    </row>
    <row r="1534" spans="1:10" x14ac:dyDescent="0.35">
      <c r="A1534" t="s">
        <v>1712</v>
      </c>
      <c r="B1534" s="10">
        <v>45930</v>
      </c>
      <c r="C1534" t="s">
        <v>73</v>
      </c>
      <c r="D1534" t="s">
        <v>54</v>
      </c>
      <c r="E1534" t="s">
        <v>74</v>
      </c>
      <c r="F1534" t="s">
        <v>54</v>
      </c>
      <c r="G1534">
        <v>2248.77</v>
      </c>
      <c r="H1534" t="s">
        <v>15</v>
      </c>
      <c r="I1534" t="s">
        <v>22</v>
      </c>
      <c r="J1534" t="s">
        <v>65</v>
      </c>
    </row>
    <row r="1535" spans="1:10" x14ac:dyDescent="0.35">
      <c r="A1535" t="s">
        <v>1713</v>
      </c>
      <c r="B1535" s="10">
        <v>45930</v>
      </c>
      <c r="C1535" t="s">
        <v>272</v>
      </c>
      <c r="D1535" t="s">
        <v>54</v>
      </c>
      <c r="E1535" t="s">
        <v>55</v>
      </c>
      <c r="F1535" t="s">
        <v>54</v>
      </c>
      <c r="G1535">
        <v>795.94</v>
      </c>
      <c r="H1535" t="s">
        <v>21</v>
      </c>
      <c r="I1535" t="s">
        <v>36</v>
      </c>
      <c r="J1535" t="s">
        <v>65</v>
      </c>
    </row>
    <row r="1536" spans="1:10" x14ac:dyDescent="0.35">
      <c r="A1536" t="s">
        <v>1714</v>
      </c>
      <c r="B1536" s="10">
        <v>45930</v>
      </c>
      <c r="C1536" t="s">
        <v>100</v>
      </c>
      <c r="D1536" t="s">
        <v>101</v>
      </c>
      <c r="E1536" t="s">
        <v>102</v>
      </c>
      <c r="F1536" t="s">
        <v>14</v>
      </c>
      <c r="G1536">
        <v>46.71</v>
      </c>
      <c r="H1536" t="s">
        <v>21</v>
      </c>
      <c r="I1536" t="s">
        <v>47</v>
      </c>
      <c r="J1536" t="s">
        <v>103</v>
      </c>
    </row>
    <row r="1537" spans="1:10" x14ac:dyDescent="0.35">
      <c r="A1537" t="s">
        <v>1715</v>
      </c>
      <c r="B1537" s="10">
        <v>45930</v>
      </c>
      <c r="C1537" t="s">
        <v>172</v>
      </c>
      <c r="D1537" t="s">
        <v>101</v>
      </c>
      <c r="E1537" t="s">
        <v>102</v>
      </c>
      <c r="F1537" t="s">
        <v>14</v>
      </c>
      <c r="G1537">
        <v>33.130000000000003</v>
      </c>
      <c r="H1537" t="s">
        <v>15</v>
      </c>
      <c r="I1537" t="s">
        <v>47</v>
      </c>
      <c r="J1537" t="s">
        <v>102</v>
      </c>
    </row>
    <row r="1538" spans="1:10" x14ac:dyDescent="0.35">
      <c r="A1538" t="s">
        <v>1716</v>
      </c>
      <c r="B1538" s="10">
        <v>45931</v>
      </c>
      <c r="C1538" t="s">
        <v>464</v>
      </c>
      <c r="D1538" t="s">
        <v>34</v>
      </c>
      <c r="E1538" t="s">
        <v>122</v>
      </c>
      <c r="F1538" t="s">
        <v>14</v>
      </c>
      <c r="G1538">
        <v>45.98</v>
      </c>
      <c r="H1538" t="s">
        <v>98</v>
      </c>
      <c r="I1538" t="s">
        <v>36</v>
      </c>
      <c r="J1538" t="s">
        <v>239</v>
      </c>
    </row>
    <row r="1539" spans="1:10" x14ac:dyDescent="0.35">
      <c r="A1539" t="s">
        <v>1717</v>
      </c>
      <c r="B1539" s="10">
        <v>45931</v>
      </c>
      <c r="C1539" t="s">
        <v>572</v>
      </c>
      <c r="D1539" t="s">
        <v>69</v>
      </c>
      <c r="E1539" t="s">
        <v>233</v>
      </c>
      <c r="F1539" t="s">
        <v>14</v>
      </c>
      <c r="G1539">
        <v>302.52</v>
      </c>
      <c r="H1539" t="s">
        <v>21</v>
      </c>
      <c r="I1539" t="s">
        <v>36</v>
      </c>
      <c r="J1539" t="s">
        <v>292</v>
      </c>
    </row>
    <row r="1540" spans="1:10" x14ac:dyDescent="0.35">
      <c r="A1540" t="s">
        <v>1718</v>
      </c>
      <c r="B1540" s="10">
        <v>45931</v>
      </c>
      <c r="C1540" t="s">
        <v>177</v>
      </c>
      <c r="D1540" t="s">
        <v>54</v>
      </c>
      <c r="E1540" t="s">
        <v>74</v>
      </c>
      <c r="F1540" t="s">
        <v>54</v>
      </c>
      <c r="G1540">
        <v>2864.42</v>
      </c>
      <c r="H1540" t="s">
        <v>15</v>
      </c>
      <c r="I1540" t="s">
        <v>36</v>
      </c>
      <c r="J1540" t="s">
        <v>56</v>
      </c>
    </row>
    <row r="1541" spans="1:10" x14ac:dyDescent="0.35">
      <c r="A1541" t="s">
        <v>1719</v>
      </c>
      <c r="B1541" s="10">
        <v>45931</v>
      </c>
      <c r="C1541" t="s">
        <v>125</v>
      </c>
      <c r="D1541" t="s">
        <v>12</v>
      </c>
      <c r="E1541" t="s">
        <v>13</v>
      </c>
      <c r="F1541" t="s">
        <v>14</v>
      </c>
      <c r="G1541">
        <v>16.350000000000001</v>
      </c>
      <c r="H1541" t="s">
        <v>21</v>
      </c>
      <c r="I1541" t="s">
        <v>36</v>
      </c>
      <c r="J1541" t="s">
        <v>44</v>
      </c>
    </row>
    <row r="1542" spans="1:10" x14ac:dyDescent="0.35">
      <c r="A1542" t="s">
        <v>1720</v>
      </c>
      <c r="B1542" s="10">
        <v>45931</v>
      </c>
      <c r="C1542" t="s">
        <v>198</v>
      </c>
      <c r="D1542" t="s">
        <v>59</v>
      </c>
      <c r="E1542" t="s">
        <v>199</v>
      </c>
      <c r="F1542" t="s">
        <v>14</v>
      </c>
      <c r="G1542">
        <v>129.5</v>
      </c>
      <c r="H1542" t="s">
        <v>15</v>
      </c>
      <c r="I1542" t="s">
        <v>36</v>
      </c>
      <c r="J1542" t="s">
        <v>61</v>
      </c>
    </row>
    <row r="1543" spans="1:10" x14ac:dyDescent="0.35">
      <c r="A1543" t="s">
        <v>1721</v>
      </c>
      <c r="B1543" s="10">
        <v>45932</v>
      </c>
      <c r="C1543" t="s">
        <v>177</v>
      </c>
      <c r="D1543" t="s">
        <v>54</v>
      </c>
      <c r="E1543" t="s">
        <v>74</v>
      </c>
      <c r="F1543" t="s">
        <v>54</v>
      </c>
      <c r="G1543">
        <v>2522.4299999999998</v>
      </c>
      <c r="H1543" t="s">
        <v>15</v>
      </c>
      <c r="I1543" t="s">
        <v>47</v>
      </c>
      <c r="J1543" t="s">
        <v>56</v>
      </c>
    </row>
    <row r="1544" spans="1:10" x14ac:dyDescent="0.35">
      <c r="A1544" t="s">
        <v>1722</v>
      </c>
      <c r="B1544" s="10">
        <v>45932</v>
      </c>
      <c r="C1544" t="s">
        <v>345</v>
      </c>
      <c r="D1544" t="s">
        <v>59</v>
      </c>
      <c r="E1544" t="s">
        <v>60</v>
      </c>
      <c r="F1544" t="s">
        <v>14</v>
      </c>
      <c r="G1544">
        <v>182.72</v>
      </c>
      <c r="H1544" t="s">
        <v>21</v>
      </c>
      <c r="I1544" t="s">
        <v>22</v>
      </c>
      <c r="J1544" t="s">
        <v>211</v>
      </c>
    </row>
    <row r="1545" spans="1:10" x14ac:dyDescent="0.35">
      <c r="A1545" t="s">
        <v>1723</v>
      </c>
      <c r="B1545" s="10">
        <v>45932</v>
      </c>
      <c r="C1545" t="s">
        <v>143</v>
      </c>
      <c r="D1545" t="s">
        <v>54</v>
      </c>
      <c r="E1545" t="s">
        <v>55</v>
      </c>
      <c r="F1545" t="s">
        <v>54</v>
      </c>
      <c r="G1545">
        <v>737.74</v>
      </c>
      <c r="H1545" t="s">
        <v>15</v>
      </c>
      <c r="I1545" t="s">
        <v>47</v>
      </c>
      <c r="J1545" t="s">
        <v>89</v>
      </c>
    </row>
    <row r="1546" spans="1:10" x14ac:dyDescent="0.35">
      <c r="A1546" t="s">
        <v>1724</v>
      </c>
      <c r="B1546" s="10">
        <v>45932</v>
      </c>
      <c r="C1546" t="s">
        <v>109</v>
      </c>
      <c r="D1546" t="s">
        <v>34</v>
      </c>
      <c r="E1546" t="s">
        <v>35</v>
      </c>
      <c r="F1546" t="s">
        <v>14</v>
      </c>
      <c r="G1546">
        <v>308.06</v>
      </c>
      <c r="H1546" t="s">
        <v>15</v>
      </c>
      <c r="I1546" t="s">
        <v>22</v>
      </c>
      <c r="J1546" t="s">
        <v>41</v>
      </c>
    </row>
    <row r="1547" spans="1:10" x14ac:dyDescent="0.35">
      <c r="A1547" t="s">
        <v>1725</v>
      </c>
      <c r="B1547" s="10">
        <v>45932</v>
      </c>
      <c r="C1547" t="s">
        <v>256</v>
      </c>
      <c r="D1547" t="s">
        <v>34</v>
      </c>
      <c r="E1547" t="s">
        <v>40</v>
      </c>
      <c r="F1547" t="s">
        <v>14</v>
      </c>
      <c r="G1547">
        <v>281.11</v>
      </c>
      <c r="H1547" t="s">
        <v>98</v>
      </c>
      <c r="I1547" t="s">
        <v>22</v>
      </c>
      <c r="J1547" t="s">
        <v>239</v>
      </c>
    </row>
    <row r="1548" spans="1:10" x14ac:dyDescent="0.35">
      <c r="A1548" t="s">
        <v>1726</v>
      </c>
      <c r="B1548" s="10">
        <v>45932</v>
      </c>
      <c r="C1548" t="s">
        <v>192</v>
      </c>
      <c r="D1548" t="s">
        <v>80</v>
      </c>
      <c r="E1548" t="s">
        <v>92</v>
      </c>
      <c r="F1548" t="s">
        <v>14</v>
      </c>
      <c r="G1548">
        <v>93.94</v>
      </c>
      <c r="H1548" t="s">
        <v>15</v>
      </c>
      <c r="I1548" t="s">
        <v>22</v>
      </c>
      <c r="J1548" t="s">
        <v>180</v>
      </c>
    </row>
    <row r="1549" spans="1:10" x14ac:dyDescent="0.35">
      <c r="A1549" t="s">
        <v>1727</v>
      </c>
      <c r="B1549" s="10">
        <v>45933</v>
      </c>
      <c r="C1549" t="s">
        <v>125</v>
      </c>
      <c r="D1549" t="s">
        <v>12</v>
      </c>
      <c r="E1549" t="s">
        <v>13</v>
      </c>
      <c r="F1549" t="s">
        <v>14</v>
      </c>
      <c r="G1549">
        <v>50.16</v>
      </c>
      <c r="H1549" t="s">
        <v>21</v>
      </c>
      <c r="I1549" t="s">
        <v>22</v>
      </c>
      <c r="J1549" t="s">
        <v>44</v>
      </c>
    </row>
    <row r="1550" spans="1:10" x14ac:dyDescent="0.35">
      <c r="A1550" t="s">
        <v>1728</v>
      </c>
      <c r="B1550" s="10">
        <v>45933</v>
      </c>
      <c r="C1550" t="s">
        <v>272</v>
      </c>
      <c r="D1550" t="s">
        <v>54</v>
      </c>
      <c r="E1550" t="s">
        <v>55</v>
      </c>
      <c r="F1550" t="s">
        <v>54</v>
      </c>
      <c r="G1550">
        <v>649.97</v>
      </c>
      <c r="H1550" t="s">
        <v>98</v>
      </c>
      <c r="I1550" t="s">
        <v>47</v>
      </c>
      <c r="J1550" t="s">
        <v>65</v>
      </c>
    </row>
    <row r="1551" spans="1:10" x14ac:dyDescent="0.35">
      <c r="A1551" t="s">
        <v>1729</v>
      </c>
      <c r="B1551" s="10">
        <v>45933</v>
      </c>
      <c r="C1551" t="s">
        <v>308</v>
      </c>
      <c r="D1551" t="s">
        <v>54</v>
      </c>
      <c r="E1551" t="s">
        <v>64</v>
      </c>
      <c r="F1551" t="s">
        <v>54</v>
      </c>
      <c r="G1551">
        <v>349.96</v>
      </c>
      <c r="H1551" t="s">
        <v>15</v>
      </c>
      <c r="I1551" t="s">
        <v>22</v>
      </c>
      <c r="J1551" t="s">
        <v>89</v>
      </c>
    </row>
    <row r="1552" spans="1:10" x14ac:dyDescent="0.35">
      <c r="A1552" t="s">
        <v>1730</v>
      </c>
      <c r="B1552" s="10">
        <v>45934</v>
      </c>
      <c r="C1552" t="s">
        <v>111</v>
      </c>
      <c r="D1552" t="s">
        <v>12</v>
      </c>
      <c r="E1552" t="s">
        <v>26</v>
      </c>
      <c r="F1552" t="s">
        <v>14</v>
      </c>
      <c r="G1552">
        <v>79.819999999999993</v>
      </c>
      <c r="H1552" t="s">
        <v>15</v>
      </c>
      <c r="I1552" t="s">
        <v>22</v>
      </c>
      <c r="J1552" t="s">
        <v>23</v>
      </c>
    </row>
    <row r="1553" spans="1:10" x14ac:dyDescent="0.35">
      <c r="A1553" t="s">
        <v>1731</v>
      </c>
      <c r="B1553" s="10">
        <v>45934</v>
      </c>
      <c r="C1553" t="s">
        <v>198</v>
      </c>
      <c r="D1553" t="s">
        <v>59</v>
      </c>
      <c r="E1553" t="s">
        <v>199</v>
      </c>
      <c r="F1553" t="s">
        <v>14</v>
      </c>
      <c r="G1553">
        <v>199.74</v>
      </c>
      <c r="H1553" t="s">
        <v>15</v>
      </c>
      <c r="I1553" t="s">
        <v>22</v>
      </c>
      <c r="J1553" t="s">
        <v>61</v>
      </c>
    </row>
    <row r="1554" spans="1:10" x14ac:dyDescent="0.35">
      <c r="A1554" t="s">
        <v>1732</v>
      </c>
      <c r="B1554" s="10">
        <v>45934</v>
      </c>
      <c r="C1554" t="s">
        <v>125</v>
      </c>
      <c r="D1554" t="s">
        <v>12</v>
      </c>
      <c r="E1554" t="s">
        <v>13</v>
      </c>
      <c r="F1554" t="s">
        <v>14</v>
      </c>
      <c r="G1554">
        <v>20.74</v>
      </c>
      <c r="H1554" t="s">
        <v>15</v>
      </c>
      <c r="I1554" t="s">
        <v>16</v>
      </c>
      <c r="J1554" t="s">
        <v>44</v>
      </c>
    </row>
    <row r="1555" spans="1:10" x14ac:dyDescent="0.35">
      <c r="A1555" t="s">
        <v>1733</v>
      </c>
      <c r="B1555" s="10">
        <v>45934</v>
      </c>
      <c r="C1555" t="s">
        <v>50</v>
      </c>
      <c r="D1555" t="s">
        <v>12</v>
      </c>
      <c r="E1555" t="s">
        <v>51</v>
      </c>
      <c r="F1555" t="s">
        <v>14</v>
      </c>
      <c r="G1555">
        <v>91.95</v>
      </c>
      <c r="H1555" t="s">
        <v>15</v>
      </c>
      <c r="I1555" t="s">
        <v>36</v>
      </c>
      <c r="J1555" t="s">
        <v>44</v>
      </c>
    </row>
    <row r="1556" spans="1:10" x14ac:dyDescent="0.35">
      <c r="A1556" t="s">
        <v>1734</v>
      </c>
      <c r="B1556" s="10">
        <v>45934</v>
      </c>
      <c r="C1556" t="s">
        <v>153</v>
      </c>
      <c r="D1556" t="s">
        <v>34</v>
      </c>
      <c r="E1556" t="s">
        <v>122</v>
      </c>
      <c r="F1556" t="s">
        <v>14</v>
      </c>
      <c r="G1556">
        <v>52.11</v>
      </c>
      <c r="H1556" t="s">
        <v>98</v>
      </c>
      <c r="I1556" t="s">
        <v>22</v>
      </c>
      <c r="J1556" t="s">
        <v>41</v>
      </c>
    </row>
    <row r="1557" spans="1:10" x14ac:dyDescent="0.35">
      <c r="A1557" t="s">
        <v>1735</v>
      </c>
      <c r="B1557" s="10">
        <v>45934</v>
      </c>
      <c r="C1557" t="s">
        <v>121</v>
      </c>
      <c r="D1557" t="s">
        <v>34</v>
      </c>
      <c r="E1557" t="s">
        <v>122</v>
      </c>
      <c r="F1557" t="s">
        <v>14</v>
      </c>
      <c r="G1557">
        <v>150.15</v>
      </c>
      <c r="H1557" t="s">
        <v>15</v>
      </c>
      <c r="I1557" t="s">
        <v>22</v>
      </c>
      <c r="J1557" t="s">
        <v>123</v>
      </c>
    </row>
    <row r="1558" spans="1:10" x14ac:dyDescent="0.35">
      <c r="A1558" t="s">
        <v>1736</v>
      </c>
      <c r="B1558" s="10">
        <v>45934</v>
      </c>
      <c r="C1558" t="s">
        <v>1491</v>
      </c>
      <c r="D1558" t="s">
        <v>69</v>
      </c>
      <c r="E1558" t="s">
        <v>233</v>
      </c>
      <c r="F1558" t="s">
        <v>14</v>
      </c>
      <c r="G1558">
        <v>118.53</v>
      </c>
      <c r="H1558" t="s">
        <v>21</v>
      </c>
      <c r="I1558" t="s">
        <v>16</v>
      </c>
      <c r="J1558" t="s">
        <v>396</v>
      </c>
    </row>
    <row r="1559" spans="1:10" x14ac:dyDescent="0.35">
      <c r="A1559" t="s">
        <v>1737</v>
      </c>
      <c r="B1559" s="10">
        <v>45934</v>
      </c>
      <c r="C1559" t="s">
        <v>94</v>
      </c>
      <c r="D1559" t="s">
        <v>29</v>
      </c>
      <c r="E1559" t="s">
        <v>95</v>
      </c>
      <c r="F1559" t="s">
        <v>14</v>
      </c>
      <c r="G1559">
        <v>116.2</v>
      </c>
      <c r="H1559" t="s">
        <v>15</v>
      </c>
      <c r="I1559" t="s">
        <v>22</v>
      </c>
      <c r="J1559" t="s">
        <v>96</v>
      </c>
    </row>
    <row r="1560" spans="1:10" x14ac:dyDescent="0.35">
      <c r="A1560" t="s">
        <v>1738</v>
      </c>
      <c r="B1560" s="10">
        <v>45934</v>
      </c>
      <c r="C1560" t="s">
        <v>172</v>
      </c>
      <c r="D1560" t="s">
        <v>101</v>
      </c>
      <c r="E1560" t="s">
        <v>102</v>
      </c>
      <c r="F1560" t="s">
        <v>14</v>
      </c>
      <c r="G1560">
        <v>51.04</v>
      </c>
      <c r="H1560" t="s">
        <v>15</v>
      </c>
      <c r="I1560" t="s">
        <v>16</v>
      </c>
      <c r="J1560" t="s">
        <v>102</v>
      </c>
    </row>
    <row r="1561" spans="1:10" x14ac:dyDescent="0.35">
      <c r="A1561" t="s">
        <v>1739</v>
      </c>
      <c r="B1561" s="10">
        <v>45934</v>
      </c>
      <c r="C1561" t="s">
        <v>184</v>
      </c>
      <c r="D1561" t="s">
        <v>59</v>
      </c>
      <c r="E1561" t="s">
        <v>185</v>
      </c>
      <c r="F1561" t="s">
        <v>14</v>
      </c>
      <c r="G1561">
        <v>95.04</v>
      </c>
      <c r="H1561" t="s">
        <v>15</v>
      </c>
      <c r="I1561" t="s">
        <v>22</v>
      </c>
      <c r="J1561" t="s">
        <v>61</v>
      </c>
    </row>
    <row r="1562" spans="1:10" x14ac:dyDescent="0.35">
      <c r="A1562" t="s">
        <v>1740</v>
      </c>
      <c r="B1562" s="10">
        <v>45934</v>
      </c>
      <c r="C1562" t="s">
        <v>58</v>
      </c>
      <c r="D1562" t="s">
        <v>59</v>
      </c>
      <c r="E1562" t="s">
        <v>60</v>
      </c>
      <c r="F1562" t="s">
        <v>14</v>
      </c>
      <c r="G1562">
        <v>145.61000000000001</v>
      </c>
      <c r="H1562" t="s">
        <v>15</v>
      </c>
      <c r="I1562" t="s">
        <v>36</v>
      </c>
      <c r="J1562" t="s">
        <v>61</v>
      </c>
    </row>
    <row r="1563" spans="1:10" x14ac:dyDescent="0.35">
      <c r="A1563" t="s">
        <v>1741</v>
      </c>
      <c r="B1563" s="10">
        <v>45934</v>
      </c>
      <c r="C1563" t="s">
        <v>50</v>
      </c>
      <c r="D1563" t="s">
        <v>12</v>
      </c>
      <c r="E1563" t="s">
        <v>51</v>
      </c>
      <c r="F1563" t="s">
        <v>14</v>
      </c>
      <c r="G1563">
        <v>39.21</v>
      </c>
      <c r="H1563" t="s">
        <v>15</v>
      </c>
      <c r="I1563" t="s">
        <v>22</v>
      </c>
      <c r="J1563" t="s">
        <v>44</v>
      </c>
    </row>
    <row r="1564" spans="1:10" x14ac:dyDescent="0.35">
      <c r="A1564" t="s">
        <v>1742</v>
      </c>
      <c r="B1564" s="10">
        <v>45934</v>
      </c>
      <c r="C1564" t="s">
        <v>184</v>
      </c>
      <c r="D1564" t="s">
        <v>59</v>
      </c>
      <c r="E1564" t="s">
        <v>185</v>
      </c>
      <c r="F1564" t="s">
        <v>14</v>
      </c>
      <c r="G1564">
        <v>218.37</v>
      </c>
      <c r="H1564" t="s">
        <v>15</v>
      </c>
      <c r="I1564" t="s">
        <v>22</v>
      </c>
      <c r="J1564" t="s">
        <v>61</v>
      </c>
    </row>
    <row r="1565" spans="1:10" x14ac:dyDescent="0.35">
      <c r="A1565" t="s">
        <v>1743</v>
      </c>
      <c r="B1565" s="10">
        <v>45935</v>
      </c>
      <c r="C1565" t="s">
        <v>109</v>
      </c>
      <c r="D1565" t="s">
        <v>34</v>
      </c>
      <c r="E1565" t="s">
        <v>35</v>
      </c>
      <c r="F1565" t="s">
        <v>14</v>
      </c>
      <c r="G1565">
        <v>203.91</v>
      </c>
      <c r="H1565" t="s">
        <v>15</v>
      </c>
      <c r="I1565" t="s">
        <v>47</v>
      </c>
      <c r="J1565" t="s">
        <v>41</v>
      </c>
    </row>
    <row r="1566" spans="1:10" x14ac:dyDescent="0.35">
      <c r="A1566" t="s">
        <v>1744</v>
      </c>
      <c r="B1566" s="10">
        <v>45935</v>
      </c>
      <c r="C1566" t="s">
        <v>251</v>
      </c>
      <c r="D1566" t="s">
        <v>29</v>
      </c>
      <c r="E1566" t="s">
        <v>151</v>
      </c>
      <c r="F1566" t="s">
        <v>14</v>
      </c>
      <c r="G1566">
        <v>22.24</v>
      </c>
      <c r="H1566" t="s">
        <v>15</v>
      </c>
      <c r="I1566" t="s">
        <v>84</v>
      </c>
      <c r="J1566" t="s">
        <v>31</v>
      </c>
    </row>
    <row r="1567" spans="1:10" x14ac:dyDescent="0.35">
      <c r="A1567" t="s">
        <v>1745</v>
      </c>
      <c r="B1567" s="10">
        <v>45935</v>
      </c>
      <c r="C1567" t="s">
        <v>88</v>
      </c>
      <c r="D1567" t="s">
        <v>54</v>
      </c>
      <c r="E1567" t="s">
        <v>74</v>
      </c>
      <c r="F1567" t="s">
        <v>54</v>
      </c>
      <c r="G1567">
        <v>2427.36</v>
      </c>
      <c r="H1567" t="s">
        <v>15</v>
      </c>
      <c r="I1567" t="s">
        <v>22</v>
      </c>
      <c r="J1567" t="s">
        <v>89</v>
      </c>
    </row>
    <row r="1568" spans="1:10" x14ac:dyDescent="0.35">
      <c r="A1568" t="s">
        <v>1746</v>
      </c>
      <c r="B1568" s="10">
        <v>45935</v>
      </c>
      <c r="C1568" t="s">
        <v>116</v>
      </c>
      <c r="D1568" t="s">
        <v>80</v>
      </c>
      <c r="E1568" t="s">
        <v>117</v>
      </c>
      <c r="F1568" t="s">
        <v>14</v>
      </c>
      <c r="G1568">
        <v>128.61000000000001</v>
      </c>
      <c r="H1568" t="s">
        <v>21</v>
      </c>
      <c r="I1568" t="s">
        <v>16</v>
      </c>
      <c r="J1568" t="s">
        <v>118</v>
      </c>
    </row>
    <row r="1569" spans="1:10" x14ac:dyDescent="0.35">
      <c r="A1569" t="s">
        <v>1747</v>
      </c>
      <c r="B1569" s="10">
        <v>45935</v>
      </c>
      <c r="C1569" t="s">
        <v>79</v>
      </c>
      <c r="D1569" t="s">
        <v>80</v>
      </c>
      <c r="E1569" t="s">
        <v>81</v>
      </c>
      <c r="F1569" t="s">
        <v>14</v>
      </c>
      <c r="G1569">
        <v>94.17</v>
      </c>
      <c r="H1569" t="s">
        <v>15</v>
      </c>
      <c r="I1569" t="s">
        <v>47</v>
      </c>
      <c r="J1569" t="s">
        <v>82</v>
      </c>
    </row>
    <row r="1570" spans="1:10" x14ac:dyDescent="0.35">
      <c r="A1570" t="s">
        <v>1748</v>
      </c>
      <c r="B1570" s="10">
        <v>45935</v>
      </c>
      <c r="C1570" t="s">
        <v>153</v>
      </c>
      <c r="D1570" t="s">
        <v>34</v>
      </c>
      <c r="E1570" t="s">
        <v>122</v>
      </c>
      <c r="F1570" t="s">
        <v>14</v>
      </c>
      <c r="G1570">
        <v>165.87</v>
      </c>
      <c r="H1570" t="s">
        <v>15</v>
      </c>
      <c r="I1570" t="s">
        <v>36</v>
      </c>
      <c r="J1570" t="s">
        <v>41</v>
      </c>
    </row>
    <row r="1571" spans="1:10" x14ac:dyDescent="0.35">
      <c r="A1571" t="s">
        <v>1749</v>
      </c>
      <c r="B1571" s="10">
        <v>45935</v>
      </c>
      <c r="C1571" t="s">
        <v>132</v>
      </c>
      <c r="D1571" t="s">
        <v>69</v>
      </c>
      <c r="E1571" t="s">
        <v>70</v>
      </c>
      <c r="F1571" t="s">
        <v>14</v>
      </c>
      <c r="G1571">
        <v>174.08</v>
      </c>
      <c r="H1571" t="s">
        <v>15</v>
      </c>
      <c r="I1571" t="s">
        <v>36</v>
      </c>
      <c r="J1571" t="s">
        <v>133</v>
      </c>
    </row>
    <row r="1572" spans="1:10" x14ac:dyDescent="0.35">
      <c r="A1572" t="s">
        <v>1750</v>
      </c>
      <c r="B1572" s="10">
        <v>45936</v>
      </c>
      <c r="C1572" t="s">
        <v>76</v>
      </c>
      <c r="D1572" t="s">
        <v>12</v>
      </c>
      <c r="E1572" t="s">
        <v>13</v>
      </c>
      <c r="F1572" t="s">
        <v>14</v>
      </c>
      <c r="G1572">
        <v>56.53</v>
      </c>
      <c r="H1572" t="s">
        <v>15</v>
      </c>
      <c r="I1572" t="s">
        <v>47</v>
      </c>
      <c r="J1572" t="s">
        <v>77</v>
      </c>
    </row>
    <row r="1573" spans="1:10" x14ac:dyDescent="0.35">
      <c r="A1573" t="s">
        <v>1751</v>
      </c>
      <c r="B1573" s="10">
        <v>45936</v>
      </c>
      <c r="C1573" t="s">
        <v>345</v>
      </c>
      <c r="D1573" t="s">
        <v>59</v>
      </c>
      <c r="E1573" t="s">
        <v>60</v>
      </c>
      <c r="F1573" t="s">
        <v>14</v>
      </c>
      <c r="G1573">
        <v>132.9</v>
      </c>
      <c r="H1573" t="s">
        <v>15</v>
      </c>
      <c r="I1573" t="s">
        <v>36</v>
      </c>
      <c r="J1573" t="s">
        <v>211</v>
      </c>
    </row>
    <row r="1574" spans="1:10" x14ac:dyDescent="0.35">
      <c r="A1574" t="s">
        <v>1752</v>
      </c>
      <c r="B1574" s="10">
        <v>45936</v>
      </c>
      <c r="C1574" t="s">
        <v>39</v>
      </c>
      <c r="D1574" t="s">
        <v>34</v>
      </c>
      <c r="E1574" t="s">
        <v>40</v>
      </c>
      <c r="F1574" t="s">
        <v>14</v>
      </c>
      <c r="G1574">
        <v>42.43</v>
      </c>
      <c r="H1574" t="s">
        <v>15</v>
      </c>
      <c r="I1574" t="s">
        <v>22</v>
      </c>
      <c r="J1574" t="s">
        <v>41</v>
      </c>
    </row>
    <row r="1575" spans="1:10" x14ac:dyDescent="0.35">
      <c r="A1575" t="s">
        <v>1753</v>
      </c>
      <c r="B1575" s="10">
        <v>45936</v>
      </c>
      <c r="C1575" t="s">
        <v>229</v>
      </c>
      <c r="D1575" t="s">
        <v>54</v>
      </c>
      <c r="E1575" t="s">
        <v>64</v>
      </c>
      <c r="F1575" t="s">
        <v>54</v>
      </c>
      <c r="G1575">
        <v>331.34</v>
      </c>
      <c r="H1575" t="s">
        <v>21</v>
      </c>
      <c r="I1575" t="s">
        <v>22</v>
      </c>
      <c r="J1575" t="s">
        <v>56</v>
      </c>
    </row>
    <row r="1576" spans="1:10" x14ac:dyDescent="0.35">
      <c r="A1576" t="s">
        <v>1754</v>
      </c>
      <c r="B1576" s="10">
        <v>45936</v>
      </c>
      <c r="C1576" t="s">
        <v>296</v>
      </c>
      <c r="D1576" t="s">
        <v>101</v>
      </c>
      <c r="E1576" t="s">
        <v>136</v>
      </c>
      <c r="F1576" t="s">
        <v>14</v>
      </c>
      <c r="G1576">
        <v>44.1</v>
      </c>
      <c r="H1576" t="s">
        <v>98</v>
      </c>
      <c r="I1576" t="s">
        <v>22</v>
      </c>
      <c r="J1576" t="s">
        <v>136</v>
      </c>
    </row>
    <row r="1577" spans="1:10" x14ac:dyDescent="0.35">
      <c r="A1577" t="s">
        <v>1755</v>
      </c>
      <c r="B1577" s="10">
        <v>45936</v>
      </c>
      <c r="C1577" t="s">
        <v>331</v>
      </c>
      <c r="D1577" t="s">
        <v>29</v>
      </c>
      <c r="E1577" t="s">
        <v>95</v>
      </c>
      <c r="F1577" t="s">
        <v>14</v>
      </c>
      <c r="G1577">
        <v>15.6</v>
      </c>
      <c r="H1577" t="s">
        <v>15</v>
      </c>
      <c r="I1577" t="s">
        <v>22</v>
      </c>
      <c r="J1577" t="s">
        <v>151</v>
      </c>
    </row>
    <row r="1578" spans="1:10" x14ac:dyDescent="0.35">
      <c r="A1578" t="s">
        <v>1756</v>
      </c>
      <c r="B1578" s="10">
        <v>45937</v>
      </c>
      <c r="C1578" t="s">
        <v>53</v>
      </c>
      <c r="D1578" t="s">
        <v>54</v>
      </c>
      <c r="E1578" t="s">
        <v>55</v>
      </c>
      <c r="F1578" t="s">
        <v>54</v>
      </c>
      <c r="G1578">
        <v>862.54</v>
      </c>
      <c r="H1578" t="s">
        <v>21</v>
      </c>
      <c r="I1578" t="s">
        <v>22</v>
      </c>
      <c r="J1578" t="s">
        <v>56</v>
      </c>
    </row>
    <row r="1579" spans="1:10" x14ac:dyDescent="0.35">
      <c r="A1579" t="s">
        <v>1757</v>
      </c>
      <c r="B1579" s="10">
        <v>45937</v>
      </c>
      <c r="C1579" t="s">
        <v>175</v>
      </c>
      <c r="D1579" t="s">
        <v>80</v>
      </c>
      <c r="E1579" t="s">
        <v>92</v>
      </c>
      <c r="F1579" t="s">
        <v>14</v>
      </c>
      <c r="G1579">
        <v>42.75</v>
      </c>
      <c r="H1579" t="s">
        <v>15</v>
      </c>
      <c r="I1579" t="s">
        <v>47</v>
      </c>
      <c r="J1579" t="s">
        <v>141</v>
      </c>
    </row>
    <row r="1580" spans="1:10" x14ac:dyDescent="0.35">
      <c r="A1580" t="s">
        <v>1758</v>
      </c>
      <c r="B1580" s="10">
        <v>45938</v>
      </c>
      <c r="C1580" t="s">
        <v>113</v>
      </c>
      <c r="D1580" t="s">
        <v>34</v>
      </c>
      <c r="E1580" t="s">
        <v>40</v>
      </c>
      <c r="F1580" t="s">
        <v>14</v>
      </c>
      <c r="G1580">
        <v>291.04000000000002</v>
      </c>
      <c r="H1580" t="s">
        <v>15</v>
      </c>
      <c r="I1580" t="s">
        <v>22</v>
      </c>
      <c r="J1580" t="s">
        <v>37</v>
      </c>
    </row>
    <row r="1581" spans="1:10" x14ac:dyDescent="0.35">
      <c r="A1581" t="s">
        <v>1759</v>
      </c>
      <c r="B1581" s="10">
        <v>45938</v>
      </c>
      <c r="C1581" t="s">
        <v>248</v>
      </c>
      <c r="D1581" t="s">
        <v>80</v>
      </c>
      <c r="E1581" t="s">
        <v>81</v>
      </c>
      <c r="F1581" t="s">
        <v>14</v>
      </c>
      <c r="G1581">
        <v>100.8</v>
      </c>
      <c r="H1581" t="s">
        <v>21</v>
      </c>
      <c r="I1581" t="s">
        <v>36</v>
      </c>
      <c r="J1581" t="s">
        <v>161</v>
      </c>
    </row>
    <row r="1582" spans="1:10" x14ac:dyDescent="0.35">
      <c r="A1582" t="s">
        <v>1761</v>
      </c>
      <c r="B1582" s="10">
        <v>45938</v>
      </c>
      <c r="C1582" t="s">
        <v>33</v>
      </c>
      <c r="D1582" t="s">
        <v>34</v>
      </c>
      <c r="E1582" t="s">
        <v>35</v>
      </c>
      <c r="F1582" t="s">
        <v>14</v>
      </c>
      <c r="G1582">
        <v>86.83</v>
      </c>
      <c r="H1582" t="s">
        <v>15</v>
      </c>
      <c r="I1582" t="s">
        <v>16</v>
      </c>
      <c r="J1582" t="s">
        <v>37</v>
      </c>
    </row>
    <row r="1583" spans="1:10" x14ac:dyDescent="0.35">
      <c r="A1583" t="s">
        <v>1762</v>
      </c>
      <c r="B1583" s="10">
        <v>45939</v>
      </c>
      <c r="C1583" t="s">
        <v>308</v>
      </c>
      <c r="D1583" t="s">
        <v>54</v>
      </c>
      <c r="E1583" t="s">
        <v>64</v>
      </c>
      <c r="F1583" t="s">
        <v>54</v>
      </c>
      <c r="G1583">
        <v>264.33</v>
      </c>
      <c r="H1583" t="s">
        <v>15</v>
      </c>
      <c r="I1583" t="s">
        <v>22</v>
      </c>
      <c r="J1583" t="s">
        <v>89</v>
      </c>
    </row>
    <row r="1584" spans="1:10" x14ac:dyDescent="0.35">
      <c r="A1584" t="s">
        <v>1763</v>
      </c>
      <c r="B1584" s="10">
        <v>45939</v>
      </c>
      <c r="C1584" t="s">
        <v>217</v>
      </c>
      <c r="D1584" t="s">
        <v>80</v>
      </c>
      <c r="E1584" t="s">
        <v>81</v>
      </c>
      <c r="F1584" t="s">
        <v>14</v>
      </c>
      <c r="G1584">
        <v>38.75</v>
      </c>
      <c r="H1584" t="s">
        <v>15</v>
      </c>
      <c r="I1584" t="s">
        <v>22</v>
      </c>
      <c r="J1584" t="s">
        <v>180</v>
      </c>
    </row>
    <row r="1585" spans="1:10" x14ac:dyDescent="0.35">
      <c r="A1585" t="s">
        <v>1764</v>
      </c>
      <c r="B1585" s="10">
        <v>45939</v>
      </c>
      <c r="C1585" t="s">
        <v>100</v>
      </c>
      <c r="D1585" t="s">
        <v>101</v>
      </c>
      <c r="E1585" t="s">
        <v>102</v>
      </c>
      <c r="F1585" t="s">
        <v>14</v>
      </c>
      <c r="G1585">
        <v>44.38</v>
      </c>
      <c r="H1585" t="s">
        <v>21</v>
      </c>
      <c r="I1585" t="s">
        <v>84</v>
      </c>
      <c r="J1585" t="s">
        <v>103</v>
      </c>
    </row>
    <row r="1586" spans="1:10" x14ac:dyDescent="0.35">
      <c r="A1586" t="s">
        <v>1765</v>
      </c>
      <c r="B1586" s="10">
        <v>45939</v>
      </c>
      <c r="C1586" t="s">
        <v>345</v>
      </c>
      <c r="D1586" t="s">
        <v>59</v>
      </c>
      <c r="E1586" t="s">
        <v>60</v>
      </c>
      <c r="F1586" t="s">
        <v>14</v>
      </c>
      <c r="G1586">
        <v>490.82</v>
      </c>
      <c r="H1586" t="s">
        <v>15</v>
      </c>
      <c r="I1586" t="s">
        <v>47</v>
      </c>
      <c r="J1586" t="s">
        <v>211</v>
      </c>
    </row>
    <row r="1587" spans="1:10" x14ac:dyDescent="0.35">
      <c r="A1587" t="s">
        <v>1766</v>
      </c>
      <c r="B1587" s="10">
        <v>45939</v>
      </c>
      <c r="C1587" t="s">
        <v>100</v>
      </c>
      <c r="D1587" t="s">
        <v>101</v>
      </c>
      <c r="E1587" t="s">
        <v>102</v>
      </c>
      <c r="F1587" t="s">
        <v>14</v>
      </c>
      <c r="G1587">
        <v>99.32</v>
      </c>
      <c r="H1587" t="s">
        <v>15</v>
      </c>
      <c r="I1587" t="s">
        <v>22</v>
      </c>
      <c r="J1587" t="s">
        <v>103</v>
      </c>
    </row>
    <row r="1588" spans="1:10" x14ac:dyDescent="0.35">
      <c r="A1588" t="s">
        <v>1767</v>
      </c>
      <c r="B1588" s="10">
        <v>45939</v>
      </c>
      <c r="C1588" t="s">
        <v>33</v>
      </c>
      <c r="D1588" t="s">
        <v>34</v>
      </c>
      <c r="E1588" t="s">
        <v>35</v>
      </c>
      <c r="F1588" t="s">
        <v>14</v>
      </c>
      <c r="G1588">
        <v>182.99</v>
      </c>
      <c r="H1588" t="s">
        <v>15</v>
      </c>
      <c r="I1588" t="s">
        <v>22</v>
      </c>
      <c r="J1588" t="s">
        <v>37</v>
      </c>
    </row>
    <row r="1589" spans="1:10" x14ac:dyDescent="0.35">
      <c r="A1589" t="s">
        <v>1768</v>
      </c>
      <c r="B1589" s="10">
        <v>45939</v>
      </c>
      <c r="C1589" t="s">
        <v>116</v>
      </c>
      <c r="D1589" t="s">
        <v>80</v>
      </c>
      <c r="E1589" t="s">
        <v>117</v>
      </c>
      <c r="F1589" t="s">
        <v>14</v>
      </c>
      <c r="G1589">
        <v>131.44999999999999</v>
      </c>
      <c r="H1589" t="s">
        <v>15</v>
      </c>
      <c r="I1589" t="s">
        <v>22</v>
      </c>
      <c r="J1589" t="s">
        <v>118</v>
      </c>
    </row>
    <row r="1590" spans="1:10" x14ac:dyDescent="0.35">
      <c r="A1590" t="s">
        <v>1769</v>
      </c>
      <c r="B1590" s="10">
        <v>45940</v>
      </c>
      <c r="C1590" t="s">
        <v>113</v>
      </c>
      <c r="D1590" t="s">
        <v>34</v>
      </c>
      <c r="E1590" t="s">
        <v>40</v>
      </c>
      <c r="F1590" t="s">
        <v>14</v>
      </c>
      <c r="G1590">
        <v>279.63</v>
      </c>
      <c r="H1590" t="s">
        <v>21</v>
      </c>
      <c r="I1590" t="s">
        <v>22</v>
      </c>
      <c r="J1590" t="s">
        <v>37</v>
      </c>
    </row>
    <row r="1591" spans="1:10" x14ac:dyDescent="0.35">
      <c r="A1591" t="s">
        <v>1770</v>
      </c>
      <c r="B1591" s="10">
        <v>45940</v>
      </c>
      <c r="C1591" t="s">
        <v>227</v>
      </c>
      <c r="D1591" t="s">
        <v>12</v>
      </c>
      <c r="E1591" t="s">
        <v>51</v>
      </c>
      <c r="F1591" t="s">
        <v>14</v>
      </c>
      <c r="G1591">
        <v>15.71</v>
      </c>
      <c r="H1591" t="s">
        <v>15</v>
      </c>
      <c r="I1591" t="s">
        <v>22</v>
      </c>
      <c r="J1591" t="s">
        <v>17</v>
      </c>
    </row>
    <row r="1592" spans="1:10" x14ac:dyDescent="0.35">
      <c r="A1592" t="s">
        <v>1771</v>
      </c>
      <c r="B1592" s="10">
        <v>45940</v>
      </c>
      <c r="C1592" t="s">
        <v>308</v>
      </c>
      <c r="D1592" t="s">
        <v>54</v>
      </c>
      <c r="E1592" t="s">
        <v>64</v>
      </c>
      <c r="F1592" t="s">
        <v>54</v>
      </c>
      <c r="G1592">
        <v>291.77</v>
      </c>
      <c r="H1592" t="s">
        <v>21</v>
      </c>
      <c r="I1592" t="s">
        <v>47</v>
      </c>
      <c r="J1592" t="s">
        <v>89</v>
      </c>
    </row>
    <row r="1593" spans="1:10" x14ac:dyDescent="0.35">
      <c r="A1593" t="s">
        <v>1772</v>
      </c>
      <c r="B1593" s="10">
        <v>45940</v>
      </c>
      <c r="C1593" t="s">
        <v>168</v>
      </c>
      <c r="D1593" t="s">
        <v>59</v>
      </c>
      <c r="E1593" t="s">
        <v>60</v>
      </c>
      <c r="F1593" t="s">
        <v>14</v>
      </c>
      <c r="G1593">
        <v>258.83</v>
      </c>
      <c r="H1593" t="s">
        <v>15</v>
      </c>
      <c r="I1593" t="s">
        <v>22</v>
      </c>
      <c r="J1593" t="s">
        <v>170</v>
      </c>
    </row>
    <row r="1594" spans="1:10" x14ac:dyDescent="0.35">
      <c r="A1594" t="s">
        <v>1773</v>
      </c>
      <c r="B1594" s="10">
        <v>45940</v>
      </c>
      <c r="C1594" t="s">
        <v>308</v>
      </c>
      <c r="D1594" t="s">
        <v>54</v>
      </c>
      <c r="E1594" t="s">
        <v>64</v>
      </c>
      <c r="F1594" t="s">
        <v>54</v>
      </c>
      <c r="G1594">
        <v>341.79</v>
      </c>
      <c r="H1594" t="s">
        <v>15</v>
      </c>
      <c r="I1594" t="s">
        <v>22</v>
      </c>
      <c r="J1594" t="s">
        <v>89</v>
      </c>
    </row>
    <row r="1595" spans="1:10" x14ac:dyDescent="0.35">
      <c r="A1595" t="s">
        <v>1774</v>
      </c>
      <c r="B1595" s="10">
        <v>45940</v>
      </c>
      <c r="C1595" t="s">
        <v>39</v>
      </c>
      <c r="D1595" t="s">
        <v>34</v>
      </c>
      <c r="E1595" t="s">
        <v>40</v>
      </c>
      <c r="F1595" t="s">
        <v>14</v>
      </c>
      <c r="G1595">
        <v>100.32</v>
      </c>
      <c r="H1595" t="s">
        <v>98</v>
      </c>
      <c r="I1595" t="s">
        <v>36</v>
      </c>
      <c r="J1595" t="s">
        <v>41</v>
      </c>
    </row>
    <row r="1596" spans="1:10" x14ac:dyDescent="0.35">
      <c r="A1596" t="s">
        <v>1775</v>
      </c>
      <c r="B1596" s="10">
        <v>45940</v>
      </c>
      <c r="C1596" t="s">
        <v>415</v>
      </c>
      <c r="D1596" t="s">
        <v>12</v>
      </c>
      <c r="E1596" t="s">
        <v>51</v>
      </c>
      <c r="F1596" t="s">
        <v>14</v>
      </c>
      <c r="G1596">
        <v>47.13</v>
      </c>
      <c r="H1596" t="s">
        <v>15</v>
      </c>
      <c r="I1596" t="s">
        <v>47</v>
      </c>
      <c r="J1596" t="s">
        <v>77</v>
      </c>
    </row>
    <row r="1597" spans="1:10" x14ac:dyDescent="0.35">
      <c r="A1597" t="s">
        <v>1776</v>
      </c>
      <c r="B1597" s="10">
        <v>45941</v>
      </c>
      <c r="C1597" t="s">
        <v>73</v>
      </c>
      <c r="D1597" t="s">
        <v>54</v>
      </c>
      <c r="E1597" t="s">
        <v>74</v>
      </c>
      <c r="F1597" t="s">
        <v>54</v>
      </c>
      <c r="G1597">
        <v>2556.6999999999998</v>
      </c>
      <c r="H1597" t="s">
        <v>21</v>
      </c>
      <c r="I1597" t="s">
        <v>47</v>
      </c>
      <c r="J1597" t="s">
        <v>65</v>
      </c>
    </row>
    <row r="1598" spans="1:10" x14ac:dyDescent="0.35">
      <c r="A1598" t="s">
        <v>1777</v>
      </c>
      <c r="B1598" s="10">
        <v>45941</v>
      </c>
      <c r="C1598" t="s">
        <v>138</v>
      </c>
      <c r="D1598" t="s">
        <v>12</v>
      </c>
      <c r="E1598" t="s">
        <v>26</v>
      </c>
      <c r="F1598" t="s">
        <v>14</v>
      </c>
      <c r="G1598">
        <v>60.3</v>
      </c>
      <c r="H1598" t="s">
        <v>15</v>
      </c>
      <c r="I1598" t="s">
        <v>47</v>
      </c>
      <c r="J1598" t="s">
        <v>77</v>
      </c>
    </row>
    <row r="1599" spans="1:10" x14ac:dyDescent="0.35">
      <c r="A1599" t="s">
        <v>1778</v>
      </c>
      <c r="B1599" s="10">
        <v>45941</v>
      </c>
      <c r="C1599" t="s">
        <v>217</v>
      </c>
      <c r="D1599" t="s">
        <v>80</v>
      </c>
      <c r="E1599" t="s">
        <v>81</v>
      </c>
      <c r="F1599" t="s">
        <v>14</v>
      </c>
      <c r="G1599">
        <v>77.75</v>
      </c>
      <c r="H1599" t="s">
        <v>15</v>
      </c>
      <c r="I1599" t="s">
        <v>22</v>
      </c>
      <c r="J1599" t="s">
        <v>180</v>
      </c>
    </row>
    <row r="1600" spans="1:10" x14ac:dyDescent="0.35">
      <c r="A1600" t="s">
        <v>1779</v>
      </c>
      <c r="B1600" s="10">
        <v>45942</v>
      </c>
      <c r="C1600" t="s">
        <v>251</v>
      </c>
      <c r="D1600" t="s">
        <v>29</v>
      </c>
      <c r="E1600" t="s">
        <v>151</v>
      </c>
      <c r="F1600" t="s">
        <v>14</v>
      </c>
      <c r="G1600">
        <v>120</v>
      </c>
      <c r="H1600" t="s">
        <v>15</v>
      </c>
      <c r="I1600" t="s">
        <v>47</v>
      </c>
      <c r="J1600" t="s">
        <v>31</v>
      </c>
    </row>
    <row r="1601" spans="1:10" x14ac:dyDescent="0.35">
      <c r="A1601" t="s">
        <v>1780</v>
      </c>
      <c r="B1601" s="10">
        <v>45942</v>
      </c>
      <c r="C1601" t="s">
        <v>272</v>
      </c>
      <c r="D1601" t="s">
        <v>54</v>
      </c>
      <c r="E1601" t="s">
        <v>55</v>
      </c>
      <c r="F1601" t="s">
        <v>54</v>
      </c>
      <c r="G1601">
        <v>579.19000000000005</v>
      </c>
      <c r="H1601" t="s">
        <v>15</v>
      </c>
      <c r="I1601" t="s">
        <v>36</v>
      </c>
      <c r="J1601" t="s">
        <v>65</v>
      </c>
    </row>
    <row r="1602" spans="1:10" x14ac:dyDescent="0.35">
      <c r="A1602" t="s">
        <v>1781</v>
      </c>
      <c r="B1602" s="10">
        <v>45942</v>
      </c>
      <c r="C1602" t="s">
        <v>179</v>
      </c>
      <c r="D1602" t="s">
        <v>80</v>
      </c>
      <c r="E1602" t="s">
        <v>117</v>
      </c>
      <c r="F1602" t="s">
        <v>14</v>
      </c>
      <c r="G1602">
        <v>102.53</v>
      </c>
      <c r="H1602" t="s">
        <v>15</v>
      </c>
      <c r="I1602" t="s">
        <v>22</v>
      </c>
      <c r="J1602" t="s">
        <v>180</v>
      </c>
    </row>
    <row r="1603" spans="1:10" x14ac:dyDescent="0.35">
      <c r="A1603" t="s">
        <v>1782</v>
      </c>
      <c r="B1603" s="10">
        <v>45942</v>
      </c>
      <c r="C1603" t="s">
        <v>259</v>
      </c>
      <c r="D1603" t="s">
        <v>59</v>
      </c>
      <c r="E1603" t="s">
        <v>199</v>
      </c>
      <c r="F1603" t="s">
        <v>14</v>
      </c>
      <c r="G1603">
        <v>158.43</v>
      </c>
      <c r="H1603" t="s">
        <v>15</v>
      </c>
      <c r="I1603" t="s">
        <v>47</v>
      </c>
      <c r="J1603" t="s">
        <v>170</v>
      </c>
    </row>
    <row r="1604" spans="1:10" x14ac:dyDescent="0.35">
      <c r="A1604" t="s">
        <v>1783</v>
      </c>
      <c r="B1604" s="10">
        <v>45942</v>
      </c>
      <c r="C1604" t="s">
        <v>138</v>
      </c>
      <c r="D1604" t="s">
        <v>12</v>
      </c>
      <c r="E1604" t="s">
        <v>26</v>
      </c>
      <c r="F1604" t="s">
        <v>14</v>
      </c>
      <c r="G1604">
        <v>160.63999999999999</v>
      </c>
      <c r="H1604" t="s">
        <v>15</v>
      </c>
      <c r="I1604" t="s">
        <v>47</v>
      </c>
      <c r="J1604" t="s">
        <v>77</v>
      </c>
    </row>
    <row r="1605" spans="1:10" x14ac:dyDescent="0.35">
      <c r="A1605" t="s">
        <v>1784</v>
      </c>
      <c r="B1605" s="10">
        <v>45942</v>
      </c>
      <c r="C1605" t="s">
        <v>33</v>
      </c>
      <c r="D1605" t="s">
        <v>34</v>
      </c>
      <c r="E1605" t="s">
        <v>35</v>
      </c>
      <c r="F1605" t="s">
        <v>14</v>
      </c>
      <c r="G1605">
        <v>157.35</v>
      </c>
      <c r="H1605" t="s">
        <v>15</v>
      </c>
      <c r="I1605" t="s">
        <v>22</v>
      </c>
      <c r="J1605" t="s">
        <v>37</v>
      </c>
    </row>
    <row r="1606" spans="1:10" x14ac:dyDescent="0.35">
      <c r="A1606" t="s">
        <v>1785</v>
      </c>
      <c r="B1606" s="10">
        <v>45942</v>
      </c>
      <c r="C1606" t="s">
        <v>204</v>
      </c>
      <c r="D1606" t="s">
        <v>12</v>
      </c>
      <c r="E1606" t="s">
        <v>51</v>
      </c>
      <c r="F1606" t="s">
        <v>14</v>
      </c>
      <c r="G1606">
        <v>46.28</v>
      </c>
      <c r="H1606" t="s">
        <v>15</v>
      </c>
      <c r="I1606" t="s">
        <v>36</v>
      </c>
      <c r="J1606" t="s">
        <v>23</v>
      </c>
    </row>
    <row r="1607" spans="1:10" x14ac:dyDescent="0.35">
      <c r="A1607" t="s">
        <v>1786</v>
      </c>
      <c r="B1607" s="10">
        <v>45943</v>
      </c>
      <c r="C1607" t="s">
        <v>215</v>
      </c>
      <c r="D1607" t="s">
        <v>80</v>
      </c>
      <c r="E1607" t="s">
        <v>117</v>
      </c>
      <c r="F1607" t="s">
        <v>14</v>
      </c>
      <c r="G1607">
        <v>103.54</v>
      </c>
      <c r="H1607" t="s">
        <v>21</v>
      </c>
      <c r="I1607" t="s">
        <v>22</v>
      </c>
      <c r="J1607" t="s">
        <v>141</v>
      </c>
    </row>
    <row r="1608" spans="1:10" x14ac:dyDescent="0.35">
      <c r="A1608" t="s">
        <v>1787</v>
      </c>
      <c r="B1608" s="10">
        <v>45943</v>
      </c>
      <c r="C1608" t="s">
        <v>109</v>
      </c>
      <c r="D1608" t="s">
        <v>34</v>
      </c>
      <c r="E1608" t="s">
        <v>35</v>
      </c>
      <c r="F1608" t="s">
        <v>14</v>
      </c>
      <c r="G1608">
        <v>156.58000000000001</v>
      </c>
      <c r="H1608" t="s">
        <v>21</v>
      </c>
      <c r="I1608" t="s">
        <v>36</v>
      </c>
      <c r="J1608" t="s">
        <v>41</v>
      </c>
    </row>
    <row r="1609" spans="1:10" x14ac:dyDescent="0.35">
      <c r="A1609" t="s">
        <v>1788</v>
      </c>
      <c r="B1609" s="10">
        <v>45943</v>
      </c>
      <c r="C1609" t="s">
        <v>76</v>
      </c>
      <c r="D1609" t="s">
        <v>12</v>
      </c>
      <c r="E1609" t="s">
        <v>13</v>
      </c>
      <c r="F1609" t="s">
        <v>14</v>
      </c>
      <c r="G1609">
        <v>51.47</v>
      </c>
      <c r="H1609" t="s">
        <v>15</v>
      </c>
      <c r="I1609" t="s">
        <v>36</v>
      </c>
      <c r="J1609" t="s">
        <v>77</v>
      </c>
    </row>
    <row r="1610" spans="1:10" x14ac:dyDescent="0.35">
      <c r="A1610" t="s">
        <v>1789</v>
      </c>
      <c r="B1610" s="10">
        <v>45944</v>
      </c>
      <c r="C1610" t="s">
        <v>50</v>
      </c>
      <c r="D1610" t="s">
        <v>12</v>
      </c>
      <c r="E1610" t="s">
        <v>51</v>
      </c>
      <c r="F1610" t="s">
        <v>14</v>
      </c>
      <c r="G1610">
        <v>15.15</v>
      </c>
      <c r="H1610" t="s">
        <v>15</v>
      </c>
      <c r="I1610" t="s">
        <v>47</v>
      </c>
      <c r="J1610" t="s">
        <v>44</v>
      </c>
    </row>
    <row r="1611" spans="1:10" x14ac:dyDescent="0.35">
      <c r="A1611" t="s">
        <v>1790</v>
      </c>
      <c r="B1611" s="10">
        <v>45944</v>
      </c>
      <c r="C1611" t="s">
        <v>109</v>
      </c>
      <c r="D1611" t="s">
        <v>34</v>
      </c>
      <c r="E1611" t="s">
        <v>35</v>
      </c>
      <c r="F1611" t="s">
        <v>14</v>
      </c>
      <c r="G1611">
        <v>32.31</v>
      </c>
      <c r="H1611" t="s">
        <v>98</v>
      </c>
      <c r="I1611" t="s">
        <v>36</v>
      </c>
      <c r="J1611" t="s">
        <v>41</v>
      </c>
    </row>
    <row r="1612" spans="1:10" x14ac:dyDescent="0.35">
      <c r="A1612" t="s">
        <v>1791</v>
      </c>
      <c r="B1612" s="10">
        <v>45944</v>
      </c>
      <c r="C1612" t="s">
        <v>179</v>
      </c>
      <c r="D1612" t="s">
        <v>80</v>
      </c>
      <c r="E1612" t="s">
        <v>117</v>
      </c>
      <c r="F1612" t="s">
        <v>14</v>
      </c>
      <c r="G1612">
        <v>112</v>
      </c>
      <c r="H1612" t="s">
        <v>15</v>
      </c>
      <c r="I1612" t="s">
        <v>22</v>
      </c>
      <c r="J1612" t="s">
        <v>180</v>
      </c>
    </row>
    <row r="1613" spans="1:10" x14ac:dyDescent="0.35">
      <c r="A1613" t="s">
        <v>1792</v>
      </c>
      <c r="B1613" s="10">
        <v>45944</v>
      </c>
      <c r="C1613" t="s">
        <v>580</v>
      </c>
      <c r="D1613" t="s">
        <v>80</v>
      </c>
      <c r="E1613" t="s">
        <v>81</v>
      </c>
      <c r="F1613" t="s">
        <v>14</v>
      </c>
      <c r="G1613">
        <v>87.78</v>
      </c>
      <c r="H1613" t="s">
        <v>15</v>
      </c>
      <c r="I1613" t="s">
        <v>22</v>
      </c>
      <c r="J1613" t="s">
        <v>118</v>
      </c>
    </row>
    <row r="1614" spans="1:10" x14ac:dyDescent="0.35">
      <c r="A1614" t="s">
        <v>1793</v>
      </c>
      <c r="B1614" s="10">
        <v>45944</v>
      </c>
      <c r="C1614" t="s">
        <v>572</v>
      </c>
      <c r="D1614" t="s">
        <v>69</v>
      </c>
      <c r="E1614" t="s">
        <v>233</v>
      </c>
      <c r="F1614" t="s">
        <v>14</v>
      </c>
      <c r="G1614">
        <v>647.87</v>
      </c>
      <c r="H1614" t="s">
        <v>21</v>
      </c>
      <c r="I1614" t="s">
        <v>22</v>
      </c>
      <c r="J1614" t="s">
        <v>292</v>
      </c>
    </row>
    <row r="1615" spans="1:10" x14ac:dyDescent="0.35">
      <c r="A1615" t="s">
        <v>1794</v>
      </c>
      <c r="B1615" s="10">
        <v>45944</v>
      </c>
      <c r="C1615" t="s">
        <v>168</v>
      </c>
      <c r="D1615" t="s">
        <v>59</v>
      </c>
      <c r="E1615" t="s">
        <v>60</v>
      </c>
      <c r="F1615" t="s">
        <v>14</v>
      </c>
      <c r="G1615">
        <v>204.7</v>
      </c>
      <c r="H1615" t="s">
        <v>15</v>
      </c>
      <c r="I1615" t="s">
        <v>47</v>
      </c>
      <c r="J1615" t="s">
        <v>170</v>
      </c>
    </row>
    <row r="1616" spans="1:10" x14ac:dyDescent="0.35">
      <c r="A1616" t="s">
        <v>1795</v>
      </c>
      <c r="B1616" s="10">
        <v>45944</v>
      </c>
      <c r="C1616" t="s">
        <v>262</v>
      </c>
      <c r="D1616" t="s">
        <v>101</v>
      </c>
      <c r="E1616" t="s">
        <v>244</v>
      </c>
      <c r="F1616" t="s">
        <v>14</v>
      </c>
      <c r="G1616">
        <v>123.55</v>
      </c>
      <c r="H1616" t="s">
        <v>21</v>
      </c>
      <c r="I1616" t="s">
        <v>22</v>
      </c>
      <c r="J1616" t="s">
        <v>136</v>
      </c>
    </row>
    <row r="1617" spans="1:10" x14ac:dyDescent="0.35">
      <c r="A1617" t="s">
        <v>1796</v>
      </c>
      <c r="B1617" s="10">
        <v>45946</v>
      </c>
      <c r="C1617" t="s">
        <v>269</v>
      </c>
      <c r="D1617" t="s">
        <v>34</v>
      </c>
      <c r="E1617" t="s">
        <v>35</v>
      </c>
      <c r="F1617" t="s">
        <v>14</v>
      </c>
      <c r="G1617">
        <v>43.84</v>
      </c>
      <c r="H1617" t="s">
        <v>15</v>
      </c>
      <c r="I1617" t="s">
        <v>84</v>
      </c>
      <c r="J1617" t="s">
        <v>123</v>
      </c>
    </row>
    <row r="1618" spans="1:10" x14ac:dyDescent="0.35">
      <c r="A1618" t="s">
        <v>1797</v>
      </c>
      <c r="B1618" s="10">
        <v>45946</v>
      </c>
      <c r="C1618" t="s">
        <v>33</v>
      </c>
      <c r="D1618" t="s">
        <v>34</v>
      </c>
      <c r="E1618" t="s">
        <v>35</v>
      </c>
      <c r="F1618" t="s">
        <v>14</v>
      </c>
      <c r="G1618">
        <v>100.25</v>
      </c>
      <c r="H1618" t="s">
        <v>21</v>
      </c>
      <c r="I1618" t="s">
        <v>47</v>
      </c>
      <c r="J1618" t="s">
        <v>37</v>
      </c>
    </row>
    <row r="1619" spans="1:10" x14ac:dyDescent="0.35">
      <c r="A1619" t="s">
        <v>1798</v>
      </c>
      <c r="B1619" s="10">
        <v>45946</v>
      </c>
      <c r="C1619" t="s">
        <v>63</v>
      </c>
      <c r="D1619" t="s">
        <v>54</v>
      </c>
      <c r="E1619" t="s">
        <v>64</v>
      </c>
      <c r="F1619" t="s">
        <v>54</v>
      </c>
      <c r="G1619">
        <v>388.79</v>
      </c>
      <c r="H1619" t="s">
        <v>15</v>
      </c>
      <c r="I1619" t="s">
        <v>22</v>
      </c>
      <c r="J1619" t="s">
        <v>65</v>
      </c>
    </row>
    <row r="1620" spans="1:10" x14ac:dyDescent="0.35">
      <c r="A1620" t="s">
        <v>1799</v>
      </c>
      <c r="B1620" s="10">
        <v>45946</v>
      </c>
      <c r="C1620" t="s">
        <v>11</v>
      </c>
      <c r="D1620" t="s">
        <v>12</v>
      </c>
      <c r="E1620" t="s">
        <v>13</v>
      </c>
      <c r="F1620" t="s">
        <v>14</v>
      </c>
      <c r="G1620">
        <v>33.31</v>
      </c>
      <c r="H1620" t="s">
        <v>15</v>
      </c>
      <c r="I1620" t="s">
        <v>22</v>
      </c>
      <c r="J1620" t="s">
        <v>17</v>
      </c>
    </row>
    <row r="1621" spans="1:10" x14ac:dyDescent="0.35">
      <c r="A1621" t="s">
        <v>1800</v>
      </c>
      <c r="B1621" s="10">
        <v>45946</v>
      </c>
      <c r="C1621" t="s">
        <v>28</v>
      </c>
      <c r="D1621" t="s">
        <v>29</v>
      </c>
      <c r="E1621" t="s">
        <v>30</v>
      </c>
      <c r="F1621" t="s">
        <v>14</v>
      </c>
      <c r="G1621">
        <v>8.5500000000000007</v>
      </c>
      <c r="H1621" t="s">
        <v>15</v>
      </c>
      <c r="I1621" t="s">
        <v>36</v>
      </c>
      <c r="J1621" t="s">
        <v>31</v>
      </c>
    </row>
    <row r="1622" spans="1:10" x14ac:dyDescent="0.35">
      <c r="A1622" t="s">
        <v>1801</v>
      </c>
      <c r="B1622" s="10">
        <v>45947</v>
      </c>
      <c r="C1622" t="s">
        <v>39</v>
      </c>
      <c r="D1622" t="s">
        <v>34</v>
      </c>
      <c r="E1622" t="s">
        <v>40</v>
      </c>
      <c r="F1622" t="s">
        <v>14</v>
      </c>
      <c r="G1622">
        <v>500</v>
      </c>
      <c r="H1622" t="s">
        <v>15</v>
      </c>
      <c r="I1622" t="s">
        <v>22</v>
      </c>
      <c r="J1622" t="s">
        <v>41</v>
      </c>
    </row>
    <row r="1623" spans="1:10" x14ac:dyDescent="0.35">
      <c r="A1623" t="s">
        <v>1802</v>
      </c>
      <c r="B1623" s="10">
        <v>45947</v>
      </c>
      <c r="C1623" t="s">
        <v>150</v>
      </c>
      <c r="D1623" t="s">
        <v>29</v>
      </c>
      <c r="E1623" t="s">
        <v>30</v>
      </c>
      <c r="F1623" t="s">
        <v>14</v>
      </c>
      <c r="G1623">
        <v>19.71</v>
      </c>
      <c r="H1623" t="s">
        <v>15</v>
      </c>
      <c r="I1623" t="s">
        <v>22</v>
      </c>
      <c r="J1623" t="s">
        <v>151</v>
      </c>
    </row>
    <row r="1624" spans="1:10" x14ac:dyDescent="0.35">
      <c r="A1624" t="s">
        <v>1803</v>
      </c>
      <c r="B1624" s="10">
        <v>45947</v>
      </c>
      <c r="C1624" t="s">
        <v>1491</v>
      </c>
      <c r="D1624" t="s">
        <v>69</v>
      </c>
      <c r="E1624" t="s">
        <v>233</v>
      </c>
      <c r="F1624" t="s">
        <v>14</v>
      </c>
      <c r="G1624">
        <v>1107.76</v>
      </c>
      <c r="H1624" t="s">
        <v>21</v>
      </c>
      <c r="I1624" t="s">
        <v>47</v>
      </c>
      <c r="J1624" t="s">
        <v>396</v>
      </c>
    </row>
    <row r="1625" spans="1:10" x14ac:dyDescent="0.35">
      <c r="A1625" t="s">
        <v>1804</v>
      </c>
      <c r="B1625" s="10">
        <v>45947</v>
      </c>
      <c r="C1625" t="s">
        <v>298</v>
      </c>
      <c r="D1625" t="s">
        <v>59</v>
      </c>
      <c r="E1625" t="s">
        <v>185</v>
      </c>
      <c r="F1625" t="s">
        <v>14</v>
      </c>
      <c r="G1625">
        <v>185.51</v>
      </c>
      <c r="H1625" t="s">
        <v>15</v>
      </c>
      <c r="I1625" t="s">
        <v>22</v>
      </c>
      <c r="J1625" t="s">
        <v>170</v>
      </c>
    </row>
    <row r="1626" spans="1:10" x14ac:dyDescent="0.35">
      <c r="A1626" t="s">
        <v>1805</v>
      </c>
      <c r="B1626" s="10">
        <v>45947</v>
      </c>
      <c r="C1626" t="s">
        <v>138</v>
      </c>
      <c r="D1626" t="s">
        <v>12</v>
      </c>
      <c r="E1626" t="s">
        <v>26</v>
      </c>
      <c r="F1626" t="s">
        <v>14</v>
      </c>
      <c r="G1626">
        <v>81.540000000000006</v>
      </c>
      <c r="H1626" t="s">
        <v>15</v>
      </c>
      <c r="I1626" t="s">
        <v>36</v>
      </c>
      <c r="J1626" t="s">
        <v>77</v>
      </c>
    </row>
    <row r="1627" spans="1:10" x14ac:dyDescent="0.35">
      <c r="A1627" t="s">
        <v>1807</v>
      </c>
      <c r="B1627" s="10">
        <v>45947</v>
      </c>
      <c r="C1627" t="s">
        <v>94</v>
      </c>
      <c r="D1627" t="s">
        <v>29</v>
      </c>
      <c r="E1627" t="s">
        <v>95</v>
      </c>
      <c r="F1627" t="s">
        <v>14</v>
      </c>
      <c r="G1627">
        <v>18.91</v>
      </c>
      <c r="H1627" t="s">
        <v>15</v>
      </c>
      <c r="I1627" t="s">
        <v>36</v>
      </c>
      <c r="J1627" t="s">
        <v>96</v>
      </c>
    </row>
    <row r="1628" spans="1:10" x14ac:dyDescent="0.35">
      <c r="A1628" t="s">
        <v>1808</v>
      </c>
      <c r="B1628" s="10">
        <v>45948</v>
      </c>
      <c r="C1628" t="s">
        <v>125</v>
      </c>
      <c r="D1628" t="s">
        <v>12</v>
      </c>
      <c r="E1628" t="s">
        <v>13</v>
      </c>
      <c r="F1628" t="s">
        <v>14</v>
      </c>
      <c r="G1628">
        <v>30.06</v>
      </c>
      <c r="H1628" t="s">
        <v>15</v>
      </c>
      <c r="I1628" t="s">
        <v>47</v>
      </c>
      <c r="J1628" t="s">
        <v>44</v>
      </c>
    </row>
    <row r="1629" spans="1:10" x14ac:dyDescent="0.35">
      <c r="A1629" t="s">
        <v>1809</v>
      </c>
      <c r="B1629" s="10">
        <v>45948</v>
      </c>
      <c r="C1629" t="s">
        <v>58</v>
      </c>
      <c r="D1629" t="s">
        <v>59</v>
      </c>
      <c r="E1629" t="s">
        <v>60</v>
      </c>
      <c r="F1629" t="s">
        <v>14</v>
      </c>
      <c r="G1629">
        <v>146.72</v>
      </c>
      <c r="H1629" t="s">
        <v>98</v>
      </c>
      <c r="I1629" t="s">
        <v>36</v>
      </c>
      <c r="J1629" t="s">
        <v>61</v>
      </c>
    </row>
    <row r="1630" spans="1:10" x14ac:dyDescent="0.35">
      <c r="A1630" t="s">
        <v>1810</v>
      </c>
      <c r="B1630" s="10">
        <v>45948</v>
      </c>
      <c r="C1630" t="s">
        <v>28</v>
      </c>
      <c r="D1630" t="s">
        <v>29</v>
      </c>
      <c r="E1630" t="s">
        <v>30</v>
      </c>
      <c r="F1630" t="s">
        <v>14</v>
      </c>
      <c r="G1630">
        <v>29.86</v>
      </c>
      <c r="H1630" t="s">
        <v>15</v>
      </c>
      <c r="I1630" t="s">
        <v>16</v>
      </c>
      <c r="J1630" t="s">
        <v>31</v>
      </c>
    </row>
    <row r="1631" spans="1:10" x14ac:dyDescent="0.35">
      <c r="A1631" t="s">
        <v>1811</v>
      </c>
      <c r="B1631" s="10">
        <v>45948</v>
      </c>
      <c r="C1631" t="s">
        <v>347</v>
      </c>
      <c r="D1631" t="s">
        <v>29</v>
      </c>
      <c r="E1631" t="s">
        <v>151</v>
      </c>
      <c r="F1631" t="s">
        <v>14</v>
      </c>
      <c r="G1631">
        <v>32.51</v>
      </c>
      <c r="H1631" t="s">
        <v>21</v>
      </c>
      <c r="I1631" t="s">
        <v>47</v>
      </c>
      <c r="J1631" t="s">
        <v>96</v>
      </c>
    </row>
    <row r="1632" spans="1:10" x14ac:dyDescent="0.35">
      <c r="A1632" t="s">
        <v>1812</v>
      </c>
      <c r="B1632" s="10">
        <v>45948</v>
      </c>
      <c r="C1632" t="s">
        <v>143</v>
      </c>
      <c r="D1632" t="s">
        <v>54</v>
      </c>
      <c r="E1632" t="s">
        <v>55</v>
      </c>
      <c r="F1632" t="s">
        <v>54</v>
      </c>
      <c r="G1632">
        <v>693.89</v>
      </c>
      <c r="H1632" t="s">
        <v>21</v>
      </c>
      <c r="I1632" t="s">
        <v>22</v>
      </c>
      <c r="J1632" t="s">
        <v>89</v>
      </c>
    </row>
    <row r="1633" spans="1:10" x14ac:dyDescent="0.35">
      <c r="A1633" t="s">
        <v>1813</v>
      </c>
      <c r="B1633" s="10">
        <v>45948</v>
      </c>
      <c r="C1633" t="s">
        <v>28</v>
      </c>
      <c r="D1633" t="s">
        <v>29</v>
      </c>
      <c r="E1633" t="s">
        <v>30</v>
      </c>
      <c r="F1633" t="s">
        <v>14</v>
      </c>
      <c r="G1633">
        <v>25.48</v>
      </c>
      <c r="H1633" t="s">
        <v>15</v>
      </c>
      <c r="I1633" t="s">
        <v>22</v>
      </c>
      <c r="J1633" t="s">
        <v>31</v>
      </c>
    </row>
    <row r="1634" spans="1:10" x14ac:dyDescent="0.35">
      <c r="A1634" t="s">
        <v>1814</v>
      </c>
      <c r="B1634" s="10">
        <v>45949</v>
      </c>
      <c r="C1634" t="s">
        <v>163</v>
      </c>
      <c r="D1634" t="s">
        <v>80</v>
      </c>
      <c r="E1634" t="s">
        <v>92</v>
      </c>
      <c r="F1634" t="s">
        <v>14</v>
      </c>
      <c r="G1634">
        <v>29.27</v>
      </c>
      <c r="H1634" t="s">
        <v>15</v>
      </c>
      <c r="I1634" t="s">
        <v>22</v>
      </c>
      <c r="J1634" t="s">
        <v>118</v>
      </c>
    </row>
    <row r="1635" spans="1:10" x14ac:dyDescent="0.35">
      <c r="A1635" t="s">
        <v>1815</v>
      </c>
      <c r="B1635" s="10">
        <v>45949</v>
      </c>
      <c r="C1635" t="s">
        <v>132</v>
      </c>
      <c r="D1635" t="s">
        <v>69</v>
      </c>
      <c r="E1635" t="s">
        <v>70</v>
      </c>
      <c r="F1635" t="s">
        <v>14</v>
      </c>
      <c r="G1635">
        <v>444.29</v>
      </c>
      <c r="H1635" t="s">
        <v>15</v>
      </c>
      <c r="I1635" t="s">
        <v>36</v>
      </c>
      <c r="J1635" t="s">
        <v>133</v>
      </c>
    </row>
    <row r="1636" spans="1:10" x14ac:dyDescent="0.35">
      <c r="A1636" t="s">
        <v>1816</v>
      </c>
      <c r="B1636" s="10">
        <v>45949</v>
      </c>
      <c r="C1636" t="s">
        <v>238</v>
      </c>
      <c r="D1636" t="s">
        <v>34</v>
      </c>
      <c r="E1636" t="s">
        <v>35</v>
      </c>
      <c r="F1636" t="s">
        <v>14</v>
      </c>
      <c r="G1636">
        <v>215.07</v>
      </c>
      <c r="H1636" t="s">
        <v>15</v>
      </c>
      <c r="I1636" t="s">
        <v>22</v>
      </c>
      <c r="J1636" t="s">
        <v>239</v>
      </c>
    </row>
    <row r="1637" spans="1:10" x14ac:dyDescent="0.35">
      <c r="A1637" t="s">
        <v>1817</v>
      </c>
      <c r="B1637" s="10">
        <v>45950</v>
      </c>
      <c r="C1637" t="s">
        <v>138</v>
      </c>
      <c r="D1637" t="s">
        <v>12</v>
      </c>
      <c r="E1637" t="s">
        <v>26</v>
      </c>
      <c r="F1637" t="s">
        <v>14</v>
      </c>
      <c r="G1637">
        <v>21.01</v>
      </c>
      <c r="H1637" t="s">
        <v>21</v>
      </c>
      <c r="I1637" t="s">
        <v>22</v>
      </c>
      <c r="J1637" t="s">
        <v>77</v>
      </c>
    </row>
    <row r="1638" spans="1:10" x14ac:dyDescent="0.35">
      <c r="A1638" t="s">
        <v>1818</v>
      </c>
      <c r="B1638" s="10">
        <v>45950</v>
      </c>
      <c r="C1638" t="s">
        <v>259</v>
      </c>
      <c r="D1638" t="s">
        <v>59</v>
      </c>
      <c r="E1638" t="s">
        <v>199</v>
      </c>
      <c r="F1638" t="s">
        <v>14</v>
      </c>
      <c r="G1638">
        <v>258.82</v>
      </c>
      <c r="H1638" t="s">
        <v>98</v>
      </c>
      <c r="I1638" t="s">
        <v>22</v>
      </c>
      <c r="J1638" t="s">
        <v>170</v>
      </c>
    </row>
    <row r="1639" spans="1:10" x14ac:dyDescent="0.35">
      <c r="A1639" t="s">
        <v>1819</v>
      </c>
      <c r="B1639" s="10">
        <v>45950</v>
      </c>
      <c r="C1639" t="s">
        <v>130</v>
      </c>
      <c r="D1639" t="s">
        <v>12</v>
      </c>
      <c r="E1639" t="s">
        <v>26</v>
      </c>
      <c r="F1639" t="s">
        <v>14</v>
      </c>
      <c r="G1639">
        <v>25.5</v>
      </c>
      <c r="H1639" t="s">
        <v>15</v>
      </c>
      <c r="I1639" t="s">
        <v>22</v>
      </c>
      <c r="J1639" t="s">
        <v>48</v>
      </c>
    </row>
    <row r="1640" spans="1:10" x14ac:dyDescent="0.35">
      <c r="A1640" t="s">
        <v>1820</v>
      </c>
      <c r="B1640" s="10">
        <v>45950</v>
      </c>
      <c r="C1640" t="s">
        <v>229</v>
      </c>
      <c r="D1640" t="s">
        <v>54</v>
      </c>
      <c r="E1640" t="s">
        <v>64</v>
      </c>
      <c r="F1640" t="s">
        <v>54</v>
      </c>
      <c r="G1640">
        <v>312.44</v>
      </c>
      <c r="H1640" t="s">
        <v>98</v>
      </c>
      <c r="I1640" t="s">
        <v>22</v>
      </c>
      <c r="J1640" t="s">
        <v>56</v>
      </c>
    </row>
    <row r="1641" spans="1:10" x14ac:dyDescent="0.35">
      <c r="A1641" t="s">
        <v>1821</v>
      </c>
      <c r="B1641" s="10">
        <v>45950</v>
      </c>
      <c r="C1641" t="s">
        <v>253</v>
      </c>
      <c r="D1641" t="s">
        <v>29</v>
      </c>
      <c r="E1641" t="s">
        <v>30</v>
      </c>
      <c r="F1641" t="s">
        <v>14</v>
      </c>
      <c r="G1641">
        <v>17.02</v>
      </c>
      <c r="H1641" t="s">
        <v>15</v>
      </c>
      <c r="I1641" t="s">
        <v>22</v>
      </c>
      <c r="J1641" t="s">
        <v>158</v>
      </c>
    </row>
    <row r="1642" spans="1:10" x14ac:dyDescent="0.35">
      <c r="A1642" t="s">
        <v>1822</v>
      </c>
      <c r="B1642" s="10">
        <v>45950</v>
      </c>
      <c r="C1642" t="s">
        <v>19</v>
      </c>
      <c r="D1642" t="s">
        <v>12</v>
      </c>
      <c r="E1642" t="s">
        <v>13</v>
      </c>
      <c r="F1642" t="s">
        <v>14</v>
      </c>
      <c r="G1642">
        <v>61.46</v>
      </c>
      <c r="H1642" t="s">
        <v>15</v>
      </c>
      <c r="I1642" t="s">
        <v>47</v>
      </c>
      <c r="J1642" t="s">
        <v>23</v>
      </c>
    </row>
    <row r="1643" spans="1:10" x14ac:dyDescent="0.35">
      <c r="A1643" t="s">
        <v>1823</v>
      </c>
      <c r="B1643" s="10">
        <v>45950</v>
      </c>
      <c r="C1643" t="s">
        <v>43</v>
      </c>
      <c r="D1643" t="s">
        <v>12</v>
      </c>
      <c r="E1643" t="s">
        <v>26</v>
      </c>
      <c r="F1643" t="s">
        <v>14</v>
      </c>
      <c r="G1643">
        <v>53.33</v>
      </c>
      <c r="H1643" t="s">
        <v>15</v>
      </c>
      <c r="I1643" t="s">
        <v>22</v>
      </c>
      <c r="J1643" t="s">
        <v>44</v>
      </c>
    </row>
    <row r="1644" spans="1:10" x14ac:dyDescent="0.35">
      <c r="A1644" t="s">
        <v>1824</v>
      </c>
      <c r="B1644" s="10">
        <v>45950</v>
      </c>
      <c r="C1644" t="s">
        <v>58</v>
      </c>
      <c r="D1644" t="s">
        <v>59</v>
      </c>
      <c r="E1644" t="s">
        <v>60</v>
      </c>
      <c r="F1644" t="s">
        <v>14</v>
      </c>
      <c r="G1644">
        <v>259.39</v>
      </c>
      <c r="H1644" t="s">
        <v>15</v>
      </c>
      <c r="I1644" t="s">
        <v>36</v>
      </c>
      <c r="J1644" t="s">
        <v>61</v>
      </c>
    </row>
    <row r="1645" spans="1:10" x14ac:dyDescent="0.35">
      <c r="A1645" t="s">
        <v>1825</v>
      </c>
      <c r="B1645" s="10">
        <v>45950</v>
      </c>
      <c r="C1645" t="s">
        <v>168</v>
      </c>
      <c r="D1645" t="s">
        <v>59</v>
      </c>
      <c r="E1645" t="s">
        <v>60</v>
      </c>
      <c r="F1645" t="s">
        <v>14</v>
      </c>
      <c r="G1645">
        <v>894.87</v>
      </c>
      <c r="H1645" t="s">
        <v>15</v>
      </c>
      <c r="I1645" t="s">
        <v>16</v>
      </c>
      <c r="J1645" t="s">
        <v>170</v>
      </c>
    </row>
    <row r="1646" spans="1:10" x14ac:dyDescent="0.35">
      <c r="A1646" t="s">
        <v>1826</v>
      </c>
      <c r="B1646" s="10">
        <v>45950</v>
      </c>
      <c r="C1646" t="s">
        <v>111</v>
      </c>
      <c r="D1646" t="s">
        <v>12</v>
      </c>
      <c r="E1646" t="s">
        <v>26</v>
      </c>
      <c r="F1646" t="s">
        <v>14</v>
      </c>
      <c r="G1646">
        <v>49.06</v>
      </c>
      <c r="H1646" t="s">
        <v>15</v>
      </c>
      <c r="I1646" t="s">
        <v>47</v>
      </c>
      <c r="J1646" t="s">
        <v>23</v>
      </c>
    </row>
    <row r="1647" spans="1:10" x14ac:dyDescent="0.35">
      <c r="A1647" t="s">
        <v>1827</v>
      </c>
      <c r="B1647" s="10">
        <v>45950</v>
      </c>
      <c r="C1647" t="s">
        <v>206</v>
      </c>
      <c r="D1647" t="s">
        <v>29</v>
      </c>
      <c r="E1647" t="s">
        <v>95</v>
      </c>
      <c r="F1647" t="s">
        <v>14</v>
      </c>
      <c r="G1647">
        <v>31.61</v>
      </c>
      <c r="H1647" t="s">
        <v>15</v>
      </c>
      <c r="I1647" t="s">
        <v>16</v>
      </c>
      <c r="J1647" t="s">
        <v>31</v>
      </c>
    </row>
    <row r="1648" spans="1:10" x14ac:dyDescent="0.35">
      <c r="A1648" t="s">
        <v>1828</v>
      </c>
      <c r="B1648" s="10">
        <v>45951</v>
      </c>
      <c r="C1648" t="s">
        <v>19</v>
      </c>
      <c r="D1648" t="s">
        <v>12</v>
      </c>
      <c r="E1648" t="s">
        <v>13</v>
      </c>
      <c r="F1648" t="s">
        <v>14</v>
      </c>
      <c r="G1648">
        <v>43.58</v>
      </c>
      <c r="H1648" t="s">
        <v>15</v>
      </c>
      <c r="I1648" t="s">
        <v>36</v>
      </c>
      <c r="J1648" t="s">
        <v>23</v>
      </c>
    </row>
    <row r="1649" spans="1:10" x14ac:dyDescent="0.35">
      <c r="A1649" t="s">
        <v>1829</v>
      </c>
      <c r="B1649" s="10">
        <v>45951</v>
      </c>
      <c r="C1649" t="s">
        <v>206</v>
      </c>
      <c r="D1649" t="s">
        <v>29</v>
      </c>
      <c r="E1649" t="s">
        <v>95</v>
      </c>
      <c r="F1649" t="s">
        <v>14</v>
      </c>
      <c r="G1649">
        <v>30.4</v>
      </c>
      <c r="H1649" t="s">
        <v>21</v>
      </c>
      <c r="I1649" t="s">
        <v>22</v>
      </c>
      <c r="J1649" t="s">
        <v>31</v>
      </c>
    </row>
    <row r="1650" spans="1:10" x14ac:dyDescent="0.35">
      <c r="A1650" t="s">
        <v>1830</v>
      </c>
      <c r="B1650" s="10">
        <v>45951</v>
      </c>
      <c r="C1650" t="s">
        <v>248</v>
      </c>
      <c r="D1650" t="s">
        <v>80</v>
      </c>
      <c r="E1650" t="s">
        <v>81</v>
      </c>
      <c r="F1650" t="s">
        <v>14</v>
      </c>
      <c r="G1650">
        <v>104.41</v>
      </c>
      <c r="H1650" t="s">
        <v>15</v>
      </c>
      <c r="I1650" t="s">
        <v>47</v>
      </c>
      <c r="J1650" t="s">
        <v>161</v>
      </c>
    </row>
    <row r="1651" spans="1:10" x14ac:dyDescent="0.35">
      <c r="A1651" t="s">
        <v>1831</v>
      </c>
      <c r="B1651" s="10">
        <v>45951</v>
      </c>
      <c r="C1651" t="s">
        <v>824</v>
      </c>
      <c r="D1651" t="s">
        <v>69</v>
      </c>
      <c r="E1651" t="s">
        <v>233</v>
      </c>
      <c r="F1651" t="s">
        <v>14</v>
      </c>
      <c r="G1651">
        <v>171.29</v>
      </c>
      <c r="H1651" t="s">
        <v>15</v>
      </c>
      <c r="I1651" t="s">
        <v>22</v>
      </c>
      <c r="J1651" t="s">
        <v>133</v>
      </c>
    </row>
    <row r="1652" spans="1:10" x14ac:dyDescent="0.35">
      <c r="A1652" t="s">
        <v>1832</v>
      </c>
      <c r="B1652" s="10">
        <v>45951</v>
      </c>
      <c r="C1652" t="s">
        <v>125</v>
      </c>
      <c r="D1652" t="s">
        <v>12</v>
      </c>
      <c r="E1652" t="s">
        <v>13</v>
      </c>
      <c r="F1652" t="s">
        <v>14</v>
      </c>
      <c r="G1652">
        <v>75.67</v>
      </c>
      <c r="H1652" t="s">
        <v>15</v>
      </c>
      <c r="I1652" t="s">
        <v>22</v>
      </c>
      <c r="J1652" t="s">
        <v>44</v>
      </c>
    </row>
    <row r="1653" spans="1:10" x14ac:dyDescent="0.35">
      <c r="A1653" t="s">
        <v>1833</v>
      </c>
      <c r="B1653" s="10">
        <v>45952</v>
      </c>
      <c r="C1653" t="s">
        <v>415</v>
      </c>
      <c r="D1653" t="s">
        <v>12</v>
      </c>
      <c r="E1653" t="s">
        <v>51</v>
      </c>
      <c r="F1653" t="s">
        <v>14</v>
      </c>
      <c r="G1653">
        <v>55.12</v>
      </c>
      <c r="H1653" t="s">
        <v>15</v>
      </c>
      <c r="I1653" t="s">
        <v>22</v>
      </c>
      <c r="J1653" t="s">
        <v>77</v>
      </c>
    </row>
    <row r="1654" spans="1:10" x14ac:dyDescent="0.35">
      <c r="A1654" t="s">
        <v>1834</v>
      </c>
      <c r="B1654" s="10">
        <v>45952</v>
      </c>
      <c r="C1654" t="s">
        <v>308</v>
      </c>
      <c r="D1654" t="s">
        <v>54</v>
      </c>
      <c r="E1654" t="s">
        <v>64</v>
      </c>
      <c r="F1654" t="s">
        <v>54</v>
      </c>
      <c r="G1654">
        <v>350.48</v>
      </c>
      <c r="H1654" t="s">
        <v>15</v>
      </c>
      <c r="I1654" t="s">
        <v>47</v>
      </c>
      <c r="J1654" t="s">
        <v>89</v>
      </c>
    </row>
    <row r="1655" spans="1:10" x14ac:dyDescent="0.35">
      <c r="A1655" t="s">
        <v>1835</v>
      </c>
      <c r="B1655" s="10">
        <v>45952</v>
      </c>
      <c r="C1655" t="s">
        <v>331</v>
      </c>
      <c r="D1655" t="s">
        <v>29</v>
      </c>
      <c r="E1655" t="s">
        <v>95</v>
      </c>
      <c r="F1655" t="s">
        <v>14</v>
      </c>
      <c r="G1655">
        <v>48.56</v>
      </c>
      <c r="H1655" t="s">
        <v>15</v>
      </c>
      <c r="I1655" t="s">
        <v>16</v>
      </c>
      <c r="J1655" t="s">
        <v>151</v>
      </c>
    </row>
    <row r="1656" spans="1:10" x14ac:dyDescent="0.35">
      <c r="A1656" t="s">
        <v>1836</v>
      </c>
      <c r="B1656" s="10">
        <v>45952</v>
      </c>
      <c r="C1656" t="s">
        <v>46</v>
      </c>
      <c r="D1656" t="s">
        <v>12</v>
      </c>
      <c r="E1656" t="s">
        <v>13</v>
      </c>
      <c r="F1656" t="s">
        <v>14</v>
      </c>
      <c r="G1656">
        <v>35.4</v>
      </c>
      <c r="H1656" t="s">
        <v>15</v>
      </c>
      <c r="I1656" t="s">
        <v>22</v>
      </c>
      <c r="J1656" t="s">
        <v>48</v>
      </c>
    </row>
    <row r="1657" spans="1:10" x14ac:dyDescent="0.35">
      <c r="A1657" t="s">
        <v>1837</v>
      </c>
      <c r="B1657" s="10">
        <v>45953</v>
      </c>
      <c r="C1657" t="s">
        <v>262</v>
      </c>
      <c r="D1657" t="s">
        <v>101</v>
      </c>
      <c r="E1657" t="s">
        <v>244</v>
      </c>
      <c r="F1657" t="s">
        <v>14</v>
      </c>
      <c r="G1657">
        <v>46.69</v>
      </c>
      <c r="H1657" t="s">
        <v>15</v>
      </c>
      <c r="I1657" t="s">
        <v>36</v>
      </c>
      <c r="J1657" t="s">
        <v>136</v>
      </c>
    </row>
    <row r="1658" spans="1:10" x14ac:dyDescent="0.35">
      <c r="A1658" t="s">
        <v>1838</v>
      </c>
      <c r="B1658" s="10">
        <v>45953</v>
      </c>
      <c r="C1658" t="s">
        <v>298</v>
      </c>
      <c r="D1658" t="s">
        <v>59</v>
      </c>
      <c r="E1658" t="s">
        <v>185</v>
      </c>
      <c r="F1658" t="s">
        <v>14</v>
      </c>
      <c r="G1658">
        <v>314.42</v>
      </c>
      <c r="H1658" t="s">
        <v>15</v>
      </c>
      <c r="I1658" t="s">
        <v>22</v>
      </c>
      <c r="J1658" t="s">
        <v>170</v>
      </c>
    </row>
    <row r="1659" spans="1:10" x14ac:dyDescent="0.35">
      <c r="A1659" t="s">
        <v>1839</v>
      </c>
      <c r="B1659" s="10">
        <v>45953</v>
      </c>
      <c r="C1659" t="s">
        <v>88</v>
      </c>
      <c r="D1659" t="s">
        <v>54</v>
      </c>
      <c r="E1659" t="s">
        <v>74</v>
      </c>
      <c r="F1659" t="s">
        <v>54</v>
      </c>
      <c r="G1659">
        <v>2157.3200000000002</v>
      </c>
      <c r="H1659" t="s">
        <v>15</v>
      </c>
      <c r="I1659" t="s">
        <v>84</v>
      </c>
      <c r="J1659" t="s">
        <v>89</v>
      </c>
    </row>
    <row r="1660" spans="1:10" x14ac:dyDescent="0.35">
      <c r="A1660" t="s">
        <v>1840</v>
      </c>
      <c r="B1660" s="10">
        <v>45953</v>
      </c>
      <c r="C1660" t="s">
        <v>19</v>
      </c>
      <c r="D1660" t="s">
        <v>12</v>
      </c>
      <c r="E1660" t="s">
        <v>13</v>
      </c>
      <c r="F1660" t="s">
        <v>14</v>
      </c>
      <c r="G1660">
        <v>122.93</v>
      </c>
      <c r="H1660" t="s">
        <v>15</v>
      </c>
      <c r="I1660" t="s">
        <v>36</v>
      </c>
      <c r="J1660" t="s">
        <v>23</v>
      </c>
    </row>
    <row r="1661" spans="1:10" x14ac:dyDescent="0.35">
      <c r="A1661" t="s">
        <v>1841</v>
      </c>
      <c r="B1661" s="10">
        <v>45954</v>
      </c>
      <c r="C1661" t="s">
        <v>445</v>
      </c>
      <c r="D1661" t="s">
        <v>101</v>
      </c>
      <c r="E1661" t="s">
        <v>244</v>
      </c>
      <c r="F1661" t="s">
        <v>14</v>
      </c>
      <c r="G1661">
        <v>43.59</v>
      </c>
      <c r="H1661" t="s">
        <v>15</v>
      </c>
      <c r="I1661" t="s">
        <v>36</v>
      </c>
      <c r="J1661" t="s">
        <v>103</v>
      </c>
    </row>
    <row r="1662" spans="1:10" x14ac:dyDescent="0.35">
      <c r="A1662" t="s">
        <v>1842</v>
      </c>
      <c r="B1662" s="10">
        <v>45954</v>
      </c>
      <c r="C1662" t="s">
        <v>262</v>
      </c>
      <c r="D1662" t="s">
        <v>101</v>
      </c>
      <c r="E1662" t="s">
        <v>244</v>
      </c>
      <c r="F1662" t="s">
        <v>14</v>
      </c>
      <c r="G1662">
        <v>94.66</v>
      </c>
      <c r="H1662" t="s">
        <v>98</v>
      </c>
      <c r="I1662" t="s">
        <v>22</v>
      </c>
      <c r="J1662" t="s">
        <v>136</v>
      </c>
    </row>
    <row r="1663" spans="1:10" x14ac:dyDescent="0.35">
      <c r="A1663" t="s">
        <v>1843</v>
      </c>
      <c r="B1663" s="10">
        <v>45954</v>
      </c>
      <c r="C1663" t="s">
        <v>50</v>
      </c>
      <c r="D1663" t="s">
        <v>12</v>
      </c>
      <c r="E1663" t="s">
        <v>51</v>
      </c>
      <c r="F1663" t="s">
        <v>14</v>
      </c>
      <c r="G1663">
        <v>62.3</v>
      </c>
      <c r="H1663" t="s">
        <v>15</v>
      </c>
      <c r="I1663" t="s">
        <v>22</v>
      </c>
      <c r="J1663" t="s">
        <v>44</v>
      </c>
    </row>
    <row r="1664" spans="1:10" x14ac:dyDescent="0.35">
      <c r="A1664" t="s">
        <v>1844</v>
      </c>
      <c r="B1664" s="10">
        <v>45954</v>
      </c>
      <c r="C1664" t="s">
        <v>184</v>
      </c>
      <c r="D1664" t="s">
        <v>59</v>
      </c>
      <c r="E1664" t="s">
        <v>185</v>
      </c>
      <c r="F1664" t="s">
        <v>14</v>
      </c>
      <c r="G1664">
        <v>200.08</v>
      </c>
      <c r="H1664" t="s">
        <v>21</v>
      </c>
      <c r="I1664" t="s">
        <v>22</v>
      </c>
      <c r="J1664" t="s">
        <v>61</v>
      </c>
    </row>
    <row r="1665" spans="1:10" x14ac:dyDescent="0.35">
      <c r="A1665" t="s">
        <v>1845</v>
      </c>
      <c r="B1665" s="10">
        <v>45954</v>
      </c>
      <c r="C1665" t="s">
        <v>63</v>
      </c>
      <c r="D1665" t="s">
        <v>54</v>
      </c>
      <c r="E1665" t="s">
        <v>64</v>
      </c>
      <c r="F1665" t="s">
        <v>54</v>
      </c>
      <c r="G1665">
        <v>300.31</v>
      </c>
      <c r="H1665" t="s">
        <v>15</v>
      </c>
      <c r="I1665" t="s">
        <v>16</v>
      </c>
      <c r="J1665" t="s">
        <v>65</v>
      </c>
    </row>
    <row r="1666" spans="1:10" x14ac:dyDescent="0.35">
      <c r="A1666" t="s">
        <v>1846</v>
      </c>
      <c r="B1666" s="10">
        <v>45954</v>
      </c>
      <c r="C1666" t="s">
        <v>163</v>
      </c>
      <c r="D1666" t="s">
        <v>80</v>
      </c>
      <c r="E1666" t="s">
        <v>92</v>
      </c>
      <c r="F1666" t="s">
        <v>14</v>
      </c>
      <c r="G1666">
        <v>117.77</v>
      </c>
      <c r="H1666" t="s">
        <v>15</v>
      </c>
      <c r="I1666" t="s">
        <v>22</v>
      </c>
      <c r="J1666" t="s">
        <v>118</v>
      </c>
    </row>
    <row r="1667" spans="1:10" x14ac:dyDescent="0.35">
      <c r="A1667" t="s">
        <v>1847</v>
      </c>
      <c r="B1667" s="10">
        <v>45954</v>
      </c>
      <c r="C1667" t="s">
        <v>324</v>
      </c>
      <c r="D1667" t="s">
        <v>80</v>
      </c>
      <c r="E1667" t="s">
        <v>92</v>
      </c>
      <c r="F1667" t="s">
        <v>14</v>
      </c>
      <c r="G1667">
        <v>138.16</v>
      </c>
      <c r="H1667" t="s">
        <v>98</v>
      </c>
      <c r="I1667" t="s">
        <v>47</v>
      </c>
      <c r="J1667" t="s">
        <v>161</v>
      </c>
    </row>
    <row r="1668" spans="1:10" x14ac:dyDescent="0.35">
      <c r="A1668" t="s">
        <v>1848</v>
      </c>
      <c r="B1668" s="10">
        <v>45955</v>
      </c>
      <c r="C1668" t="s">
        <v>281</v>
      </c>
      <c r="D1668" t="s">
        <v>34</v>
      </c>
      <c r="E1668" t="s">
        <v>40</v>
      </c>
      <c r="F1668" t="s">
        <v>14</v>
      </c>
      <c r="G1668">
        <v>215.43</v>
      </c>
      <c r="H1668" t="s">
        <v>15</v>
      </c>
      <c r="I1668" t="s">
        <v>16</v>
      </c>
      <c r="J1668" t="s">
        <v>123</v>
      </c>
    </row>
    <row r="1669" spans="1:10" x14ac:dyDescent="0.35">
      <c r="A1669" t="s">
        <v>1849</v>
      </c>
      <c r="B1669" s="10">
        <v>45955</v>
      </c>
      <c r="C1669" t="s">
        <v>143</v>
      </c>
      <c r="D1669" t="s">
        <v>54</v>
      </c>
      <c r="E1669" t="s">
        <v>55</v>
      </c>
      <c r="F1669" t="s">
        <v>54</v>
      </c>
      <c r="G1669">
        <v>565.48</v>
      </c>
      <c r="H1669" t="s">
        <v>21</v>
      </c>
      <c r="I1669" t="s">
        <v>16</v>
      </c>
      <c r="J1669" t="s">
        <v>89</v>
      </c>
    </row>
    <row r="1670" spans="1:10" x14ac:dyDescent="0.35">
      <c r="A1670" t="s">
        <v>1850</v>
      </c>
      <c r="B1670" s="10">
        <v>45955</v>
      </c>
      <c r="C1670" t="s">
        <v>111</v>
      </c>
      <c r="D1670" t="s">
        <v>12</v>
      </c>
      <c r="E1670" t="s">
        <v>26</v>
      </c>
      <c r="F1670" t="s">
        <v>14</v>
      </c>
      <c r="G1670">
        <v>45.1</v>
      </c>
      <c r="H1670" t="s">
        <v>21</v>
      </c>
      <c r="I1670" t="s">
        <v>22</v>
      </c>
      <c r="J1670" t="s">
        <v>23</v>
      </c>
    </row>
    <row r="1671" spans="1:10" x14ac:dyDescent="0.35">
      <c r="A1671" t="s">
        <v>1851</v>
      </c>
      <c r="B1671" s="10">
        <v>45956</v>
      </c>
      <c r="C1671" t="s">
        <v>53</v>
      </c>
      <c r="D1671" t="s">
        <v>54</v>
      </c>
      <c r="E1671" t="s">
        <v>55</v>
      </c>
      <c r="F1671" t="s">
        <v>54</v>
      </c>
      <c r="G1671">
        <v>716</v>
      </c>
      <c r="H1671" t="s">
        <v>15</v>
      </c>
      <c r="I1671" t="s">
        <v>22</v>
      </c>
      <c r="J1671" t="s">
        <v>56</v>
      </c>
    </row>
    <row r="1672" spans="1:10" x14ac:dyDescent="0.35">
      <c r="A1672" t="s">
        <v>1852</v>
      </c>
      <c r="B1672" s="10">
        <v>45956</v>
      </c>
      <c r="C1672" t="s">
        <v>248</v>
      </c>
      <c r="D1672" t="s">
        <v>80</v>
      </c>
      <c r="E1672" t="s">
        <v>81</v>
      </c>
      <c r="F1672" t="s">
        <v>14</v>
      </c>
      <c r="G1672">
        <v>55.04</v>
      </c>
      <c r="H1672" t="s">
        <v>15</v>
      </c>
      <c r="I1672" t="s">
        <v>22</v>
      </c>
      <c r="J1672" t="s">
        <v>161</v>
      </c>
    </row>
    <row r="1673" spans="1:10" x14ac:dyDescent="0.35">
      <c r="A1673" t="s">
        <v>1853</v>
      </c>
      <c r="B1673" s="10">
        <v>45956</v>
      </c>
      <c r="C1673" t="s">
        <v>11</v>
      </c>
      <c r="D1673" t="s">
        <v>12</v>
      </c>
      <c r="E1673" t="s">
        <v>13</v>
      </c>
      <c r="F1673" t="s">
        <v>14</v>
      </c>
      <c r="G1673">
        <v>147.6</v>
      </c>
      <c r="H1673" t="s">
        <v>15</v>
      </c>
      <c r="I1673" t="s">
        <v>22</v>
      </c>
      <c r="J1673" t="s">
        <v>17</v>
      </c>
    </row>
    <row r="1674" spans="1:10" x14ac:dyDescent="0.35">
      <c r="A1674" t="s">
        <v>1854</v>
      </c>
      <c r="B1674" s="10">
        <v>45956</v>
      </c>
      <c r="C1674" t="s">
        <v>116</v>
      </c>
      <c r="D1674" t="s">
        <v>80</v>
      </c>
      <c r="E1674" t="s">
        <v>117</v>
      </c>
      <c r="F1674" t="s">
        <v>14</v>
      </c>
      <c r="G1674">
        <v>89.21</v>
      </c>
      <c r="H1674" t="s">
        <v>15</v>
      </c>
      <c r="I1674" t="s">
        <v>47</v>
      </c>
      <c r="J1674" t="s">
        <v>118</v>
      </c>
    </row>
    <row r="1675" spans="1:10" x14ac:dyDescent="0.35">
      <c r="A1675" t="s">
        <v>1855</v>
      </c>
      <c r="B1675" s="10">
        <v>45956</v>
      </c>
      <c r="C1675" t="s">
        <v>58</v>
      </c>
      <c r="D1675" t="s">
        <v>59</v>
      </c>
      <c r="E1675" t="s">
        <v>60</v>
      </c>
      <c r="F1675" t="s">
        <v>14</v>
      </c>
      <c r="G1675">
        <v>123.01</v>
      </c>
      <c r="H1675" t="s">
        <v>15</v>
      </c>
      <c r="I1675" t="s">
        <v>22</v>
      </c>
      <c r="J1675" t="s">
        <v>61</v>
      </c>
    </row>
    <row r="1676" spans="1:10" x14ac:dyDescent="0.35">
      <c r="A1676" t="s">
        <v>1856</v>
      </c>
      <c r="B1676" s="10">
        <v>45956</v>
      </c>
      <c r="C1676" t="s">
        <v>210</v>
      </c>
      <c r="D1676" t="s">
        <v>59</v>
      </c>
      <c r="E1676" t="s">
        <v>185</v>
      </c>
      <c r="F1676" t="s">
        <v>14</v>
      </c>
      <c r="G1676">
        <v>261.79000000000002</v>
      </c>
      <c r="H1676" t="s">
        <v>21</v>
      </c>
      <c r="I1676" t="s">
        <v>22</v>
      </c>
      <c r="J1676" t="s">
        <v>211</v>
      </c>
    </row>
    <row r="1677" spans="1:10" x14ac:dyDescent="0.35">
      <c r="A1677" t="s">
        <v>1857</v>
      </c>
      <c r="B1677" s="10">
        <v>45956</v>
      </c>
      <c r="C1677" t="s">
        <v>189</v>
      </c>
      <c r="D1677" t="s">
        <v>34</v>
      </c>
      <c r="E1677" t="s">
        <v>122</v>
      </c>
      <c r="F1677" t="s">
        <v>14</v>
      </c>
      <c r="G1677">
        <v>35.369999999999997</v>
      </c>
      <c r="H1677" t="s">
        <v>15</v>
      </c>
      <c r="I1677" t="s">
        <v>36</v>
      </c>
      <c r="J1677" t="s">
        <v>37</v>
      </c>
    </row>
    <row r="1678" spans="1:10" x14ac:dyDescent="0.35">
      <c r="A1678" t="s">
        <v>1858</v>
      </c>
      <c r="B1678" s="10">
        <v>45957</v>
      </c>
      <c r="C1678" t="s">
        <v>94</v>
      </c>
      <c r="D1678" t="s">
        <v>29</v>
      </c>
      <c r="E1678" t="s">
        <v>95</v>
      </c>
      <c r="F1678" t="s">
        <v>14</v>
      </c>
      <c r="G1678">
        <v>22.83</v>
      </c>
      <c r="H1678" t="s">
        <v>15</v>
      </c>
      <c r="I1678" t="s">
        <v>22</v>
      </c>
      <c r="J1678" t="s">
        <v>96</v>
      </c>
    </row>
    <row r="1679" spans="1:10" x14ac:dyDescent="0.35">
      <c r="A1679" t="s">
        <v>1859</v>
      </c>
      <c r="B1679" s="10">
        <v>45957</v>
      </c>
      <c r="C1679" t="s">
        <v>580</v>
      </c>
      <c r="D1679" t="s">
        <v>80</v>
      </c>
      <c r="E1679" t="s">
        <v>81</v>
      </c>
      <c r="F1679" t="s">
        <v>14</v>
      </c>
      <c r="G1679">
        <v>45.45</v>
      </c>
      <c r="H1679" t="s">
        <v>21</v>
      </c>
      <c r="I1679" t="s">
        <v>36</v>
      </c>
      <c r="J1679" t="s">
        <v>118</v>
      </c>
    </row>
    <row r="1680" spans="1:10" x14ac:dyDescent="0.35">
      <c r="A1680" t="s">
        <v>1860</v>
      </c>
      <c r="B1680" s="10">
        <v>45957</v>
      </c>
      <c r="C1680" t="s">
        <v>73</v>
      </c>
      <c r="D1680" t="s">
        <v>54</v>
      </c>
      <c r="E1680" t="s">
        <v>74</v>
      </c>
      <c r="F1680" t="s">
        <v>54</v>
      </c>
      <c r="G1680">
        <v>2453.17</v>
      </c>
      <c r="H1680" t="s">
        <v>21</v>
      </c>
      <c r="I1680" t="s">
        <v>47</v>
      </c>
      <c r="J1680" t="s">
        <v>65</v>
      </c>
    </row>
    <row r="1681" spans="1:10" x14ac:dyDescent="0.35">
      <c r="A1681" t="s">
        <v>1861</v>
      </c>
      <c r="B1681" s="10">
        <v>45957</v>
      </c>
      <c r="C1681" t="s">
        <v>220</v>
      </c>
      <c r="D1681" t="s">
        <v>59</v>
      </c>
      <c r="E1681" t="s">
        <v>199</v>
      </c>
      <c r="F1681" t="s">
        <v>14</v>
      </c>
      <c r="G1681">
        <v>224.78</v>
      </c>
      <c r="H1681" t="s">
        <v>21</v>
      </c>
      <c r="I1681" t="s">
        <v>22</v>
      </c>
      <c r="J1681" t="s">
        <v>211</v>
      </c>
    </row>
    <row r="1682" spans="1:10" x14ac:dyDescent="0.35">
      <c r="A1682" t="s">
        <v>1862</v>
      </c>
      <c r="B1682" s="10">
        <v>45957</v>
      </c>
      <c r="C1682" t="s">
        <v>53</v>
      </c>
      <c r="D1682" t="s">
        <v>54</v>
      </c>
      <c r="E1682" t="s">
        <v>55</v>
      </c>
      <c r="F1682" t="s">
        <v>54</v>
      </c>
      <c r="G1682">
        <v>644.73</v>
      </c>
      <c r="H1682" t="s">
        <v>21</v>
      </c>
      <c r="I1682" t="s">
        <v>22</v>
      </c>
      <c r="J1682" t="s">
        <v>56</v>
      </c>
    </row>
    <row r="1683" spans="1:10" x14ac:dyDescent="0.35">
      <c r="A1683" t="s">
        <v>1863</v>
      </c>
      <c r="B1683" s="10">
        <v>45958</v>
      </c>
      <c r="C1683" t="s">
        <v>210</v>
      </c>
      <c r="D1683" t="s">
        <v>59</v>
      </c>
      <c r="E1683" t="s">
        <v>185</v>
      </c>
      <c r="F1683" t="s">
        <v>14</v>
      </c>
      <c r="G1683">
        <v>289.79000000000002</v>
      </c>
      <c r="H1683" t="s">
        <v>21</v>
      </c>
      <c r="I1683" t="s">
        <v>36</v>
      </c>
      <c r="J1683" t="s">
        <v>211</v>
      </c>
    </row>
    <row r="1684" spans="1:10" x14ac:dyDescent="0.35">
      <c r="A1684" t="s">
        <v>1864</v>
      </c>
      <c r="B1684" s="10">
        <v>45958</v>
      </c>
      <c r="C1684" t="s">
        <v>53</v>
      </c>
      <c r="D1684" t="s">
        <v>54</v>
      </c>
      <c r="E1684" t="s">
        <v>55</v>
      </c>
      <c r="F1684" t="s">
        <v>54</v>
      </c>
      <c r="G1684">
        <v>693.58</v>
      </c>
      <c r="H1684" t="s">
        <v>15</v>
      </c>
      <c r="I1684" t="s">
        <v>22</v>
      </c>
      <c r="J1684" t="s">
        <v>56</v>
      </c>
    </row>
    <row r="1685" spans="1:10" x14ac:dyDescent="0.35">
      <c r="A1685" t="s">
        <v>1865</v>
      </c>
      <c r="B1685" s="10">
        <v>45958</v>
      </c>
      <c r="C1685" t="s">
        <v>198</v>
      </c>
      <c r="D1685" t="s">
        <v>59</v>
      </c>
      <c r="E1685" t="s">
        <v>199</v>
      </c>
      <c r="F1685" t="s">
        <v>14</v>
      </c>
      <c r="G1685">
        <v>214.3</v>
      </c>
      <c r="H1685" t="s">
        <v>15</v>
      </c>
      <c r="I1685" t="s">
        <v>47</v>
      </c>
      <c r="J1685" t="s">
        <v>61</v>
      </c>
    </row>
    <row r="1686" spans="1:10" x14ac:dyDescent="0.35">
      <c r="A1686" t="s">
        <v>1866</v>
      </c>
      <c r="B1686" s="10">
        <v>45958</v>
      </c>
      <c r="C1686" t="s">
        <v>88</v>
      </c>
      <c r="D1686" t="s">
        <v>54</v>
      </c>
      <c r="E1686" t="s">
        <v>74</v>
      </c>
      <c r="F1686" t="s">
        <v>54</v>
      </c>
      <c r="G1686">
        <v>2341.69</v>
      </c>
      <c r="H1686" t="s">
        <v>15</v>
      </c>
      <c r="I1686" t="s">
        <v>22</v>
      </c>
      <c r="J1686" t="s">
        <v>89</v>
      </c>
    </row>
    <row r="1687" spans="1:10" x14ac:dyDescent="0.35">
      <c r="A1687" t="s">
        <v>1867</v>
      </c>
      <c r="B1687" s="10">
        <v>45958</v>
      </c>
      <c r="C1687" t="s">
        <v>251</v>
      </c>
      <c r="D1687" t="s">
        <v>29</v>
      </c>
      <c r="E1687" t="s">
        <v>151</v>
      </c>
      <c r="F1687" t="s">
        <v>14</v>
      </c>
      <c r="G1687">
        <v>22.77</v>
      </c>
      <c r="H1687" t="s">
        <v>15</v>
      </c>
      <c r="I1687" t="s">
        <v>47</v>
      </c>
      <c r="J1687" t="s">
        <v>31</v>
      </c>
    </row>
    <row r="1688" spans="1:10" x14ac:dyDescent="0.35">
      <c r="A1688" t="s">
        <v>1868</v>
      </c>
      <c r="B1688" s="10">
        <v>45958</v>
      </c>
      <c r="C1688" t="s">
        <v>39</v>
      </c>
      <c r="D1688" t="s">
        <v>34</v>
      </c>
      <c r="E1688" t="s">
        <v>40</v>
      </c>
      <c r="F1688" t="s">
        <v>14</v>
      </c>
      <c r="G1688">
        <v>139.69999999999999</v>
      </c>
      <c r="H1688" t="s">
        <v>15</v>
      </c>
      <c r="I1688" t="s">
        <v>22</v>
      </c>
      <c r="J1688" t="s">
        <v>41</v>
      </c>
    </row>
    <row r="1689" spans="1:10" x14ac:dyDescent="0.35">
      <c r="A1689" t="s">
        <v>1869</v>
      </c>
      <c r="B1689" s="10">
        <v>45958</v>
      </c>
      <c r="C1689" t="s">
        <v>125</v>
      </c>
      <c r="D1689" t="s">
        <v>12</v>
      </c>
      <c r="E1689" t="s">
        <v>13</v>
      </c>
      <c r="F1689" t="s">
        <v>14</v>
      </c>
      <c r="G1689">
        <v>131.41</v>
      </c>
      <c r="H1689" t="s">
        <v>21</v>
      </c>
      <c r="I1689" t="s">
        <v>47</v>
      </c>
      <c r="J1689" t="s">
        <v>44</v>
      </c>
    </row>
    <row r="1690" spans="1:10" x14ac:dyDescent="0.35">
      <c r="A1690" t="s">
        <v>1870</v>
      </c>
      <c r="B1690" s="10">
        <v>45958</v>
      </c>
      <c r="C1690" t="s">
        <v>157</v>
      </c>
      <c r="D1690" t="s">
        <v>29</v>
      </c>
      <c r="E1690" t="s">
        <v>95</v>
      </c>
      <c r="F1690" t="s">
        <v>14</v>
      </c>
      <c r="G1690">
        <v>93.52</v>
      </c>
      <c r="H1690" t="s">
        <v>98</v>
      </c>
      <c r="I1690" t="s">
        <v>22</v>
      </c>
      <c r="J1690" t="s">
        <v>158</v>
      </c>
    </row>
    <row r="1691" spans="1:10" x14ac:dyDescent="0.35">
      <c r="A1691" t="s">
        <v>1871</v>
      </c>
      <c r="B1691" s="10">
        <v>45958</v>
      </c>
      <c r="C1691" t="s">
        <v>58</v>
      </c>
      <c r="D1691" t="s">
        <v>59</v>
      </c>
      <c r="E1691" t="s">
        <v>60</v>
      </c>
      <c r="F1691" t="s">
        <v>14</v>
      </c>
      <c r="G1691">
        <v>319.85000000000002</v>
      </c>
      <c r="H1691" t="s">
        <v>15</v>
      </c>
      <c r="I1691" t="s">
        <v>22</v>
      </c>
      <c r="J1691" t="s">
        <v>61</v>
      </c>
    </row>
    <row r="1692" spans="1:10" x14ac:dyDescent="0.35">
      <c r="A1692" t="s">
        <v>1872</v>
      </c>
      <c r="B1692" s="10">
        <v>45958</v>
      </c>
      <c r="C1692" t="s">
        <v>76</v>
      </c>
      <c r="D1692" t="s">
        <v>12</v>
      </c>
      <c r="E1692" t="s">
        <v>13</v>
      </c>
      <c r="F1692" t="s">
        <v>14</v>
      </c>
      <c r="G1692">
        <v>111.36</v>
      </c>
      <c r="H1692" t="s">
        <v>15</v>
      </c>
      <c r="I1692" t="s">
        <v>36</v>
      </c>
      <c r="J1692" t="s">
        <v>77</v>
      </c>
    </row>
    <row r="1693" spans="1:10" x14ac:dyDescent="0.35">
      <c r="A1693" t="s">
        <v>1873</v>
      </c>
      <c r="B1693" s="10">
        <v>45959</v>
      </c>
      <c r="C1693" t="s">
        <v>172</v>
      </c>
      <c r="D1693" t="s">
        <v>101</v>
      </c>
      <c r="E1693" t="s">
        <v>102</v>
      </c>
      <c r="F1693" t="s">
        <v>14</v>
      </c>
      <c r="G1693">
        <v>134.63</v>
      </c>
      <c r="H1693" t="s">
        <v>21</v>
      </c>
      <c r="I1693" t="s">
        <v>47</v>
      </c>
      <c r="J1693" t="s">
        <v>102</v>
      </c>
    </row>
    <row r="1694" spans="1:10" x14ac:dyDescent="0.35">
      <c r="A1694" t="s">
        <v>1874</v>
      </c>
      <c r="B1694" s="10">
        <v>45959</v>
      </c>
      <c r="C1694" t="s">
        <v>58</v>
      </c>
      <c r="D1694" t="s">
        <v>59</v>
      </c>
      <c r="E1694" t="s">
        <v>60</v>
      </c>
      <c r="F1694" t="s">
        <v>14</v>
      </c>
      <c r="G1694">
        <v>159.05000000000001</v>
      </c>
      <c r="H1694" t="s">
        <v>98</v>
      </c>
      <c r="I1694" t="s">
        <v>36</v>
      </c>
      <c r="J1694" t="s">
        <v>61</v>
      </c>
    </row>
    <row r="1695" spans="1:10" x14ac:dyDescent="0.35">
      <c r="A1695" t="s">
        <v>1875</v>
      </c>
      <c r="B1695" s="10">
        <v>45959</v>
      </c>
      <c r="C1695" t="s">
        <v>411</v>
      </c>
      <c r="D1695" t="s">
        <v>29</v>
      </c>
      <c r="E1695" t="s">
        <v>151</v>
      </c>
      <c r="F1695" t="s">
        <v>14</v>
      </c>
      <c r="G1695">
        <v>24.67</v>
      </c>
      <c r="H1695" t="s">
        <v>15</v>
      </c>
      <c r="I1695" t="s">
        <v>36</v>
      </c>
      <c r="J1695" t="s">
        <v>151</v>
      </c>
    </row>
    <row r="1696" spans="1:10" x14ac:dyDescent="0.35">
      <c r="A1696" t="s">
        <v>1876</v>
      </c>
      <c r="B1696" s="10">
        <v>45959</v>
      </c>
      <c r="C1696" t="s">
        <v>116</v>
      </c>
      <c r="D1696" t="s">
        <v>80</v>
      </c>
      <c r="E1696" t="s">
        <v>117</v>
      </c>
      <c r="F1696" t="s">
        <v>14</v>
      </c>
      <c r="G1696">
        <v>17.96</v>
      </c>
      <c r="H1696" t="s">
        <v>15</v>
      </c>
      <c r="I1696" t="s">
        <v>22</v>
      </c>
      <c r="J1696" t="s">
        <v>118</v>
      </c>
    </row>
    <row r="1697" spans="1:10" x14ac:dyDescent="0.35">
      <c r="A1697" t="s">
        <v>1877</v>
      </c>
      <c r="B1697" s="10">
        <v>45959</v>
      </c>
      <c r="C1697" t="s">
        <v>111</v>
      </c>
      <c r="D1697" t="s">
        <v>12</v>
      </c>
      <c r="E1697" t="s">
        <v>26</v>
      </c>
      <c r="F1697" t="s">
        <v>14</v>
      </c>
      <c r="G1697">
        <v>19.37</v>
      </c>
      <c r="H1697" t="s">
        <v>15</v>
      </c>
      <c r="I1697" t="s">
        <v>36</v>
      </c>
      <c r="J1697" t="s">
        <v>23</v>
      </c>
    </row>
    <row r="1698" spans="1:10" x14ac:dyDescent="0.35">
      <c r="A1698" t="s">
        <v>1878</v>
      </c>
      <c r="B1698" s="10">
        <v>45960</v>
      </c>
      <c r="C1698" t="s">
        <v>25</v>
      </c>
      <c r="D1698" t="s">
        <v>12</v>
      </c>
      <c r="E1698" t="s">
        <v>26</v>
      </c>
      <c r="F1698" t="s">
        <v>14</v>
      </c>
      <c r="G1698">
        <v>13.98</v>
      </c>
      <c r="H1698" t="s">
        <v>21</v>
      </c>
      <c r="I1698" t="s">
        <v>36</v>
      </c>
      <c r="J1698" t="s">
        <v>17</v>
      </c>
    </row>
    <row r="1699" spans="1:10" x14ac:dyDescent="0.35">
      <c r="A1699" t="s">
        <v>1879</v>
      </c>
      <c r="B1699" s="10">
        <v>45960</v>
      </c>
      <c r="C1699" t="s">
        <v>94</v>
      </c>
      <c r="D1699" t="s">
        <v>29</v>
      </c>
      <c r="E1699" t="s">
        <v>95</v>
      </c>
      <c r="F1699" t="s">
        <v>14</v>
      </c>
      <c r="G1699">
        <v>42.83</v>
      </c>
      <c r="H1699" t="s">
        <v>15</v>
      </c>
      <c r="I1699" t="s">
        <v>16</v>
      </c>
      <c r="J1699" t="s">
        <v>96</v>
      </c>
    </row>
    <row r="1700" spans="1:10" x14ac:dyDescent="0.35">
      <c r="A1700" t="s">
        <v>1880</v>
      </c>
      <c r="B1700" s="10">
        <v>45960</v>
      </c>
      <c r="C1700" t="s">
        <v>160</v>
      </c>
      <c r="D1700" t="s">
        <v>80</v>
      </c>
      <c r="E1700" t="s">
        <v>117</v>
      </c>
      <c r="F1700" t="s">
        <v>14</v>
      </c>
      <c r="G1700">
        <v>78.36</v>
      </c>
      <c r="H1700" t="s">
        <v>15</v>
      </c>
      <c r="I1700" t="s">
        <v>22</v>
      </c>
      <c r="J1700" t="s">
        <v>161</v>
      </c>
    </row>
    <row r="1701" spans="1:10" x14ac:dyDescent="0.35">
      <c r="A1701" t="s">
        <v>1881</v>
      </c>
      <c r="B1701" s="10">
        <v>45960</v>
      </c>
      <c r="C1701" t="s">
        <v>135</v>
      </c>
      <c r="D1701" t="s">
        <v>101</v>
      </c>
      <c r="E1701" t="s">
        <v>102</v>
      </c>
      <c r="F1701" t="s">
        <v>14</v>
      </c>
      <c r="G1701">
        <v>60.05</v>
      </c>
      <c r="H1701" t="s">
        <v>15</v>
      </c>
      <c r="I1701" t="s">
        <v>36</v>
      </c>
      <c r="J1701" t="s">
        <v>136</v>
      </c>
    </row>
    <row r="1702" spans="1:10" x14ac:dyDescent="0.35">
      <c r="A1702" t="s">
        <v>1882</v>
      </c>
      <c r="B1702" s="10">
        <v>45960</v>
      </c>
      <c r="C1702" t="s">
        <v>217</v>
      </c>
      <c r="D1702" t="s">
        <v>80</v>
      </c>
      <c r="E1702" t="s">
        <v>81</v>
      </c>
      <c r="F1702" t="s">
        <v>14</v>
      </c>
      <c r="G1702">
        <v>78.040000000000006</v>
      </c>
      <c r="H1702" t="s">
        <v>21</v>
      </c>
      <c r="I1702" t="s">
        <v>16</v>
      </c>
      <c r="J1702" t="s">
        <v>180</v>
      </c>
    </row>
    <row r="1703" spans="1:10" x14ac:dyDescent="0.35">
      <c r="A1703" t="s">
        <v>1883</v>
      </c>
      <c r="B1703" s="10">
        <v>45961</v>
      </c>
      <c r="C1703" t="s">
        <v>25</v>
      </c>
      <c r="D1703" t="s">
        <v>12</v>
      </c>
      <c r="E1703" t="s">
        <v>26</v>
      </c>
      <c r="F1703" t="s">
        <v>14</v>
      </c>
      <c r="G1703">
        <v>58.75</v>
      </c>
      <c r="H1703" t="s">
        <v>98</v>
      </c>
      <c r="I1703" t="s">
        <v>47</v>
      </c>
      <c r="J1703" t="s">
        <v>17</v>
      </c>
    </row>
    <row r="1704" spans="1:10" x14ac:dyDescent="0.35">
      <c r="A1704" t="s">
        <v>1884</v>
      </c>
      <c r="B1704" s="10">
        <v>45961</v>
      </c>
      <c r="C1704" t="s">
        <v>135</v>
      </c>
      <c r="D1704" t="s">
        <v>101</v>
      </c>
      <c r="E1704" t="s">
        <v>102</v>
      </c>
      <c r="F1704" t="s">
        <v>14</v>
      </c>
      <c r="G1704">
        <v>25.16</v>
      </c>
      <c r="H1704" t="s">
        <v>15</v>
      </c>
      <c r="I1704" t="s">
        <v>22</v>
      </c>
      <c r="J1704" t="s">
        <v>136</v>
      </c>
    </row>
    <row r="1705" spans="1:10" x14ac:dyDescent="0.35">
      <c r="A1705" t="s">
        <v>1885</v>
      </c>
      <c r="B1705" s="10">
        <v>45961</v>
      </c>
      <c r="C1705" t="s">
        <v>464</v>
      </c>
      <c r="D1705" t="s">
        <v>34</v>
      </c>
      <c r="E1705" t="s">
        <v>122</v>
      </c>
      <c r="F1705" t="s">
        <v>14</v>
      </c>
      <c r="G1705">
        <v>36.840000000000003</v>
      </c>
      <c r="H1705" t="s">
        <v>15</v>
      </c>
      <c r="I1705" t="s">
        <v>22</v>
      </c>
      <c r="J1705" t="s">
        <v>239</v>
      </c>
    </row>
    <row r="1706" spans="1:10" x14ac:dyDescent="0.35">
      <c r="A1706" t="s">
        <v>1886</v>
      </c>
      <c r="B1706" s="10">
        <v>45961</v>
      </c>
      <c r="C1706" t="s">
        <v>63</v>
      </c>
      <c r="D1706" t="s">
        <v>54</v>
      </c>
      <c r="E1706" t="s">
        <v>64</v>
      </c>
      <c r="F1706" t="s">
        <v>54</v>
      </c>
      <c r="G1706">
        <v>353.94</v>
      </c>
      <c r="H1706" t="s">
        <v>21</v>
      </c>
      <c r="I1706" t="s">
        <v>22</v>
      </c>
      <c r="J1706" t="s">
        <v>65</v>
      </c>
    </row>
    <row r="1707" spans="1:10" x14ac:dyDescent="0.35">
      <c r="A1707" t="s">
        <v>1887</v>
      </c>
      <c r="B1707" s="10">
        <v>45961</v>
      </c>
      <c r="C1707" t="s">
        <v>25</v>
      </c>
      <c r="D1707" t="s">
        <v>12</v>
      </c>
      <c r="E1707" t="s">
        <v>26</v>
      </c>
      <c r="F1707" t="s">
        <v>14</v>
      </c>
      <c r="G1707">
        <v>23.4</v>
      </c>
      <c r="H1707" t="s">
        <v>15</v>
      </c>
      <c r="I1707" t="s">
        <v>16</v>
      </c>
      <c r="J1707" t="s">
        <v>17</v>
      </c>
    </row>
    <row r="1708" spans="1:10" x14ac:dyDescent="0.35">
      <c r="A1708" t="s">
        <v>1888</v>
      </c>
      <c r="B1708" s="10">
        <v>45961</v>
      </c>
      <c r="C1708" t="s">
        <v>155</v>
      </c>
      <c r="D1708" t="s">
        <v>12</v>
      </c>
      <c r="E1708" t="s">
        <v>51</v>
      </c>
      <c r="F1708" t="s">
        <v>14</v>
      </c>
      <c r="G1708">
        <v>56.97</v>
      </c>
      <c r="H1708" t="s">
        <v>15</v>
      </c>
      <c r="I1708" t="s">
        <v>22</v>
      </c>
      <c r="J1708" t="s">
        <v>48</v>
      </c>
    </row>
    <row r="1709" spans="1:10" x14ac:dyDescent="0.35">
      <c r="A1709" t="s">
        <v>1889</v>
      </c>
      <c r="B1709" s="10">
        <v>45961</v>
      </c>
      <c r="C1709" t="s">
        <v>53</v>
      </c>
      <c r="D1709" t="s">
        <v>54</v>
      </c>
      <c r="E1709" t="s">
        <v>55</v>
      </c>
      <c r="F1709" t="s">
        <v>54</v>
      </c>
      <c r="G1709">
        <v>812.78</v>
      </c>
      <c r="H1709" t="s">
        <v>98</v>
      </c>
      <c r="I1709" t="s">
        <v>22</v>
      </c>
      <c r="J1709" t="s">
        <v>56</v>
      </c>
    </row>
    <row r="1710" spans="1:10" x14ac:dyDescent="0.35">
      <c r="A1710" t="s">
        <v>1890</v>
      </c>
      <c r="B1710" s="10">
        <v>45961</v>
      </c>
      <c r="C1710" t="s">
        <v>11</v>
      </c>
      <c r="D1710" t="s">
        <v>12</v>
      </c>
      <c r="E1710" t="s">
        <v>13</v>
      </c>
      <c r="F1710" t="s">
        <v>14</v>
      </c>
      <c r="G1710">
        <v>49.97</v>
      </c>
      <c r="H1710" t="s">
        <v>15</v>
      </c>
      <c r="I1710" t="s">
        <v>22</v>
      </c>
      <c r="J1710" t="s">
        <v>17</v>
      </c>
    </row>
    <row r="1711" spans="1:10" x14ac:dyDescent="0.35">
      <c r="A1711" t="s">
        <v>1891</v>
      </c>
      <c r="B1711" s="10">
        <v>45961</v>
      </c>
      <c r="C1711" t="s">
        <v>53</v>
      </c>
      <c r="D1711" t="s">
        <v>54</v>
      </c>
      <c r="E1711" t="s">
        <v>55</v>
      </c>
      <c r="F1711" t="s">
        <v>54</v>
      </c>
      <c r="G1711">
        <v>805.45</v>
      </c>
      <c r="H1711" t="s">
        <v>15</v>
      </c>
      <c r="I1711" t="s">
        <v>16</v>
      </c>
      <c r="J1711" t="s">
        <v>56</v>
      </c>
    </row>
    <row r="1712" spans="1:10" x14ac:dyDescent="0.35">
      <c r="A1712" t="s">
        <v>1892</v>
      </c>
      <c r="B1712" s="10">
        <v>45962</v>
      </c>
      <c r="C1712" t="s">
        <v>175</v>
      </c>
      <c r="D1712" t="s">
        <v>80</v>
      </c>
      <c r="E1712" t="s">
        <v>92</v>
      </c>
      <c r="F1712" t="s">
        <v>14</v>
      </c>
      <c r="G1712">
        <v>52.76</v>
      </c>
      <c r="H1712" t="s">
        <v>15</v>
      </c>
      <c r="I1712" t="s">
        <v>16</v>
      </c>
      <c r="J1712" t="s">
        <v>141</v>
      </c>
    </row>
    <row r="1713" spans="1:10" x14ac:dyDescent="0.35">
      <c r="A1713" t="s">
        <v>1893</v>
      </c>
      <c r="B1713" s="10">
        <v>45962</v>
      </c>
      <c r="C1713" t="s">
        <v>229</v>
      </c>
      <c r="D1713" t="s">
        <v>54</v>
      </c>
      <c r="E1713" t="s">
        <v>64</v>
      </c>
      <c r="F1713" t="s">
        <v>54</v>
      </c>
      <c r="G1713">
        <v>364.08</v>
      </c>
      <c r="H1713" t="s">
        <v>21</v>
      </c>
      <c r="I1713" t="s">
        <v>16</v>
      </c>
      <c r="J1713" t="s">
        <v>56</v>
      </c>
    </row>
    <row r="1714" spans="1:10" x14ac:dyDescent="0.35">
      <c r="A1714" t="s">
        <v>1894</v>
      </c>
      <c r="B1714" s="10">
        <v>45962</v>
      </c>
      <c r="C1714" t="s">
        <v>204</v>
      </c>
      <c r="D1714" t="s">
        <v>12</v>
      </c>
      <c r="E1714" t="s">
        <v>51</v>
      </c>
      <c r="F1714" t="s">
        <v>14</v>
      </c>
      <c r="G1714">
        <v>43.88</v>
      </c>
      <c r="H1714" t="s">
        <v>21</v>
      </c>
      <c r="I1714" t="s">
        <v>22</v>
      </c>
      <c r="J1714" t="s">
        <v>23</v>
      </c>
    </row>
    <row r="1715" spans="1:10" x14ac:dyDescent="0.35">
      <c r="A1715" t="s">
        <v>1895</v>
      </c>
      <c r="B1715" s="10">
        <v>45963</v>
      </c>
      <c r="C1715" t="s">
        <v>572</v>
      </c>
      <c r="D1715" t="s">
        <v>69</v>
      </c>
      <c r="E1715" t="s">
        <v>233</v>
      </c>
      <c r="F1715" t="s">
        <v>14</v>
      </c>
      <c r="G1715">
        <v>414.81</v>
      </c>
      <c r="H1715" t="s">
        <v>21</v>
      </c>
      <c r="I1715" t="s">
        <v>36</v>
      </c>
      <c r="J1715" t="s">
        <v>292</v>
      </c>
    </row>
    <row r="1716" spans="1:10" x14ac:dyDescent="0.35">
      <c r="A1716" t="s">
        <v>1896</v>
      </c>
      <c r="B1716" s="10">
        <v>45963</v>
      </c>
      <c r="C1716" t="s">
        <v>345</v>
      </c>
      <c r="D1716" t="s">
        <v>59</v>
      </c>
      <c r="E1716" t="s">
        <v>60</v>
      </c>
      <c r="F1716" t="s">
        <v>14</v>
      </c>
      <c r="G1716">
        <v>140.19999999999999</v>
      </c>
      <c r="H1716" t="s">
        <v>21</v>
      </c>
      <c r="I1716" t="s">
        <v>22</v>
      </c>
      <c r="J1716" t="s">
        <v>211</v>
      </c>
    </row>
    <row r="1717" spans="1:10" x14ac:dyDescent="0.35">
      <c r="A1717" t="s">
        <v>1897</v>
      </c>
      <c r="B1717" s="10">
        <v>45963</v>
      </c>
      <c r="C1717" t="s">
        <v>73</v>
      </c>
      <c r="D1717" t="s">
        <v>54</v>
      </c>
      <c r="E1717" t="s">
        <v>74</v>
      </c>
      <c r="F1717" t="s">
        <v>54</v>
      </c>
      <c r="G1717">
        <v>2448.02</v>
      </c>
      <c r="H1717" t="s">
        <v>15</v>
      </c>
      <c r="I1717" t="s">
        <v>36</v>
      </c>
      <c r="J1717" t="s">
        <v>65</v>
      </c>
    </row>
    <row r="1718" spans="1:10" x14ac:dyDescent="0.35">
      <c r="A1718" t="s">
        <v>1898</v>
      </c>
      <c r="B1718" s="10">
        <v>45963</v>
      </c>
      <c r="C1718" t="s">
        <v>243</v>
      </c>
      <c r="D1718" t="s">
        <v>101</v>
      </c>
      <c r="E1718" t="s">
        <v>244</v>
      </c>
      <c r="F1718" t="s">
        <v>14</v>
      </c>
      <c r="G1718">
        <v>44.43</v>
      </c>
      <c r="H1718" t="s">
        <v>98</v>
      </c>
      <c r="I1718" t="s">
        <v>22</v>
      </c>
      <c r="J1718" t="s">
        <v>102</v>
      </c>
    </row>
    <row r="1719" spans="1:10" x14ac:dyDescent="0.35">
      <c r="A1719" t="s">
        <v>1899</v>
      </c>
      <c r="B1719" s="10">
        <v>45963</v>
      </c>
      <c r="C1719" t="s">
        <v>76</v>
      </c>
      <c r="D1719" t="s">
        <v>12</v>
      </c>
      <c r="E1719" t="s">
        <v>13</v>
      </c>
      <c r="F1719" t="s">
        <v>14</v>
      </c>
      <c r="G1719">
        <v>35.21</v>
      </c>
      <c r="H1719" t="s">
        <v>15</v>
      </c>
      <c r="I1719" t="s">
        <v>22</v>
      </c>
      <c r="J1719" t="s">
        <v>77</v>
      </c>
    </row>
    <row r="1720" spans="1:10" x14ac:dyDescent="0.35">
      <c r="A1720" t="s">
        <v>1900</v>
      </c>
      <c r="B1720" s="10">
        <v>45963</v>
      </c>
      <c r="C1720" t="s">
        <v>198</v>
      </c>
      <c r="D1720" t="s">
        <v>59</v>
      </c>
      <c r="E1720" t="s">
        <v>199</v>
      </c>
      <c r="F1720" t="s">
        <v>14</v>
      </c>
      <c r="G1720">
        <v>199.21</v>
      </c>
      <c r="H1720" t="s">
        <v>15</v>
      </c>
      <c r="I1720" t="s">
        <v>36</v>
      </c>
      <c r="J1720" t="s">
        <v>61</v>
      </c>
    </row>
    <row r="1721" spans="1:10" x14ac:dyDescent="0.35">
      <c r="A1721" t="s">
        <v>1901</v>
      </c>
      <c r="B1721" s="10">
        <v>45964</v>
      </c>
      <c r="C1721" t="s">
        <v>210</v>
      </c>
      <c r="D1721" t="s">
        <v>59</v>
      </c>
      <c r="E1721" t="s">
        <v>185</v>
      </c>
      <c r="F1721" t="s">
        <v>14</v>
      </c>
      <c r="G1721">
        <v>321.54000000000002</v>
      </c>
      <c r="H1721" t="s">
        <v>15</v>
      </c>
      <c r="I1721" t="s">
        <v>22</v>
      </c>
      <c r="J1721" t="s">
        <v>211</v>
      </c>
    </row>
    <row r="1722" spans="1:10" x14ac:dyDescent="0.35">
      <c r="A1722" t="s">
        <v>1902</v>
      </c>
      <c r="B1722" s="10">
        <v>45964</v>
      </c>
      <c r="C1722" t="s">
        <v>217</v>
      </c>
      <c r="D1722" t="s">
        <v>80</v>
      </c>
      <c r="E1722" t="s">
        <v>81</v>
      </c>
      <c r="F1722" t="s">
        <v>14</v>
      </c>
      <c r="G1722">
        <v>47.03</v>
      </c>
      <c r="H1722" t="s">
        <v>15</v>
      </c>
      <c r="I1722" t="s">
        <v>22</v>
      </c>
      <c r="J1722" t="s">
        <v>180</v>
      </c>
    </row>
    <row r="1723" spans="1:10" x14ac:dyDescent="0.35">
      <c r="A1723" t="s">
        <v>1903</v>
      </c>
      <c r="B1723" s="10">
        <v>45964</v>
      </c>
      <c r="C1723" t="s">
        <v>138</v>
      </c>
      <c r="D1723" t="s">
        <v>12</v>
      </c>
      <c r="E1723" t="s">
        <v>26</v>
      </c>
      <c r="F1723" t="s">
        <v>14</v>
      </c>
      <c r="G1723">
        <v>31.06</v>
      </c>
      <c r="H1723" t="s">
        <v>15</v>
      </c>
      <c r="I1723" t="s">
        <v>36</v>
      </c>
      <c r="J1723" t="s">
        <v>77</v>
      </c>
    </row>
    <row r="1724" spans="1:10" x14ac:dyDescent="0.35">
      <c r="A1724" t="s">
        <v>1904</v>
      </c>
      <c r="B1724" s="10">
        <v>45965</v>
      </c>
      <c r="C1724" t="s">
        <v>251</v>
      </c>
      <c r="D1724" t="s">
        <v>29</v>
      </c>
      <c r="E1724" t="s">
        <v>151</v>
      </c>
      <c r="F1724" t="s">
        <v>14</v>
      </c>
      <c r="G1724">
        <v>48.26</v>
      </c>
      <c r="H1724" t="s">
        <v>15</v>
      </c>
      <c r="I1724" t="s">
        <v>22</v>
      </c>
      <c r="J1724" t="s">
        <v>31</v>
      </c>
    </row>
    <row r="1725" spans="1:10" x14ac:dyDescent="0.35">
      <c r="A1725" t="s">
        <v>1905</v>
      </c>
      <c r="B1725" s="10">
        <v>45965</v>
      </c>
      <c r="C1725" t="s">
        <v>204</v>
      </c>
      <c r="D1725" t="s">
        <v>12</v>
      </c>
      <c r="E1725" t="s">
        <v>51</v>
      </c>
      <c r="F1725" t="s">
        <v>14</v>
      </c>
      <c r="G1725">
        <v>56.05</v>
      </c>
      <c r="H1725" t="s">
        <v>15</v>
      </c>
      <c r="I1725" t="s">
        <v>36</v>
      </c>
      <c r="J1725" t="s">
        <v>23</v>
      </c>
    </row>
    <row r="1726" spans="1:10" x14ac:dyDescent="0.35">
      <c r="A1726" t="s">
        <v>1906</v>
      </c>
      <c r="B1726" s="10">
        <v>45965</v>
      </c>
      <c r="C1726" t="s">
        <v>88</v>
      </c>
      <c r="D1726" t="s">
        <v>54</v>
      </c>
      <c r="E1726" t="s">
        <v>74</v>
      </c>
      <c r="F1726" t="s">
        <v>54</v>
      </c>
      <c r="G1726">
        <v>2551.98</v>
      </c>
      <c r="H1726" t="s">
        <v>98</v>
      </c>
      <c r="I1726" t="s">
        <v>47</v>
      </c>
      <c r="J1726" t="s">
        <v>89</v>
      </c>
    </row>
    <row r="1727" spans="1:10" x14ac:dyDescent="0.35">
      <c r="A1727" t="s">
        <v>1907</v>
      </c>
      <c r="B1727" s="10">
        <v>45965</v>
      </c>
      <c r="C1727" t="s">
        <v>153</v>
      </c>
      <c r="D1727" t="s">
        <v>34</v>
      </c>
      <c r="E1727" t="s">
        <v>122</v>
      </c>
      <c r="F1727" t="s">
        <v>14</v>
      </c>
      <c r="G1727">
        <v>191.85</v>
      </c>
      <c r="H1727" t="s">
        <v>98</v>
      </c>
      <c r="I1727" t="s">
        <v>47</v>
      </c>
      <c r="J1727" t="s">
        <v>41</v>
      </c>
    </row>
    <row r="1728" spans="1:10" x14ac:dyDescent="0.35">
      <c r="A1728" t="s">
        <v>1908</v>
      </c>
      <c r="B1728" s="10">
        <v>45965</v>
      </c>
      <c r="C1728" t="s">
        <v>345</v>
      </c>
      <c r="D1728" t="s">
        <v>59</v>
      </c>
      <c r="E1728" t="s">
        <v>60</v>
      </c>
      <c r="F1728" t="s">
        <v>14</v>
      </c>
      <c r="G1728">
        <v>94.95</v>
      </c>
      <c r="H1728" t="s">
        <v>15</v>
      </c>
      <c r="I1728" t="s">
        <v>22</v>
      </c>
      <c r="J1728" t="s">
        <v>211</v>
      </c>
    </row>
    <row r="1729" spans="1:10" x14ac:dyDescent="0.35">
      <c r="A1729" t="s">
        <v>1909</v>
      </c>
      <c r="B1729" s="10">
        <v>45965</v>
      </c>
      <c r="C1729" t="s">
        <v>179</v>
      </c>
      <c r="D1729" t="s">
        <v>80</v>
      </c>
      <c r="E1729" t="s">
        <v>117</v>
      </c>
      <c r="F1729" t="s">
        <v>14</v>
      </c>
      <c r="G1729">
        <v>44.22</v>
      </c>
      <c r="H1729" t="s">
        <v>15</v>
      </c>
      <c r="I1729" t="s">
        <v>22</v>
      </c>
      <c r="J1729" t="s">
        <v>180</v>
      </c>
    </row>
    <row r="1730" spans="1:10" x14ac:dyDescent="0.35">
      <c r="A1730" t="s">
        <v>1910</v>
      </c>
      <c r="B1730" s="10">
        <v>45965</v>
      </c>
      <c r="C1730" t="s">
        <v>269</v>
      </c>
      <c r="D1730" t="s">
        <v>34</v>
      </c>
      <c r="E1730" t="s">
        <v>35</v>
      </c>
      <c r="F1730" t="s">
        <v>14</v>
      </c>
      <c r="G1730">
        <v>213.98</v>
      </c>
      <c r="H1730" t="s">
        <v>21</v>
      </c>
      <c r="I1730" t="s">
        <v>22</v>
      </c>
      <c r="J1730" t="s">
        <v>123</v>
      </c>
    </row>
    <row r="1731" spans="1:10" x14ac:dyDescent="0.35">
      <c r="A1731" t="s">
        <v>1911</v>
      </c>
      <c r="B1731" s="10">
        <v>45965</v>
      </c>
      <c r="C1731" t="s">
        <v>179</v>
      </c>
      <c r="D1731" t="s">
        <v>80</v>
      </c>
      <c r="E1731" t="s">
        <v>117</v>
      </c>
      <c r="F1731" t="s">
        <v>14</v>
      </c>
      <c r="G1731">
        <v>105.55</v>
      </c>
      <c r="H1731" t="s">
        <v>15</v>
      </c>
      <c r="I1731" t="s">
        <v>47</v>
      </c>
      <c r="J1731" t="s">
        <v>180</v>
      </c>
    </row>
    <row r="1732" spans="1:10" x14ac:dyDescent="0.35">
      <c r="A1732" t="s">
        <v>1912</v>
      </c>
      <c r="B1732" s="10">
        <v>45965</v>
      </c>
      <c r="C1732" t="s">
        <v>33</v>
      </c>
      <c r="D1732" t="s">
        <v>34</v>
      </c>
      <c r="E1732" t="s">
        <v>35</v>
      </c>
      <c r="F1732" t="s">
        <v>14</v>
      </c>
      <c r="G1732">
        <v>247.65</v>
      </c>
      <c r="H1732" t="s">
        <v>15</v>
      </c>
      <c r="I1732" t="s">
        <v>22</v>
      </c>
      <c r="J1732" t="s">
        <v>37</v>
      </c>
    </row>
    <row r="1733" spans="1:10" x14ac:dyDescent="0.35">
      <c r="A1733" t="s">
        <v>1913</v>
      </c>
      <c r="B1733" s="10">
        <v>45965</v>
      </c>
      <c r="C1733" t="s">
        <v>198</v>
      </c>
      <c r="D1733" t="s">
        <v>59</v>
      </c>
      <c r="E1733" t="s">
        <v>199</v>
      </c>
      <c r="F1733" t="s">
        <v>14</v>
      </c>
      <c r="G1733">
        <v>314.12</v>
      </c>
      <c r="H1733" t="s">
        <v>15</v>
      </c>
      <c r="I1733" t="s">
        <v>36</v>
      </c>
      <c r="J1733" t="s">
        <v>61</v>
      </c>
    </row>
    <row r="1734" spans="1:10" x14ac:dyDescent="0.35">
      <c r="A1734" t="s">
        <v>1914</v>
      </c>
      <c r="B1734" s="10">
        <v>45965</v>
      </c>
      <c r="C1734" t="s">
        <v>215</v>
      </c>
      <c r="D1734" t="s">
        <v>80</v>
      </c>
      <c r="E1734" t="s">
        <v>117</v>
      </c>
      <c r="F1734" t="s">
        <v>14</v>
      </c>
      <c r="G1734">
        <v>212.37</v>
      </c>
      <c r="H1734" t="s">
        <v>15</v>
      </c>
      <c r="I1734" t="s">
        <v>36</v>
      </c>
      <c r="J1734" t="s">
        <v>141</v>
      </c>
    </row>
    <row r="1735" spans="1:10" x14ac:dyDescent="0.35">
      <c r="A1735" t="s">
        <v>1915</v>
      </c>
      <c r="B1735" s="10">
        <v>45965</v>
      </c>
      <c r="C1735" t="s">
        <v>256</v>
      </c>
      <c r="D1735" t="s">
        <v>34</v>
      </c>
      <c r="E1735" t="s">
        <v>40</v>
      </c>
      <c r="F1735" t="s">
        <v>14</v>
      </c>
      <c r="G1735">
        <v>131.09</v>
      </c>
      <c r="H1735" t="s">
        <v>21</v>
      </c>
      <c r="I1735" t="s">
        <v>47</v>
      </c>
      <c r="J1735" t="s">
        <v>239</v>
      </c>
    </row>
    <row r="1736" spans="1:10" x14ac:dyDescent="0.35">
      <c r="A1736" t="s">
        <v>1916</v>
      </c>
      <c r="B1736" s="10">
        <v>45966</v>
      </c>
      <c r="C1736" t="s">
        <v>1491</v>
      </c>
      <c r="D1736" t="s">
        <v>69</v>
      </c>
      <c r="E1736" t="s">
        <v>233</v>
      </c>
      <c r="F1736" t="s">
        <v>14</v>
      </c>
      <c r="G1736">
        <v>216.34</v>
      </c>
      <c r="H1736" t="s">
        <v>15</v>
      </c>
      <c r="I1736" t="s">
        <v>36</v>
      </c>
      <c r="J1736" t="s">
        <v>396</v>
      </c>
    </row>
    <row r="1737" spans="1:10" x14ac:dyDescent="0.35">
      <c r="A1737" t="s">
        <v>1917</v>
      </c>
      <c r="B1737" s="10">
        <v>45966</v>
      </c>
      <c r="C1737" t="s">
        <v>415</v>
      </c>
      <c r="D1737" t="s">
        <v>12</v>
      </c>
      <c r="E1737" t="s">
        <v>51</v>
      </c>
      <c r="F1737" t="s">
        <v>14</v>
      </c>
      <c r="G1737">
        <v>51.82</v>
      </c>
      <c r="H1737" t="s">
        <v>98</v>
      </c>
      <c r="I1737" t="s">
        <v>16</v>
      </c>
      <c r="J1737" t="s">
        <v>77</v>
      </c>
    </row>
    <row r="1738" spans="1:10" x14ac:dyDescent="0.35">
      <c r="A1738" t="s">
        <v>1918</v>
      </c>
      <c r="B1738" s="10">
        <v>45966</v>
      </c>
      <c r="C1738" t="s">
        <v>184</v>
      </c>
      <c r="D1738" t="s">
        <v>59</v>
      </c>
      <c r="E1738" t="s">
        <v>185</v>
      </c>
      <c r="F1738" t="s">
        <v>14</v>
      </c>
      <c r="G1738">
        <v>607.78</v>
      </c>
      <c r="H1738" t="s">
        <v>21</v>
      </c>
      <c r="I1738" t="s">
        <v>36</v>
      </c>
      <c r="J1738" t="s">
        <v>61</v>
      </c>
    </row>
    <row r="1739" spans="1:10" x14ac:dyDescent="0.35">
      <c r="A1739" t="s">
        <v>1919</v>
      </c>
      <c r="B1739" s="10">
        <v>45966</v>
      </c>
      <c r="C1739" t="s">
        <v>238</v>
      </c>
      <c r="D1739" t="s">
        <v>34</v>
      </c>
      <c r="E1739" t="s">
        <v>35</v>
      </c>
      <c r="F1739" t="s">
        <v>14</v>
      </c>
      <c r="G1739">
        <v>67.260000000000005</v>
      </c>
      <c r="H1739" t="s">
        <v>15</v>
      </c>
      <c r="I1739" t="s">
        <v>47</v>
      </c>
      <c r="J1739" t="s">
        <v>239</v>
      </c>
    </row>
    <row r="1740" spans="1:10" x14ac:dyDescent="0.35">
      <c r="A1740" t="s">
        <v>1920</v>
      </c>
      <c r="B1740" s="10">
        <v>45966</v>
      </c>
      <c r="C1740" t="s">
        <v>177</v>
      </c>
      <c r="D1740" t="s">
        <v>54</v>
      </c>
      <c r="E1740" t="s">
        <v>74</v>
      </c>
      <c r="F1740" t="s">
        <v>54</v>
      </c>
      <c r="G1740">
        <v>2646.51</v>
      </c>
      <c r="H1740" t="s">
        <v>15</v>
      </c>
      <c r="I1740" t="s">
        <v>47</v>
      </c>
      <c r="J1740" t="s">
        <v>56</v>
      </c>
    </row>
    <row r="1741" spans="1:10" x14ac:dyDescent="0.35">
      <c r="A1741" t="s">
        <v>1921</v>
      </c>
      <c r="B1741" s="10">
        <v>45966</v>
      </c>
      <c r="C1741" t="s">
        <v>19</v>
      </c>
      <c r="D1741" t="s">
        <v>12</v>
      </c>
      <c r="E1741" t="s">
        <v>13</v>
      </c>
      <c r="F1741" t="s">
        <v>14</v>
      </c>
      <c r="G1741">
        <v>88.04</v>
      </c>
      <c r="H1741" t="s">
        <v>15</v>
      </c>
      <c r="I1741" t="s">
        <v>22</v>
      </c>
      <c r="J1741" t="s">
        <v>23</v>
      </c>
    </row>
    <row r="1742" spans="1:10" x14ac:dyDescent="0.35">
      <c r="A1742" t="s">
        <v>1922</v>
      </c>
      <c r="B1742" s="10">
        <v>45966</v>
      </c>
      <c r="C1742" t="s">
        <v>150</v>
      </c>
      <c r="D1742" t="s">
        <v>29</v>
      </c>
      <c r="E1742" t="s">
        <v>30</v>
      </c>
      <c r="F1742" t="s">
        <v>14</v>
      </c>
      <c r="G1742">
        <v>35.33</v>
      </c>
      <c r="H1742" t="s">
        <v>21</v>
      </c>
      <c r="I1742" t="s">
        <v>84</v>
      </c>
      <c r="J1742" t="s">
        <v>151</v>
      </c>
    </row>
    <row r="1743" spans="1:10" x14ac:dyDescent="0.35">
      <c r="A1743" t="s">
        <v>1923</v>
      </c>
      <c r="B1743" s="10">
        <v>45966</v>
      </c>
      <c r="C1743" t="s">
        <v>210</v>
      </c>
      <c r="D1743" t="s">
        <v>59</v>
      </c>
      <c r="E1743" t="s">
        <v>185</v>
      </c>
      <c r="F1743" t="s">
        <v>14</v>
      </c>
      <c r="G1743">
        <v>364.9</v>
      </c>
      <c r="H1743" t="s">
        <v>15</v>
      </c>
      <c r="I1743" t="s">
        <v>47</v>
      </c>
      <c r="J1743" t="s">
        <v>211</v>
      </c>
    </row>
    <row r="1744" spans="1:10" x14ac:dyDescent="0.35">
      <c r="A1744" t="s">
        <v>1924</v>
      </c>
      <c r="B1744" s="10">
        <v>45966</v>
      </c>
      <c r="C1744" t="s">
        <v>296</v>
      </c>
      <c r="D1744" t="s">
        <v>101</v>
      </c>
      <c r="E1744" t="s">
        <v>136</v>
      </c>
      <c r="F1744" t="s">
        <v>14</v>
      </c>
      <c r="G1744">
        <v>17.79</v>
      </c>
      <c r="H1744" t="s">
        <v>21</v>
      </c>
      <c r="I1744" t="s">
        <v>36</v>
      </c>
      <c r="J1744" t="s">
        <v>136</v>
      </c>
    </row>
    <row r="1745" spans="1:10" x14ac:dyDescent="0.35">
      <c r="A1745" t="s">
        <v>1925</v>
      </c>
      <c r="B1745" s="10">
        <v>45966</v>
      </c>
      <c r="C1745" t="s">
        <v>100</v>
      </c>
      <c r="D1745" t="s">
        <v>101</v>
      </c>
      <c r="E1745" t="s">
        <v>102</v>
      </c>
      <c r="F1745" t="s">
        <v>14</v>
      </c>
      <c r="G1745">
        <v>250</v>
      </c>
      <c r="H1745" t="s">
        <v>15</v>
      </c>
      <c r="I1745" t="s">
        <v>36</v>
      </c>
      <c r="J1745" t="s">
        <v>103</v>
      </c>
    </row>
    <row r="1746" spans="1:10" x14ac:dyDescent="0.35">
      <c r="A1746" t="s">
        <v>1926</v>
      </c>
      <c r="B1746" s="10">
        <v>45967</v>
      </c>
      <c r="C1746" t="s">
        <v>875</v>
      </c>
      <c r="D1746" t="s">
        <v>69</v>
      </c>
      <c r="E1746" t="s">
        <v>291</v>
      </c>
      <c r="F1746" t="s">
        <v>14</v>
      </c>
      <c r="G1746">
        <v>168.99</v>
      </c>
      <c r="H1746" t="s">
        <v>15</v>
      </c>
      <c r="I1746" t="s">
        <v>84</v>
      </c>
      <c r="J1746" t="s">
        <v>133</v>
      </c>
    </row>
    <row r="1747" spans="1:10" x14ac:dyDescent="0.35">
      <c r="A1747" t="s">
        <v>1927</v>
      </c>
      <c r="B1747" s="10">
        <v>45967</v>
      </c>
      <c r="C1747" t="s">
        <v>350</v>
      </c>
      <c r="D1747" t="s">
        <v>29</v>
      </c>
      <c r="E1747" t="s">
        <v>151</v>
      </c>
      <c r="F1747" t="s">
        <v>14</v>
      </c>
      <c r="G1747">
        <v>10.85</v>
      </c>
      <c r="H1747" t="s">
        <v>15</v>
      </c>
      <c r="I1747" t="s">
        <v>22</v>
      </c>
      <c r="J1747" t="s">
        <v>158</v>
      </c>
    </row>
    <row r="1748" spans="1:10" x14ac:dyDescent="0.35">
      <c r="A1748" t="s">
        <v>1928</v>
      </c>
      <c r="B1748" s="10">
        <v>45967</v>
      </c>
      <c r="C1748" t="s">
        <v>376</v>
      </c>
      <c r="D1748" t="s">
        <v>80</v>
      </c>
      <c r="E1748" t="s">
        <v>117</v>
      </c>
      <c r="F1748" t="s">
        <v>14</v>
      </c>
      <c r="G1748">
        <v>65.27</v>
      </c>
      <c r="H1748" t="s">
        <v>15</v>
      </c>
      <c r="I1748" t="s">
        <v>22</v>
      </c>
      <c r="J1748" t="s">
        <v>82</v>
      </c>
    </row>
    <row r="1749" spans="1:10" x14ac:dyDescent="0.35">
      <c r="A1749" t="s">
        <v>1929</v>
      </c>
      <c r="B1749" s="10">
        <v>45967</v>
      </c>
      <c r="C1749" t="s">
        <v>177</v>
      </c>
      <c r="D1749" t="s">
        <v>54</v>
      </c>
      <c r="E1749" t="s">
        <v>74</v>
      </c>
      <c r="F1749" t="s">
        <v>54</v>
      </c>
      <c r="G1749">
        <v>2327.86</v>
      </c>
      <c r="H1749" t="s">
        <v>21</v>
      </c>
      <c r="I1749" t="s">
        <v>36</v>
      </c>
      <c r="J1749" t="s">
        <v>56</v>
      </c>
    </row>
    <row r="1750" spans="1:10" x14ac:dyDescent="0.35">
      <c r="A1750" t="s">
        <v>1930</v>
      </c>
      <c r="B1750" s="10">
        <v>45968</v>
      </c>
      <c r="C1750" t="s">
        <v>345</v>
      </c>
      <c r="D1750" t="s">
        <v>59</v>
      </c>
      <c r="E1750" t="s">
        <v>60</v>
      </c>
      <c r="F1750" t="s">
        <v>14</v>
      </c>
      <c r="G1750">
        <v>83.94</v>
      </c>
      <c r="H1750" t="s">
        <v>21</v>
      </c>
      <c r="I1750" t="s">
        <v>47</v>
      </c>
      <c r="J1750" t="s">
        <v>211</v>
      </c>
    </row>
    <row r="1751" spans="1:10" x14ac:dyDescent="0.35">
      <c r="A1751" t="s">
        <v>1931</v>
      </c>
      <c r="B1751" s="10">
        <v>45968</v>
      </c>
      <c r="C1751" t="s">
        <v>132</v>
      </c>
      <c r="D1751" t="s">
        <v>69</v>
      </c>
      <c r="E1751" t="s">
        <v>70</v>
      </c>
      <c r="F1751" t="s">
        <v>14</v>
      </c>
      <c r="G1751">
        <v>246.89</v>
      </c>
      <c r="H1751" t="s">
        <v>15</v>
      </c>
      <c r="I1751" t="s">
        <v>16</v>
      </c>
      <c r="J1751" t="s">
        <v>133</v>
      </c>
    </row>
    <row r="1752" spans="1:10" x14ac:dyDescent="0.35">
      <c r="A1752" t="s">
        <v>1932</v>
      </c>
      <c r="B1752" s="10">
        <v>45968</v>
      </c>
      <c r="C1752" t="s">
        <v>324</v>
      </c>
      <c r="D1752" t="s">
        <v>80</v>
      </c>
      <c r="E1752" t="s">
        <v>92</v>
      </c>
      <c r="F1752" t="s">
        <v>14</v>
      </c>
      <c r="G1752">
        <v>138.1</v>
      </c>
      <c r="H1752" t="s">
        <v>15</v>
      </c>
      <c r="I1752" t="s">
        <v>36</v>
      </c>
      <c r="J1752" t="s">
        <v>161</v>
      </c>
    </row>
    <row r="1753" spans="1:10" x14ac:dyDescent="0.35">
      <c r="A1753" t="s">
        <v>1933</v>
      </c>
      <c r="B1753" s="10">
        <v>45968</v>
      </c>
      <c r="C1753" t="s">
        <v>281</v>
      </c>
      <c r="D1753" t="s">
        <v>34</v>
      </c>
      <c r="E1753" t="s">
        <v>40</v>
      </c>
      <c r="F1753" t="s">
        <v>14</v>
      </c>
      <c r="G1753">
        <v>83.08</v>
      </c>
      <c r="H1753" t="s">
        <v>15</v>
      </c>
      <c r="I1753" t="s">
        <v>22</v>
      </c>
      <c r="J1753" t="s">
        <v>123</v>
      </c>
    </row>
    <row r="1754" spans="1:10" x14ac:dyDescent="0.35">
      <c r="A1754" t="s">
        <v>1934</v>
      </c>
      <c r="B1754" s="10">
        <v>45968</v>
      </c>
      <c r="C1754" t="s">
        <v>345</v>
      </c>
      <c r="D1754" t="s">
        <v>59</v>
      </c>
      <c r="E1754" t="s">
        <v>60</v>
      </c>
      <c r="F1754" t="s">
        <v>14</v>
      </c>
      <c r="G1754">
        <v>609.62</v>
      </c>
      <c r="H1754" t="s">
        <v>15</v>
      </c>
      <c r="I1754" t="s">
        <v>47</v>
      </c>
      <c r="J1754" t="s">
        <v>211</v>
      </c>
    </row>
    <row r="1755" spans="1:10" x14ac:dyDescent="0.35">
      <c r="A1755" t="s">
        <v>1935</v>
      </c>
      <c r="B1755" s="10">
        <v>45968</v>
      </c>
      <c r="C1755" t="s">
        <v>63</v>
      </c>
      <c r="D1755" t="s">
        <v>54</v>
      </c>
      <c r="E1755" t="s">
        <v>64</v>
      </c>
      <c r="F1755" t="s">
        <v>54</v>
      </c>
      <c r="G1755">
        <v>396.92</v>
      </c>
      <c r="H1755" t="s">
        <v>15</v>
      </c>
      <c r="I1755" t="s">
        <v>22</v>
      </c>
      <c r="J1755" t="s">
        <v>65</v>
      </c>
    </row>
    <row r="1756" spans="1:10" x14ac:dyDescent="0.35">
      <c r="A1756" t="s">
        <v>1936</v>
      </c>
      <c r="B1756" s="10">
        <v>45969</v>
      </c>
      <c r="C1756" t="s">
        <v>76</v>
      </c>
      <c r="D1756" t="s">
        <v>12</v>
      </c>
      <c r="E1756" t="s">
        <v>13</v>
      </c>
      <c r="F1756" t="s">
        <v>14</v>
      </c>
      <c r="G1756">
        <v>46.81</v>
      </c>
      <c r="H1756" t="s">
        <v>21</v>
      </c>
      <c r="I1756" t="s">
        <v>22</v>
      </c>
      <c r="J1756" t="s">
        <v>77</v>
      </c>
    </row>
    <row r="1757" spans="1:10" x14ac:dyDescent="0.35">
      <c r="A1757" t="s">
        <v>1937</v>
      </c>
      <c r="B1757" s="10">
        <v>45969</v>
      </c>
      <c r="C1757" t="s">
        <v>150</v>
      </c>
      <c r="D1757" t="s">
        <v>29</v>
      </c>
      <c r="E1757" t="s">
        <v>30</v>
      </c>
      <c r="F1757" t="s">
        <v>14</v>
      </c>
      <c r="G1757">
        <v>19.93</v>
      </c>
      <c r="H1757" t="s">
        <v>21</v>
      </c>
      <c r="I1757" t="s">
        <v>22</v>
      </c>
      <c r="J1757" t="s">
        <v>151</v>
      </c>
    </row>
    <row r="1758" spans="1:10" x14ac:dyDescent="0.35">
      <c r="A1758" t="s">
        <v>1938</v>
      </c>
      <c r="B1758" s="10">
        <v>45969</v>
      </c>
      <c r="C1758" t="s">
        <v>121</v>
      </c>
      <c r="D1758" t="s">
        <v>34</v>
      </c>
      <c r="E1758" t="s">
        <v>122</v>
      </c>
      <c r="F1758" t="s">
        <v>14</v>
      </c>
      <c r="G1758">
        <v>109.13</v>
      </c>
      <c r="H1758" t="s">
        <v>15</v>
      </c>
      <c r="I1758" t="s">
        <v>36</v>
      </c>
      <c r="J1758" t="s">
        <v>123</v>
      </c>
    </row>
    <row r="1759" spans="1:10" x14ac:dyDescent="0.35">
      <c r="A1759" t="s">
        <v>1939</v>
      </c>
      <c r="B1759" s="10">
        <v>45970</v>
      </c>
      <c r="C1759" t="s">
        <v>168</v>
      </c>
      <c r="D1759" t="s">
        <v>59</v>
      </c>
      <c r="E1759" t="s">
        <v>60</v>
      </c>
      <c r="F1759" t="s">
        <v>14</v>
      </c>
      <c r="G1759">
        <v>158.51</v>
      </c>
      <c r="H1759" t="s">
        <v>98</v>
      </c>
      <c r="I1759" t="s">
        <v>22</v>
      </c>
      <c r="J1759" t="s">
        <v>170</v>
      </c>
    </row>
    <row r="1760" spans="1:10" x14ac:dyDescent="0.35">
      <c r="A1760" t="s">
        <v>1940</v>
      </c>
      <c r="B1760" s="10">
        <v>45970</v>
      </c>
      <c r="C1760" t="s">
        <v>53</v>
      </c>
      <c r="D1760" t="s">
        <v>54</v>
      </c>
      <c r="E1760" t="s">
        <v>55</v>
      </c>
      <c r="F1760" t="s">
        <v>54</v>
      </c>
      <c r="G1760">
        <v>784.89</v>
      </c>
      <c r="H1760" t="s">
        <v>15</v>
      </c>
      <c r="I1760" t="s">
        <v>16</v>
      </c>
      <c r="J1760" t="s">
        <v>56</v>
      </c>
    </row>
    <row r="1761" spans="1:10" x14ac:dyDescent="0.35">
      <c r="A1761" t="s">
        <v>1941</v>
      </c>
      <c r="B1761" s="10">
        <v>45970</v>
      </c>
      <c r="C1761" t="s">
        <v>572</v>
      </c>
      <c r="D1761" t="s">
        <v>69</v>
      </c>
      <c r="E1761" t="s">
        <v>233</v>
      </c>
      <c r="F1761" t="s">
        <v>14</v>
      </c>
      <c r="G1761">
        <v>264.26</v>
      </c>
      <c r="H1761" t="s">
        <v>21</v>
      </c>
      <c r="I1761" t="s">
        <v>36</v>
      </c>
      <c r="J1761" t="s">
        <v>292</v>
      </c>
    </row>
    <row r="1762" spans="1:10" x14ac:dyDescent="0.35">
      <c r="A1762" t="s">
        <v>1942</v>
      </c>
      <c r="B1762" s="10">
        <v>45971</v>
      </c>
      <c r="C1762" t="s">
        <v>324</v>
      </c>
      <c r="D1762" t="s">
        <v>80</v>
      </c>
      <c r="E1762" t="s">
        <v>92</v>
      </c>
      <c r="F1762" t="s">
        <v>14</v>
      </c>
      <c r="G1762">
        <v>61.12</v>
      </c>
      <c r="H1762" t="s">
        <v>98</v>
      </c>
      <c r="I1762" t="s">
        <v>22</v>
      </c>
      <c r="J1762" t="s">
        <v>161</v>
      </c>
    </row>
    <row r="1763" spans="1:10" x14ac:dyDescent="0.35">
      <c r="A1763" t="s">
        <v>1943</v>
      </c>
      <c r="B1763" s="10">
        <v>45971</v>
      </c>
      <c r="C1763" t="s">
        <v>58</v>
      </c>
      <c r="D1763" t="s">
        <v>59</v>
      </c>
      <c r="E1763" t="s">
        <v>60</v>
      </c>
      <c r="F1763" t="s">
        <v>14</v>
      </c>
      <c r="G1763">
        <v>312.81</v>
      </c>
      <c r="H1763" t="s">
        <v>15</v>
      </c>
      <c r="I1763" t="s">
        <v>22</v>
      </c>
      <c r="J1763" t="s">
        <v>61</v>
      </c>
    </row>
    <row r="1764" spans="1:10" x14ac:dyDescent="0.35">
      <c r="A1764" t="s">
        <v>1944</v>
      </c>
      <c r="B1764" s="10">
        <v>45972</v>
      </c>
      <c r="C1764" t="s">
        <v>39</v>
      </c>
      <c r="D1764" t="s">
        <v>34</v>
      </c>
      <c r="E1764" t="s">
        <v>40</v>
      </c>
      <c r="F1764" t="s">
        <v>14</v>
      </c>
      <c r="G1764">
        <v>190.02</v>
      </c>
      <c r="H1764" t="s">
        <v>98</v>
      </c>
      <c r="I1764" t="s">
        <v>47</v>
      </c>
      <c r="J1764" t="s">
        <v>41</v>
      </c>
    </row>
    <row r="1765" spans="1:10" x14ac:dyDescent="0.35">
      <c r="A1765" t="s">
        <v>1945</v>
      </c>
      <c r="B1765" s="10">
        <v>45972</v>
      </c>
      <c r="C1765" t="s">
        <v>253</v>
      </c>
      <c r="D1765" t="s">
        <v>29</v>
      </c>
      <c r="E1765" t="s">
        <v>30</v>
      </c>
      <c r="F1765" t="s">
        <v>14</v>
      </c>
      <c r="G1765">
        <v>36.17</v>
      </c>
      <c r="H1765" t="s">
        <v>21</v>
      </c>
      <c r="I1765" t="s">
        <v>16</v>
      </c>
      <c r="J1765" t="s">
        <v>158</v>
      </c>
    </row>
    <row r="1766" spans="1:10" x14ac:dyDescent="0.35">
      <c r="A1766" t="s">
        <v>1946</v>
      </c>
      <c r="B1766" s="10">
        <v>45972</v>
      </c>
      <c r="C1766" t="s">
        <v>184</v>
      </c>
      <c r="D1766" t="s">
        <v>59</v>
      </c>
      <c r="E1766" t="s">
        <v>185</v>
      </c>
      <c r="F1766" t="s">
        <v>14</v>
      </c>
      <c r="G1766">
        <v>177.03</v>
      </c>
      <c r="H1766" t="s">
        <v>98</v>
      </c>
      <c r="I1766" t="s">
        <v>36</v>
      </c>
      <c r="J1766" t="s">
        <v>61</v>
      </c>
    </row>
    <row r="1767" spans="1:10" x14ac:dyDescent="0.35">
      <c r="A1767" t="s">
        <v>1947</v>
      </c>
      <c r="B1767" s="10">
        <v>45972</v>
      </c>
      <c r="C1767" t="s">
        <v>272</v>
      </c>
      <c r="D1767" t="s">
        <v>54</v>
      </c>
      <c r="E1767" t="s">
        <v>55</v>
      </c>
      <c r="F1767" t="s">
        <v>54</v>
      </c>
      <c r="G1767">
        <v>761.58</v>
      </c>
      <c r="H1767" t="s">
        <v>15</v>
      </c>
      <c r="I1767" t="s">
        <v>36</v>
      </c>
      <c r="J1767" t="s">
        <v>65</v>
      </c>
    </row>
    <row r="1768" spans="1:10" x14ac:dyDescent="0.35">
      <c r="A1768" t="s">
        <v>1948</v>
      </c>
      <c r="B1768" s="10">
        <v>45973</v>
      </c>
      <c r="C1768" t="s">
        <v>143</v>
      </c>
      <c r="D1768" t="s">
        <v>54</v>
      </c>
      <c r="E1768" t="s">
        <v>55</v>
      </c>
      <c r="F1768" t="s">
        <v>54</v>
      </c>
      <c r="G1768">
        <v>627.01</v>
      </c>
      <c r="H1768" t="s">
        <v>21</v>
      </c>
      <c r="I1768" t="s">
        <v>47</v>
      </c>
      <c r="J1768" t="s">
        <v>89</v>
      </c>
    </row>
    <row r="1769" spans="1:10" x14ac:dyDescent="0.35">
      <c r="A1769" t="s">
        <v>1949</v>
      </c>
      <c r="B1769" s="10">
        <v>45973</v>
      </c>
      <c r="C1769" t="s">
        <v>111</v>
      </c>
      <c r="D1769" t="s">
        <v>12</v>
      </c>
      <c r="E1769" t="s">
        <v>26</v>
      </c>
      <c r="F1769" t="s">
        <v>14</v>
      </c>
      <c r="G1769">
        <v>17.12</v>
      </c>
      <c r="H1769" t="s">
        <v>21</v>
      </c>
      <c r="I1769" t="s">
        <v>36</v>
      </c>
      <c r="J1769" t="s">
        <v>23</v>
      </c>
    </row>
    <row r="1770" spans="1:10" x14ac:dyDescent="0.35">
      <c r="A1770" t="s">
        <v>1950</v>
      </c>
      <c r="B1770" s="10">
        <v>45973</v>
      </c>
      <c r="C1770" t="s">
        <v>138</v>
      </c>
      <c r="D1770" t="s">
        <v>12</v>
      </c>
      <c r="E1770" t="s">
        <v>26</v>
      </c>
      <c r="F1770" t="s">
        <v>14</v>
      </c>
      <c r="G1770">
        <v>94.16</v>
      </c>
      <c r="H1770" t="s">
        <v>21</v>
      </c>
      <c r="I1770" t="s">
        <v>84</v>
      </c>
      <c r="J1770" t="s">
        <v>77</v>
      </c>
    </row>
    <row r="1771" spans="1:10" x14ac:dyDescent="0.35">
      <c r="A1771" t="s">
        <v>1951</v>
      </c>
      <c r="B1771" s="10">
        <v>45973</v>
      </c>
      <c r="C1771" t="s">
        <v>113</v>
      </c>
      <c r="D1771" t="s">
        <v>34</v>
      </c>
      <c r="E1771" t="s">
        <v>40</v>
      </c>
      <c r="F1771" t="s">
        <v>14</v>
      </c>
      <c r="G1771">
        <v>70.83</v>
      </c>
      <c r="H1771" t="s">
        <v>98</v>
      </c>
      <c r="I1771" t="s">
        <v>36</v>
      </c>
      <c r="J1771" t="s">
        <v>37</v>
      </c>
    </row>
    <row r="1772" spans="1:10" x14ac:dyDescent="0.35">
      <c r="A1772" t="s">
        <v>1952</v>
      </c>
      <c r="B1772" s="10">
        <v>45974</v>
      </c>
      <c r="C1772" t="s">
        <v>43</v>
      </c>
      <c r="D1772" t="s">
        <v>12</v>
      </c>
      <c r="E1772" t="s">
        <v>26</v>
      </c>
      <c r="F1772" t="s">
        <v>14</v>
      </c>
      <c r="G1772">
        <v>77.56</v>
      </c>
      <c r="H1772" t="s">
        <v>15</v>
      </c>
      <c r="I1772" t="s">
        <v>22</v>
      </c>
      <c r="J1772" t="s">
        <v>44</v>
      </c>
    </row>
    <row r="1773" spans="1:10" x14ac:dyDescent="0.35">
      <c r="A1773" t="s">
        <v>1953</v>
      </c>
      <c r="B1773" s="10">
        <v>45974</v>
      </c>
      <c r="C1773" t="s">
        <v>111</v>
      </c>
      <c r="D1773" t="s">
        <v>12</v>
      </c>
      <c r="E1773" t="s">
        <v>26</v>
      </c>
      <c r="F1773" t="s">
        <v>14</v>
      </c>
      <c r="G1773">
        <v>36.22</v>
      </c>
      <c r="H1773" t="s">
        <v>21</v>
      </c>
      <c r="I1773" t="s">
        <v>36</v>
      </c>
      <c r="J1773" t="s">
        <v>23</v>
      </c>
    </row>
    <row r="1774" spans="1:10" x14ac:dyDescent="0.35">
      <c r="A1774" t="s">
        <v>1954</v>
      </c>
      <c r="B1774" s="10">
        <v>45974</v>
      </c>
      <c r="C1774" t="s">
        <v>198</v>
      </c>
      <c r="D1774" t="s">
        <v>59</v>
      </c>
      <c r="E1774" t="s">
        <v>199</v>
      </c>
      <c r="F1774" t="s">
        <v>14</v>
      </c>
      <c r="G1774">
        <v>119.48</v>
      </c>
      <c r="H1774" t="s">
        <v>21</v>
      </c>
      <c r="I1774" t="s">
        <v>22</v>
      </c>
      <c r="J1774" t="s">
        <v>61</v>
      </c>
    </row>
    <row r="1775" spans="1:10" x14ac:dyDescent="0.35">
      <c r="A1775" t="s">
        <v>1955</v>
      </c>
      <c r="B1775" s="10">
        <v>45974</v>
      </c>
      <c r="C1775" t="s">
        <v>281</v>
      </c>
      <c r="D1775" t="s">
        <v>34</v>
      </c>
      <c r="E1775" t="s">
        <v>40</v>
      </c>
      <c r="F1775" t="s">
        <v>14</v>
      </c>
      <c r="G1775">
        <v>47.17</v>
      </c>
      <c r="H1775" t="s">
        <v>15</v>
      </c>
      <c r="I1775" t="s">
        <v>22</v>
      </c>
      <c r="J1775" t="s">
        <v>123</v>
      </c>
    </row>
    <row r="1776" spans="1:10" x14ac:dyDescent="0.35">
      <c r="A1776" t="s">
        <v>1956</v>
      </c>
      <c r="B1776" s="10">
        <v>45974</v>
      </c>
      <c r="C1776" t="s">
        <v>415</v>
      </c>
      <c r="D1776" t="s">
        <v>12</v>
      </c>
      <c r="E1776" t="s">
        <v>51</v>
      </c>
      <c r="F1776" t="s">
        <v>14</v>
      </c>
      <c r="G1776">
        <v>60.51</v>
      </c>
      <c r="H1776" t="s">
        <v>21</v>
      </c>
      <c r="I1776" t="s">
        <v>47</v>
      </c>
      <c r="J1776" t="s">
        <v>77</v>
      </c>
    </row>
    <row r="1777" spans="1:10" x14ac:dyDescent="0.35">
      <c r="A1777" t="s">
        <v>1957</v>
      </c>
      <c r="B1777" s="10">
        <v>45975</v>
      </c>
      <c r="C1777" t="s">
        <v>238</v>
      </c>
      <c r="D1777" t="s">
        <v>34</v>
      </c>
      <c r="E1777" t="s">
        <v>35</v>
      </c>
      <c r="F1777" t="s">
        <v>14</v>
      </c>
      <c r="G1777">
        <v>102.06</v>
      </c>
      <c r="H1777" t="s">
        <v>15</v>
      </c>
      <c r="I1777" t="s">
        <v>22</v>
      </c>
      <c r="J1777" t="s">
        <v>239</v>
      </c>
    </row>
    <row r="1778" spans="1:10" x14ac:dyDescent="0.35">
      <c r="A1778" t="s">
        <v>1958</v>
      </c>
      <c r="B1778" s="10">
        <v>45975</v>
      </c>
      <c r="C1778" t="s">
        <v>580</v>
      </c>
      <c r="D1778" t="s">
        <v>80</v>
      </c>
      <c r="E1778" t="s">
        <v>81</v>
      </c>
      <c r="F1778" t="s">
        <v>14</v>
      </c>
      <c r="G1778">
        <v>41.33</v>
      </c>
      <c r="H1778" t="s">
        <v>15</v>
      </c>
      <c r="I1778" t="s">
        <v>22</v>
      </c>
      <c r="J1778" t="s">
        <v>118</v>
      </c>
    </row>
    <row r="1779" spans="1:10" x14ac:dyDescent="0.35">
      <c r="A1779" t="s">
        <v>1959</v>
      </c>
      <c r="B1779" s="10">
        <v>45975</v>
      </c>
      <c r="C1779" t="s">
        <v>215</v>
      </c>
      <c r="D1779" t="s">
        <v>80</v>
      </c>
      <c r="E1779" t="s">
        <v>117</v>
      </c>
      <c r="F1779" t="s">
        <v>14</v>
      </c>
      <c r="G1779">
        <v>44.5</v>
      </c>
      <c r="H1779" t="s">
        <v>15</v>
      </c>
      <c r="I1779" t="s">
        <v>36</v>
      </c>
      <c r="J1779" t="s">
        <v>141</v>
      </c>
    </row>
    <row r="1780" spans="1:10" x14ac:dyDescent="0.35">
      <c r="A1780" t="s">
        <v>1960</v>
      </c>
      <c r="B1780" s="10">
        <v>45975</v>
      </c>
      <c r="C1780" t="s">
        <v>130</v>
      </c>
      <c r="D1780" t="s">
        <v>12</v>
      </c>
      <c r="E1780" t="s">
        <v>26</v>
      </c>
      <c r="F1780" t="s">
        <v>14</v>
      </c>
      <c r="G1780">
        <v>28.47</v>
      </c>
      <c r="H1780" t="s">
        <v>15</v>
      </c>
      <c r="I1780" t="s">
        <v>22</v>
      </c>
      <c r="J1780" t="s">
        <v>48</v>
      </c>
    </row>
    <row r="1781" spans="1:10" x14ac:dyDescent="0.35">
      <c r="A1781" t="s">
        <v>1961</v>
      </c>
      <c r="B1781" s="10">
        <v>45975</v>
      </c>
      <c r="C1781" t="s">
        <v>43</v>
      </c>
      <c r="D1781" t="s">
        <v>12</v>
      </c>
      <c r="E1781" t="s">
        <v>26</v>
      </c>
      <c r="F1781" t="s">
        <v>14</v>
      </c>
      <c r="G1781">
        <v>101.79</v>
      </c>
      <c r="H1781" t="s">
        <v>21</v>
      </c>
      <c r="I1781" t="s">
        <v>47</v>
      </c>
      <c r="J1781" t="s">
        <v>44</v>
      </c>
    </row>
    <row r="1782" spans="1:10" x14ac:dyDescent="0.35">
      <c r="A1782" t="s">
        <v>1962</v>
      </c>
      <c r="B1782" s="10">
        <v>45975</v>
      </c>
      <c r="C1782" t="s">
        <v>130</v>
      </c>
      <c r="D1782" t="s">
        <v>12</v>
      </c>
      <c r="E1782" t="s">
        <v>26</v>
      </c>
      <c r="F1782" t="s">
        <v>14</v>
      </c>
      <c r="G1782">
        <v>41.83</v>
      </c>
      <c r="H1782" t="s">
        <v>15</v>
      </c>
      <c r="I1782" t="s">
        <v>36</v>
      </c>
      <c r="J1782" t="s">
        <v>48</v>
      </c>
    </row>
    <row r="1783" spans="1:10" x14ac:dyDescent="0.35">
      <c r="A1783" t="s">
        <v>1963</v>
      </c>
      <c r="B1783" s="10">
        <v>45975</v>
      </c>
      <c r="C1783" t="s">
        <v>100</v>
      </c>
      <c r="D1783" t="s">
        <v>101</v>
      </c>
      <c r="E1783" t="s">
        <v>102</v>
      </c>
      <c r="F1783" t="s">
        <v>14</v>
      </c>
      <c r="G1783">
        <v>186.19</v>
      </c>
      <c r="H1783" t="s">
        <v>21</v>
      </c>
      <c r="I1783" t="s">
        <v>36</v>
      </c>
      <c r="J1783" t="s">
        <v>103</v>
      </c>
    </row>
    <row r="1784" spans="1:10" x14ac:dyDescent="0.35">
      <c r="A1784" t="s">
        <v>1964</v>
      </c>
      <c r="B1784" s="10">
        <v>45975</v>
      </c>
      <c r="C1784" t="s">
        <v>53</v>
      </c>
      <c r="D1784" t="s">
        <v>54</v>
      </c>
      <c r="E1784" t="s">
        <v>55</v>
      </c>
      <c r="F1784" t="s">
        <v>54</v>
      </c>
      <c r="G1784">
        <v>661</v>
      </c>
      <c r="H1784" t="s">
        <v>21</v>
      </c>
      <c r="I1784" t="s">
        <v>16</v>
      </c>
      <c r="J1784" t="s">
        <v>56</v>
      </c>
    </row>
    <row r="1785" spans="1:10" x14ac:dyDescent="0.35">
      <c r="A1785" t="s">
        <v>1965</v>
      </c>
      <c r="B1785" s="10">
        <v>45976</v>
      </c>
      <c r="C1785" t="s">
        <v>184</v>
      </c>
      <c r="D1785" t="s">
        <v>59</v>
      </c>
      <c r="E1785" t="s">
        <v>185</v>
      </c>
      <c r="F1785" t="s">
        <v>14</v>
      </c>
      <c r="G1785">
        <v>146.26</v>
      </c>
      <c r="H1785" t="s">
        <v>15</v>
      </c>
      <c r="I1785" t="s">
        <v>36</v>
      </c>
      <c r="J1785" t="s">
        <v>61</v>
      </c>
    </row>
    <row r="1786" spans="1:10" x14ac:dyDescent="0.35">
      <c r="A1786" t="s">
        <v>1966</v>
      </c>
      <c r="B1786" s="10">
        <v>45976</v>
      </c>
      <c r="C1786" t="s">
        <v>172</v>
      </c>
      <c r="D1786" t="s">
        <v>101</v>
      </c>
      <c r="E1786" t="s">
        <v>102</v>
      </c>
      <c r="F1786" t="s">
        <v>14</v>
      </c>
      <c r="G1786">
        <v>49.36</v>
      </c>
      <c r="H1786" t="s">
        <v>98</v>
      </c>
      <c r="I1786" t="s">
        <v>16</v>
      </c>
      <c r="J1786" t="s">
        <v>102</v>
      </c>
    </row>
    <row r="1787" spans="1:10" x14ac:dyDescent="0.35">
      <c r="A1787" t="s">
        <v>1967</v>
      </c>
      <c r="B1787" s="10">
        <v>45976</v>
      </c>
      <c r="C1787" t="s">
        <v>73</v>
      </c>
      <c r="D1787" t="s">
        <v>54</v>
      </c>
      <c r="E1787" t="s">
        <v>74</v>
      </c>
      <c r="F1787" t="s">
        <v>54</v>
      </c>
      <c r="G1787">
        <v>2726.36</v>
      </c>
      <c r="H1787" t="s">
        <v>21</v>
      </c>
      <c r="I1787" t="s">
        <v>36</v>
      </c>
      <c r="J1787" t="s">
        <v>65</v>
      </c>
    </row>
    <row r="1788" spans="1:10" x14ac:dyDescent="0.35">
      <c r="A1788" t="s">
        <v>1968</v>
      </c>
      <c r="B1788" s="10">
        <v>45976</v>
      </c>
      <c r="C1788" t="s">
        <v>88</v>
      </c>
      <c r="D1788" t="s">
        <v>54</v>
      </c>
      <c r="E1788" t="s">
        <v>74</v>
      </c>
      <c r="F1788" t="s">
        <v>54</v>
      </c>
      <c r="G1788">
        <v>2520.75</v>
      </c>
      <c r="H1788" t="s">
        <v>21</v>
      </c>
      <c r="I1788" t="s">
        <v>47</v>
      </c>
      <c r="J1788" t="s">
        <v>89</v>
      </c>
    </row>
    <row r="1789" spans="1:10" x14ac:dyDescent="0.35">
      <c r="A1789" t="s">
        <v>1969</v>
      </c>
      <c r="B1789" s="10">
        <v>45977</v>
      </c>
      <c r="C1789" t="s">
        <v>308</v>
      </c>
      <c r="D1789" t="s">
        <v>54</v>
      </c>
      <c r="E1789" t="s">
        <v>64</v>
      </c>
      <c r="F1789" t="s">
        <v>54</v>
      </c>
      <c r="G1789">
        <v>334.57</v>
      </c>
      <c r="H1789" t="s">
        <v>21</v>
      </c>
      <c r="I1789" t="s">
        <v>22</v>
      </c>
      <c r="J1789" t="s">
        <v>89</v>
      </c>
    </row>
    <row r="1790" spans="1:10" x14ac:dyDescent="0.35">
      <c r="A1790" t="s">
        <v>1970</v>
      </c>
      <c r="B1790" s="10">
        <v>45977</v>
      </c>
      <c r="C1790" t="s">
        <v>198</v>
      </c>
      <c r="D1790" t="s">
        <v>59</v>
      </c>
      <c r="E1790" t="s">
        <v>199</v>
      </c>
      <c r="F1790" t="s">
        <v>14</v>
      </c>
      <c r="G1790">
        <v>210.65</v>
      </c>
      <c r="H1790" t="s">
        <v>21</v>
      </c>
      <c r="I1790" t="s">
        <v>22</v>
      </c>
      <c r="J1790" t="s">
        <v>61</v>
      </c>
    </row>
    <row r="1791" spans="1:10" x14ac:dyDescent="0.35">
      <c r="A1791" t="s">
        <v>1971</v>
      </c>
      <c r="B1791" s="10">
        <v>45977</v>
      </c>
      <c r="C1791" t="s">
        <v>25</v>
      </c>
      <c r="D1791" t="s">
        <v>12</v>
      </c>
      <c r="E1791" t="s">
        <v>26</v>
      </c>
      <c r="F1791" t="s">
        <v>14</v>
      </c>
      <c r="G1791">
        <v>88.29</v>
      </c>
      <c r="H1791" t="s">
        <v>15</v>
      </c>
      <c r="I1791" t="s">
        <v>22</v>
      </c>
      <c r="J1791" t="s">
        <v>17</v>
      </c>
    </row>
    <row r="1792" spans="1:10" x14ac:dyDescent="0.35">
      <c r="A1792" t="s">
        <v>1972</v>
      </c>
      <c r="B1792" s="10">
        <v>45977</v>
      </c>
      <c r="C1792" t="s">
        <v>259</v>
      </c>
      <c r="D1792" t="s">
        <v>59</v>
      </c>
      <c r="E1792" t="s">
        <v>199</v>
      </c>
      <c r="F1792" t="s">
        <v>14</v>
      </c>
      <c r="G1792">
        <v>364.37</v>
      </c>
      <c r="H1792" t="s">
        <v>21</v>
      </c>
      <c r="I1792" t="s">
        <v>22</v>
      </c>
      <c r="J1792" t="s">
        <v>170</v>
      </c>
    </row>
    <row r="1793" spans="1:10" x14ac:dyDescent="0.35">
      <c r="A1793" t="s">
        <v>1973</v>
      </c>
      <c r="B1793" s="10">
        <v>45977</v>
      </c>
      <c r="C1793" t="s">
        <v>58</v>
      </c>
      <c r="D1793" t="s">
        <v>59</v>
      </c>
      <c r="E1793" t="s">
        <v>60</v>
      </c>
      <c r="F1793" t="s">
        <v>14</v>
      </c>
      <c r="G1793">
        <v>781.37</v>
      </c>
      <c r="H1793" t="s">
        <v>15</v>
      </c>
      <c r="I1793" t="s">
        <v>22</v>
      </c>
      <c r="J1793" t="s">
        <v>61</v>
      </c>
    </row>
    <row r="1794" spans="1:10" x14ac:dyDescent="0.35">
      <c r="A1794" t="s">
        <v>1974</v>
      </c>
      <c r="B1794" s="10">
        <v>45977</v>
      </c>
      <c r="C1794" t="s">
        <v>229</v>
      </c>
      <c r="D1794" t="s">
        <v>54</v>
      </c>
      <c r="E1794" t="s">
        <v>64</v>
      </c>
      <c r="F1794" t="s">
        <v>54</v>
      </c>
      <c r="G1794">
        <v>352.41</v>
      </c>
      <c r="H1794" t="s">
        <v>21</v>
      </c>
      <c r="I1794" t="s">
        <v>36</v>
      </c>
      <c r="J1794" t="s">
        <v>56</v>
      </c>
    </row>
    <row r="1795" spans="1:10" x14ac:dyDescent="0.35">
      <c r="A1795" t="s">
        <v>1975</v>
      </c>
      <c r="B1795" s="10">
        <v>45978</v>
      </c>
      <c r="C1795" t="s">
        <v>324</v>
      </c>
      <c r="D1795" t="s">
        <v>80</v>
      </c>
      <c r="E1795" t="s">
        <v>92</v>
      </c>
      <c r="F1795" t="s">
        <v>14</v>
      </c>
      <c r="G1795">
        <v>143.88999999999999</v>
      </c>
      <c r="H1795" t="s">
        <v>15</v>
      </c>
      <c r="I1795" t="s">
        <v>22</v>
      </c>
      <c r="J1795" t="s">
        <v>161</v>
      </c>
    </row>
    <row r="1796" spans="1:10" x14ac:dyDescent="0.35">
      <c r="A1796" t="s">
        <v>1976</v>
      </c>
      <c r="B1796" s="10">
        <v>45978</v>
      </c>
      <c r="C1796" t="s">
        <v>79</v>
      </c>
      <c r="D1796" t="s">
        <v>80</v>
      </c>
      <c r="E1796" t="s">
        <v>81</v>
      </c>
      <c r="F1796" t="s">
        <v>14</v>
      </c>
      <c r="G1796">
        <v>76.78</v>
      </c>
      <c r="H1796" t="s">
        <v>15</v>
      </c>
      <c r="I1796" t="s">
        <v>36</v>
      </c>
      <c r="J1796" t="s">
        <v>82</v>
      </c>
    </row>
    <row r="1797" spans="1:10" x14ac:dyDescent="0.35">
      <c r="A1797" t="s">
        <v>1977</v>
      </c>
      <c r="B1797" s="10">
        <v>45978</v>
      </c>
      <c r="C1797" t="s">
        <v>39</v>
      </c>
      <c r="D1797" t="s">
        <v>34</v>
      </c>
      <c r="E1797" t="s">
        <v>40</v>
      </c>
      <c r="F1797" t="s">
        <v>14</v>
      </c>
      <c r="G1797">
        <v>67.150000000000006</v>
      </c>
      <c r="H1797" t="s">
        <v>21</v>
      </c>
      <c r="I1797" t="s">
        <v>36</v>
      </c>
      <c r="J1797" t="s">
        <v>41</v>
      </c>
    </row>
    <row r="1798" spans="1:10" x14ac:dyDescent="0.35">
      <c r="A1798" t="s">
        <v>1978</v>
      </c>
      <c r="B1798" s="10">
        <v>45978</v>
      </c>
      <c r="C1798" t="s">
        <v>184</v>
      </c>
      <c r="D1798" t="s">
        <v>59</v>
      </c>
      <c r="E1798" t="s">
        <v>185</v>
      </c>
      <c r="F1798" t="s">
        <v>14</v>
      </c>
      <c r="G1798">
        <v>155.74</v>
      </c>
      <c r="H1798" t="s">
        <v>15</v>
      </c>
      <c r="I1798" t="s">
        <v>22</v>
      </c>
      <c r="J1798" t="s">
        <v>61</v>
      </c>
    </row>
    <row r="1799" spans="1:10" x14ac:dyDescent="0.35">
      <c r="A1799" t="s">
        <v>1979</v>
      </c>
      <c r="B1799" s="10">
        <v>45979</v>
      </c>
      <c r="C1799" t="s">
        <v>68</v>
      </c>
      <c r="D1799" t="s">
        <v>69</v>
      </c>
      <c r="E1799" t="s">
        <v>70</v>
      </c>
      <c r="F1799" t="s">
        <v>14</v>
      </c>
      <c r="G1799">
        <v>506.01</v>
      </c>
      <c r="H1799" t="s">
        <v>21</v>
      </c>
      <c r="I1799" t="s">
        <v>22</v>
      </c>
      <c r="J1799" t="s">
        <v>71</v>
      </c>
    </row>
    <row r="1800" spans="1:10" x14ac:dyDescent="0.35">
      <c r="A1800" t="s">
        <v>1980</v>
      </c>
      <c r="B1800" s="10">
        <v>45979</v>
      </c>
      <c r="C1800" t="s">
        <v>445</v>
      </c>
      <c r="D1800" t="s">
        <v>101</v>
      </c>
      <c r="E1800" t="s">
        <v>244</v>
      </c>
      <c r="F1800" t="s">
        <v>14</v>
      </c>
      <c r="G1800">
        <v>17.350000000000001</v>
      </c>
      <c r="H1800" t="s">
        <v>15</v>
      </c>
      <c r="I1800" t="s">
        <v>36</v>
      </c>
      <c r="J1800" t="s">
        <v>103</v>
      </c>
    </row>
    <row r="1801" spans="1:10" x14ac:dyDescent="0.35">
      <c r="A1801" t="s">
        <v>1981</v>
      </c>
      <c r="B1801" s="10">
        <v>45979</v>
      </c>
      <c r="C1801" t="s">
        <v>424</v>
      </c>
      <c r="D1801" t="s">
        <v>101</v>
      </c>
      <c r="E1801" t="s">
        <v>136</v>
      </c>
      <c r="F1801" t="s">
        <v>14</v>
      </c>
      <c r="G1801">
        <v>79.69</v>
      </c>
      <c r="H1801" t="s">
        <v>15</v>
      </c>
      <c r="I1801" t="s">
        <v>84</v>
      </c>
      <c r="J1801" t="s">
        <v>102</v>
      </c>
    </row>
    <row r="1802" spans="1:10" x14ac:dyDescent="0.35">
      <c r="A1802" t="s">
        <v>1982</v>
      </c>
      <c r="B1802" s="10">
        <v>45979</v>
      </c>
      <c r="C1802" t="s">
        <v>125</v>
      </c>
      <c r="D1802" t="s">
        <v>12</v>
      </c>
      <c r="E1802" t="s">
        <v>13</v>
      </c>
      <c r="F1802" t="s">
        <v>14</v>
      </c>
      <c r="G1802">
        <v>80.59</v>
      </c>
      <c r="H1802" t="s">
        <v>21</v>
      </c>
      <c r="I1802" t="s">
        <v>36</v>
      </c>
      <c r="J1802" t="s">
        <v>44</v>
      </c>
    </row>
    <row r="1803" spans="1:10" x14ac:dyDescent="0.35">
      <c r="A1803" t="s">
        <v>1983</v>
      </c>
      <c r="B1803" s="10">
        <v>45979</v>
      </c>
      <c r="C1803" t="s">
        <v>46</v>
      </c>
      <c r="D1803" t="s">
        <v>12</v>
      </c>
      <c r="E1803" t="s">
        <v>13</v>
      </c>
      <c r="F1803" t="s">
        <v>14</v>
      </c>
      <c r="G1803">
        <v>51.96</v>
      </c>
      <c r="H1803" t="s">
        <v>15</v>
      </c>
      <c r="I1803" t="s">
        <v>47</v>
      </c>
      <c r="J1803" t="s">
        <v>48</v>
      </c>
    </row>
    <row r="1804" spans="1:10" x14ac:dyDescent="0.35">
      <c r="A1804" t="s">
        <v>1984</v>
      </c>
      <c r="B1804" s="10">
        <v>45979</v>
      </c>
      <c r="C1804" t="s">
        <v>113</v>
      </c>
      <c r="D1804" t="s">
        <v>34</v>
      </c>
      <c r="E1804" t="s">
        <v>40</v>
      </c>
      <c r="F1804" t="s">
        <v>14</v>
      </c>
      <c r="G1804">
        <v>65.36</v>
      </c>
      <c r="H1804" t="s">
        <v>15</v>
      </c>
      <c r="I1804" t="s">
        <v>36</v>
      </c>
      <c r="J1804" t="s">
        <v>37</v>
      </c>
    </row>
    <row r="1805" spans="1:10" x14ac:dyDescent="0.35">
      <c r="A1805" t="s">
        <v>1985</v>
      </c>
      <c r="B1805" s="10">
        <v>45979</v>
      </c>
      <c r="C1805" t="s">
        <v>324</v>
      </c>
      <c r="D1805" t="s">
        <v>80</v>
      </c>
      <c r="E1805" t="s">
        <v>92</v>
      </c>
      <c r="F1805" t="s">
        <v>14</v>
      </c>
      <c r="G1805">
        <v>131.62</v>
      </c>
      <c r="H1805" t="s">
        <v>15</v>
      </c>
      <c r="I1805" t="s">
        <v>22</v>
      </c>
      <c r="J1805" t="s">
        <v>161</v>
      </c>
    </row>
    <row r="1806" spans="1:10" x14ac:dyDescent="0.35">
      <c r="A1806" t="s">
        <v>1986</v>
      </c>
      <c r="B1806" s="10">
        <v>45979</v>
      </c>
      <c r="C1806" t="s">
        <v>19</v>
      </c>
      <c r="D1806" t="s">
        <v>12</v>
      </c>
      <c r="E1806" t="s">
        <v>13</v>
      </c>
      <c r="F1806" t="s">
        <v>14</v>
      </c>
      <c r="G1806">
        <v>46.6</v>
      </c>
      <c r="H1806" t="s">
        <v>15</v>
      </c>
      <c r="I1806" t="s">
        <v>22</v>
      </c>
      <c r="J1806" t="s">
        <v>23</v>
      </c>
    </row>
    <row r="1807" spans="1:10" x14ac:dyDescent="0.35">
      <c r="A1807" t="s">
        <v>1987</v>
      </c>
      <c r="B1807" s="10">
        <v>45980</v>
      </c>
      <c r="C1807" t="s">
        <v>308</v>
      </c>
      <c r="D1807" t="s">
        <v>54</v>
      </c>
      <c r="E1807" t="s">
        <v>64</v>
      </c>
      <c r="F1807" t="s">
        <v>54</v>
      </c>
      <c r="G1807">
        <v>353.47</v>
      </c>
      <c r="H1807" t="s">
        <v>21</v>
      </c>
      <c r="I1807" t="s">
        <v>36</v>
      </c>
      <c r="J1807" t="s">
        <v>89</v>
      </c>
    </row>
    <row r="1808" spans="1:10" x14ac:dyDescent="0.35">
      <c r="A1808" t="s">
        <v>1988</v>
      </c>
      <c r="B1808" s="10">
        <v>45980</v>
      </c>
      <c r="C1808" t="s">
        <v>206</v>
      </c>
      <c r="D1808" t="s">
        <v>29</v>
      </c>
      <c r="E1808" t="s">
        <v>95</v>
      </c>
      <c r="F1808" t="s">
        <v>14</v>
      </c>
      <c r="G1808">
        <v>26.52</v>
      </c>
      <c r="H1808" t="s">
        <v>15</v>
      </c>
      <c r="I1808" t="s">
        <v>22</v>
      </c>
      <c r="J1808" t="s">
        <v>31</v>
      </c>
    </row>
    <row r="1809" spans="1:10" x14ac:dyDescent="0.35">
      <c r="A1809" t="s">
        <v>1989</v>
      </c>
      <c r="B1809" s="10">
        <v>45980</v>
      </c>
      <c r="C1809" t="s">
        <v>177</v>
      </c>
      <c r="D1809" t="s">
        <v>54</v>
      </c>
      <c r="E1809" t="s">
        <v>74</v>
      </c>
      <c r="F1809" t="s">
        <v>54</v>
      </c>
      <c r="G1809">
        <v>2516.69</v>
      </c>
      <c r="H1809" t="s">
        <v>21</v>
      </c>
      <c r="I1809" t="s">
        <v>16</v>
      </c>
      <c r="J1809" t="s">
        <v>56</v>
      </c>
    </row>
    <row r="1810" spans="1:10" x14ac:dyDescent="0.35">
      <c r="A1810" t="s">
        <v>1990</v>
      </c>
      <c r="B1810" s="10">
        <v>45981</v>
      </c>
      <c r="C1810" t="s">
        <v>229</v>
      </c>
      <c r="D1810" t="s">
        <v>54</v>
      </c>
      <c r="E1810" t="s">
        <v>64</v>
      </c>
      <c r="F1810" t="s">
        <v>54</v>
      </c>
      <c r="G1810">
        <v>362.89</v>
      </c>
      <c r="H1810" t="s">
        <v>98</v>
      </c>
      <c r="I1810" t="s">
        <v>22</v>
      </c>
      <c r="J1810" t="s">
        <v>56</v>
      </c>
    </row>
    <row r="1811" spans="1:10" x14ac:dyDescent="0.35">
      <c r="A1811" t="s">
        <v>1991</v>
      </c>
      <c r="B1811" s="10">
        <v>45981</v>
      </c>
      <c r="C1811" t="s">
        <v>168</v>
      </c>
      <c r="D1811" t="s">
        <v>59</v>
      </c>
      <c r="E1811" t="s">
        <v>60</v>
      </c>
      <c r="F1811" t="s">
        <v>14</v>
      </c>
      <c r="G1811">
        <v>255.3</v>
      </c>
      <c r="H1811" t="s">
        <v>15</v>
      </c>
      <c r="I1811" t="s">
        <v>47</v>
      </c>
      <c r="J1811" t="s">
        <v>170</v>
      </c>
    </row>
    <row r="1812" spans="1:10" x14ac:dyDescent="0.35">
      <c r="A1812" t="s">
        <v>1992</v>
      </c>
      <c r="B1812" s="10">
        <v>45981</v>
      </c>
      <c r="C1812" t="s">
        <v>53</v>
      </c>
      <c r="D1812" t="s">
        <v>54</v>
      </c>
      <c r="E1812" t="s">
        <v>55</v>
      </c>
      <c r="F1812" t="s">
        <v>54</v>
      </c>
      <c r="G1812">
        <v>620.26</v>
      </c>
      <c r="H1812" t="s">
        <v>15</v>
      </c>
      <c r="I1812" t="s">
        <v>36</v>
      </c>
      <c r="J1812" t="s">
        <v>56</v>
      </c>
    </row>
    <row r="1813" spans="1:10" x14ac:dyDescent="0.35">
      <c r="A1813" t="s">
        <v>1993</v>
      </c>
      <c r="B1813" s="10">
        <v>45981</v>
      </c>
      <c r="C1813" t="s">
        <v>259</v>
      </c>
      <c r="D1813" t="s">
        <v>59</v>
      </c>
      <c r="E1813" t="s">
        <v>199</v>
      </c>
      <c r="F1813" t="s">
        <v>14</v>
      </c>
      <c r="G1813">
        <v>272.97000000000003</v>
      </c>
      <c r="H1813" t="s">
        <v>15</v>
      </c>
      <c r="I1813" t="s">
        <v>36</v>
      </c>
      <c r="J1813" t="s">
        <v>170</v>
      </c>
    </row>
    <row r="1814" spans="1:10" x14ac:dyDescent="0.35">
      <c r="A1814" t="s">
        <v>1994</v>
      </c>
      <c r="B1814" s="10">
        <v>45981</v>
      </c>
      <c r="C1814" t="s">
        <v>39</v>
      </c>
      <c r="D1814" t="s">
        <v>34</v>
      </c>
      <c r="E1814" t="s">
        <v>40</v>
      </c>
      <c r="F1814" t="s">
        <v>14</v>
      </c>
      <c r="G1814">
        <v>124.31</v>
      </c>
      <c r="H1814" t="s">
        <v>15</v>
      </c>
      <c r="I1814" t="s">
        <v>84</v>
      </c>
      <c r="J1814" t="s">
        <v>41</v>
      </c>
    </row>
    <row r="1815" spans="1:10" x14ac:dyDescent="0.35">
      <c r="A1815" t="s">
        <v>1995</v>
      </c>
      <c r="B1815" s="10">
        <v>45981</v>
      </c>
      <c r="C1815" t="s">
        <v>130</v>
      </c>
      <c r="D1815" t="s">
        <v>12</v>
      </c>
      <c r="E1815" t="s">
        <v>26</v>
      </c>
      <c r="F1815" t="s">
        <v>14</v>
      </c>
      <c r="G1815">
        <v>17.239999999999998</v>
      </c>
      <c r="H1815" t="s">
        <v>15</v>
      </c>
      <c r="I1815" t="s">
        <v>36</v>
      </c>
      <c r="J1815" t="s">
        <v>48</v>
      </c>
    </row>
    <row r="1816" spans="1:10" x14ac:dyDescent="0.35">
      <c r="A1816" t="s">
        <v>1996</v>
      </c>
      <c r="B1816" s="10">
        <v>45981</v>
      </c>
      <c r="C1816" t="s">
        <v>411</v>
      </c>
      <c r="D1816" t="s">
        <v>29</v>
      </c>
      <c r="E1816" t="s">
        <v>151</v>
      </c>
      <c r="F1816" t="s">
        <v>14</v>
      </c>
      <c r="G1816">
        <v>70.11</v>
      </c>
      <c r="H1816" t="s">
        <v>15</v>
      </c>
      <c r="I1816" t="s">
        <v>16</v>
      </c>
      <c r="J1816" t="s">
        <v>151</v>
      </c>
    </row>
    <row r="1817" spans="1:10" x14ac:dyDescent="0.35">
      <c r="A1817" t="s">
        <v>1997</v>
      </c>
      <c r="B1817" s="10">
        <v>45982</v>
      </c>
      <c r="C1817" t="s">
        <v>63</v>
      </c>
      <c r="D1817" t="s">
        <v>54</v>
      </c>
      <c r="E1817" t="s">
        <v>64</v>
      </c>
      <c r="F1817" t="s">
        <v>54</v>
      </c>
      <c r="G1817">
        <v>356.59</v>
      </c>
      <c r="H1817" t="s">
        <v>15</v>
      </c>
      <c r="I1817" t="s">
        <v>84</v>
      </c>
      <c r="J1817" t="s">
        <v>65</v>
      </c>
    </row>
    <row r="1818" spans="1:10" x14ac:dyDescent="0.35">
      <c r="A1818" t="s">
        <v>1998</v>
      </c>
      <c r="B1818" s="10">
        <v>45982</v>
      </c>
      <c r="C1818" t="s">
        <v>63</v>
      </c>
      <c r="D1818" t="s">
        <v>54</v>
      </c>
      <c r="E1818" t="s">
        <v>64</v>
      </c>
      <c r="F1818" t="s">
        <v>54</v>
      </c>
      <c r="G1818">
        <v>410.69</v>
      </c>
      <c r="H1818" t="s">
        <v>15</v>
      </c>
      <c r="I1818" t="s">
        <v>22</v>
      </c>
      <c r="J1818" t="s">
        <v>65</v>
      </c>
    </row>
    <row r="1819" spans="1:10" x14ac:dyDescent="0.35">
      <c r="A1819" t="s">
        <v>1999</v>
      </c>
      <c r="B1819" s="10">
        <v>45982</v>
      </c>
      <c r="C1819" t="s">
        <v>464</v>
      </c>
      <c r="D1819" t="s">
        <v>34</v>
      </c>
      <c r="E1819" t="s">
        <v>122</v>
      </c>
      <c r="F1819" t="s">
        <v>14</v>
      </c>
      <c r="G1819">
        <v>191.09</v>
      </c>
      <c r="H1819" t="s">
        <v>15</v>
      </c>
      <c r="I1819" t="s">
        <v>36</v>
      </c>
      <c r="J1819" t="s">
        <v>239</v>
      </c>
    </row>
    <row r="1820" spans="1:10" x14ac:dyDescent="0.35">
      <c r="A1820" t="s">
        <v>2000</v>
      </c>
      <c r="B1820" s="10">
        <v>45982</v>
      </c>
      <c r="C1820" t="s">
        <v>1491</v>
      </c>
      <c r="D1820" t="s">
        <v>69</v>
      </c>
      <c r="E1820" t="s">
        <v>233</v>
      </c>
      <c r="F1820" t="s">
        <v>14</v>
      </c>
      <c r="G1820">
        <v>712.69</v>
      </c>
      <c r="H1820" t="s">
        <v>21</v>
      </c>
      <c r="I1820" t="s">
        <v>22</v>
      </c>
      <c r="J1820" t="s">
        <v>396</v>
      </c>
    </row>
    <row r="1821" spans="1:10" x14ac:dyDescent="0.35">
      <c r="A1821" t="s">
        <v>2001</v>
      </c>
      <c r="B1821" s="10">
        <v>45982</v>
      </c>
      <c r="C1821" t="s">
        <v>168</v>
      </c>
      <c r="D1821" t="s">
        <v>59</v>
      </c>
      <c r="E1821" t="s">
        <v>60</v>
      </c>
      <c r="F1821" t="s">
        <v>14</v>
      </c>
      <c r="G1821">
        <v>167.6</v>
      </c>
      <c r="H1821" t="s">
        <v>21</v>
      </c>
      <c r="I1821" t="s">
        <v>16</v>
      </c>
      <c r="J1821" t="s">
        <v>170</v>
      </c>
    </row>
    <row r="1822" spans="1:10" x14ac:dyDescent="0.35">
      <c r="A1822" t="s">
        <v>2002</v>
      </c>
      <c r="B1822" s="10">
        <v>45983</v>
      </c>
      <c r="C1822" t="s">
        <v>350</v>
      </c>
      <c r="D1822" t="s">
        <v>29</v>
      </c>
      <c r="E1822" t="s">
        <v>151</v>
      </c>
      <c r="F1822" t="s">
        <v>14</v>
      </c>
      <c r="G1822">
        <v>28.59</v>
      </c>
      <c r="H1822" t="s">
        <v>21</v>
      </c>
      <c r="I1822" t="s">
        <v>22</v>
      </c>
      <c r="J1822" t="s">
        <v>158</v>
      </c>
    </row>
    <row r="1823" spans="1:10" x14ac:dyDescent="0.35">
      <c r="A1823" t="s">
        <v>2003</v>
      </c>
      <c r="B1823" s="10">
        <v>45983</v>
      </c>
      <c r="C1823" t="s">
        <v>111</v>
      </c>
      <c r="D1823" t="s">
        <v>12</v>
      </c>
      <c r="E1823" t="s">
        <v>26</v>
      </c>
      <c r="F1823" t="s">
        <v>14</v>
      </c>
      <c r="G1823">
        <v>26.12</v>
      </c>
      <c r="H1823" t="s">
        <v>15</v>
      </c>
      <c r="I1823" t="s">
        <v>22</v>
      </c>
      <c r="J1823" t="s">
        <v>23</v>
      </c>
    </row>
    <row r="1824" spans="1:10" x14ac:dyDescent="0.35">
      <c r="A1824" t="s">
        <v>2004</v>
      </c>
      <c r="B1824" s="10">
        <v>45983</v>
      </c>
      <c r="C1824" t="s">
        <v>143</v>
      </c>
      <c r="D1824" t="s">
        <v>54</v>
      </c>
      <c r="E1824" t="s">
        <v>55</v>
      </c>
      <c r="F1824" t="s">
        <v>54</v>
      </c>
      <c r="G1824">
        <v>681.59</v>
      </c>
      <c r="H1824" t="s">
        <v>98</v>
      </c>
      <c r="I1824" t="s">
        <v>22</v>
      </c>
      <c r="J1824" t="s">
        <v>89</v>
      </c>
    </row>
    <row r="1825" spans="1:10" x14ac:dyDescent="0.35">
      <c r="A1825" t="s">
        <v>2005</v>
      </c>
      <c r="B1825" s="10">
        <v>45983</v>
      </c>
      <c r="C1825" t="s">
        <v>251</v>
      </c>
      <c r="D1825" t="s">
        <v>29</v>
      </c>
      <c r="E1825" t="s">
        <v>151</v>
      </c>
      <c r="F1825" t="s">
        <v>14</v>
      </c>
      <c r="G1825">
        <v>8.36</v>
      </c>
      <c r="H1825" t="s">
        <v>15</v>
      </c>
      <c r="I1825" t="s">
        <v>22</v>
      </c>
      <c r="J1825" t="s">
        <v>31</v>
      </c>
    </row>
    <row r="1826" spans="1:10" x14ac:dyDescent="0.35">
      <c r="A1826" t="s">
        <v>2006</v>
      </c>
      <c r="B1826" s="10">
        <v>45984</v>
      </c>
      <c r="C1826" t="s">
        <v>150</v>
      </c>
      <c r="D1826" t="s">
        <v>29</v>
      </c>
      <c r="E1826" t="s">
        <v>30</v>
      </c>
      <c r="F1826" t="s">
        <v>14</v>
      </c>
      <c r="G1826">
        <v>72.94</v>
      </c>
      <c r="H1826" t="s">
        <v>15</v>
      </c>
      <c r="I1826" t="s">
        <v>16</v>
      </c>
      <c r="J1826" t="s">
        <v>151</v>
      </c>
    </row>
    <row r="1827" spans="1:10" x14ac:dyDescent="0.35">
      <c r="A1827" t="s">
        <v>2007</v>
      </c>
      <c r="B1827" s="10">
        <v>45984</v>
      </c>
      <c r="C1827" t="s">
        <v>194</v>
      </c>
      <c r="D1827" t="s">
        <v>101</v>
      </c>
      <c r="E1827" t="s">
        <v>136</v>
      </c>
      <c r="F1827" t="s">
        <v>14</v>
      </c>
      <c r="G1827">
        <v>73.11</v>
      </c>
      <c r="H1827" t="s">
        <v>21</v>
      </c>
      <c r="I1827" t="s">
        <v>47</v>
      </c>
      <c r="J1827" t="s">
        <v>103</v>
      </c>
    </row>
    <row r="1828" spans="1:10" x14ac:dyDescent="0.35">
      <c r="A1828" t="s">
        <v>2008</v>
      </c>
      <c r="B1828" s="10">
        <v>45984</v>
      </c>
      <c r="C1828" t="s">
        <v>281</v>
      </c>
      <c r="D1828" t="s">
        <v>34</v>
      </c>
      <c r="E1828" t="s">
        <v>40</v>
      </c>
      <c r="F1828" t="s">
        <v>14</v>
      </c>
      <c r="G1828">
        <v>51.48</v>
      </c>
      <c r="H1828" t="s">
        <v>15</v>
      </c>
      <c r="I1828" t="s">
        <v>36</v>
      </c>
      <c r="J1828" t="s">
        <v>123</v>
      </c>
    </row>
    <row r="1829" spans="1:10" x14ac:dyDescent="0.35">
      <c r="A1829" t="s">
        <v>2009</v>
      </c>
      <c r="B1829" s="10">
        <v>45984</v>
      </c>
      <c r="C1829" t="s">
        <v>168</v>
      </c>
      <c r="D1829" t="s">
        <v>59</v>
      </c>
      <c r="E1829" t="s">
        <v>60</v>
      </c>
      <c r="F1829" t="s">
        <v>14</v>
      </c>
      <c r="G1829">
        <v>247.68</v>
      </c>
      <c r="H1829" t="s">
        <v>21</v>
      </c>
      <c r="I1829" t="s">
        <v>16</v>
      </c>
      <c r="J1829" t="s">
        <v>170</v>
      </c>
    </row>
    <row r="1830" spans="1:10" x14ac:dyDescent="0.35">
      <c r="A1830" t="s">
        <v>2010</v>
      </c>
      <c r="B1830" s="10">
        <v>45984</v>
      </c>
      <c r="C1830" t="s">
        <v>220</v>
      </c>
      <c r="D1830" t="s">
        <v>59</v>
      </c>
      <c r="E1830" t="s">
        <v>199</v>
      </c>
      <c r="F1830" t="s">
        <v>14</v>
      </c>
      <c r="G1830">
        <v>227.15</v>
      </c>
      <c r="H1830" t="s">
        <v>15</v>
      </c>
      <c r="I1830" t="s">
        <v>22</v>
      </c>
      <c r="J1830" t="s">
        <v>211</v>
      </c>
    </row>
    <row r="1831" spans="1:10" x14ac:dyDescent="0.35">
      <c r="A1831" t="s">
        <v>2011</v>
      </c>
      <c r="B1831" s="10">
        <v>45985</v>
      </c>
      <c r="C1831" t="s">
        <v>143</v>
      </c>
      <c r="D1831" t="s">
        <v>54</v>
      </c>
      <c r="E1831" t="s">
        <v>55</v>
      </c>
      <c r="F1831" t="s">
        <v>54</v>
      </c>
      <c r="G1831">
        <v>612.27</v>
      </c>
      <c r="H1831" t="s">
        <v>21</v>
      </c>
      <c r="I1831" t="s">
        <v>22</v>
      </c>
      <c r="J1831" t="s">
        <v>89</v>
      </c>
    </row>
    <row r="1832" spans="1:10" x14ac:dyDescent="0.35">
      <c r="A1832" t="s">
        <v>2012</v>
      </c>
      <c r="B1832" s="10">
        <v>45985</v>
      </c>
      <c r="C1832" t="s">
        <v>308</v>
      </c>
      <c r="D1832" t="s">
        <v>54</v>
      </c>
      <c r="E1832" t="s">
        <v>64</v>
      </c>
      <c r="F1832" t="s">
        <v>54</v>
      </c>
      <c r="G1832">
        <v>326.44</v>
      </c>
      <c r="H1832" t="s">
        <v>15</v>
      </c>
      <c r="I1832" t="s">
        <v>47</v>
      </c>
      <c r="J1832" t="s">
        <v>89</v>
      </c>
    </row>
    <row r="1833" spans="1:10" x14ac:dyDescent="0.35">
      <c r="A1833" t="s">
        <v>2013</v>
      </c>
      <c r="B1833" s="10">
        <v>45985</v>
      </c>
      <c r="C1833" t="s">
        <v>210</v>
      </c>
      <c r="D1833" t="s">
        <v>59</v>
      </c>
      <c r="E1833" t="s">
        <v>185</v>
      </c>
      <c r="F1833" t="s">
        <v>14</v>
      </c>
      <c r="G1833">
        <v>189.9</v>
      </c>
      <c r="H1833" t="s">
        <v>98</v>
      </c>
      <c r="I1833" t="s">
        <v>47</v>
      </c>
      <c r="J1833" t="s">
        <v>211</v>
      </c>
    </row>
    <row r="1834" spans="1:10" x14ac:dyDescent="0.35">
      <c r="A1834" t="s">
        <v>2014</v>
      </c>
      <c r="B1834" s="10">
        <v>45985</v>
      </c>
      <c r="C1834" t="s">
        <v>445</v>
      </c>
      <c r="D1834" t="s">
        <v>101</v>
      </c>
      <c r="E1834" t="s">
        <v>244</v>
      </c>
      <c r="F1834" t="s">
        <v>14</v>
      </c>
      <c r="G1834">
        <v>37.92</v>
      </c>
      <c r="H1834" t="s">
        <v>21</v>
      </c>
      <c r="I1834" t="s">
        <v>22</v>
      </c>
      <c r="J1834" t="s">
        <v>103</v>
      </c>
    </row>
    <row r="1835" spans="1:10" x14ac:dyDescent="0.35">
      <c r="A1835" t="s">
        <v>2015</v>
      </c>
      <c r="B1835" s="10">
        <v>45985</v>
      </c>
      <c r="C1835" t="s">
        <v>281</v>
      </c>
      <c r="D1835" t="s">
        <v>34</v>
      </c>
      <c r="E1835" t="s">
        <v>40</v>
      </c>
      <c r="F1835" t="s">
        <v>14</v>
      </c>
      <c r="G1835">
        <v>129.31</v>
      </c>
      <c r="H1835" t="s">
        <v>15</v>
      </c>
      <c r="I1835" t="s">
        <v>22</v>
      </c>
      <c r="J1835" t="s">
        <v>123</v>
      </c>
    </row>
    <row r="1836" spans="1:10" x14ac:dyDescent="0.35">
      <c r="A1836" t="s">
        <v>2016</v>
      </c>
      <c r="B1836" s="10">
        <v>45985</v>
      </c>
      <c r="C1836" t="s">
        <v>824</v>
      </c>
      <c r="D1836" t="s">
        <v>69</v>
      </c>
      <c r="E1836" t="s">
        <v>233</v>
      </c>
      <c r="F1836" t="s">
        <v>14</v>
      </c>
      <c r="G1836">
        <v>256.01</v>
      </c>
      <c r="H1836" t="s">
        <v>15</v>
      </c>
      <c r="I1836" t="s">
        <v>22</v>
      </c>
      <c r="J1836" t="s">
        <v>133</v>
      </c>
    </row>
    <row r="1837" spans="1:10" x14ac:dyDescent="0.35">
      <c r="A1837" t="s">
        <v>2017</v>
      </c>
      <c r="B1837" s="10">
        <v>45985</v>
      </c>
      <c r="C1837" t="s">
        <v>109</v>
      </c>
      <c r="D1837" t="s">
        <v>34</v>
      </c>
      <c r="E1837" t="s">
        <v>35</v>
      </c>
      <c r="F1837" t="s">
        <v>14</v>
      </c>
      <c r="G1837">
        <v>152.54</v>
      </c>
      <c r="H1837" t="s">
        <v>21</v>
      </c>
      <c r="I1837" t="s">
        <v>47</v>
      </c>
      <c r="J1837" t="s">
        <v>41</v>
      </c>
    </row>
    <row r="1838" spans="1:10" x14ac:dyDescent="0.35">
      <c r="A1838" t="s">
        <v>2018</v>
      </c>
      <c r="B1838" s="10">
        <v>45985</v>
      </c>
      <c r="C1838" t="s">
        <v>324</v>
      </c>
      <c r="D1838" t="s">
        <v>80</v>
      </c>
      <c r="E1838" t="s">
        <v>92</v>
      </c>
      <c r="F1838" t="s">
        <v>14</v>
      </c>
      <c r="G1838">
        <v>41.42</v>
      </c>
      <c r="H1838" t="s">
        <v>15</v>
      </c>
      <c r="I1838" t="s">
        <v>22</v>
      </c>
      <c r="J1838" t="s">
        <v>161</v>
      </c>
    </row>
    <row r="1839" spans="1:10" x14ac:dyDescent="0.35">
      <c r="A1839" t="s">
        <v>2019</v>
      </c>
      <c r="B1839" s="10">
        <v>45985</v>
      </c>
      <c r="C1839" t="s">
        <v>194</v>
      </c>
      <c r="D1839" t="s">
        <v>101</v>
      </c>
      <c r="E1839" t="s">
        <v>136</v>
      </c>
      <c r="F1839" t="s">
        <v>14</v>
      </c>
      <c r="G1839">
        <v>51.55</v>
      </c>
      <c r="H1839" t="s">
        <v>15</v>
      </c>
      <c r="I1839" t="s">
        <v>84</v>
      </c>
      <c r="J1839" t="s">
        <v>103</v>
      </c>
    </row>
    <row r="1840" spans="1:10" x14ac:dyDescent="0.35">
      <c r="A1840" t="s">
        <v>2020</v>
      </c>
      <c r="B1840" s="10">
        <v>45986</v>
      </c>
      <c r="C1840" t="s">
        <v>143</v>
      </c>
      <c r="D1840" t="s">
        <v>54</v>
      </c>
      <c r="E1840" t="s">
        <v>55</v>
      </c>
      <c r="F1840" t="s">
        <v>54</v>
      </c>
      <c r="G1840">
        <v>769.79</v>
      </c>
      <c r="H1840" t="s">
        <v>15</v>
      </c>
      <c r="I1840" t="s">
        <v>36</v>
      </c>
      <c r="J1840" t="s">
        <v>89</v>
      </c>
    </row>
    <row r="1841" spans="1:10" x14ac:dyDescent="0.35">
      <c r="A1841" t="s">
        <v>2021</v>
      </c>
      <c r="B1841" s="10">
        <v>45986</v>
      </c>
      <c r="C1841" t="s">
        <v>46</v>
      </c>
      <c r="D1841" t="s">
        <v>12</v>
      </c>
      <c r="E1841" t="s">
        <v>13</v>
      </c>
      <c r="F1841" t="s">
        <v>14</v>
      </c>
      <c r="G1841">
        <v>32.36</v>
      </c>
      <c r="H1841" t="s">
        <v>21</v>
      </c>
      <c r="I1841" t="s">
        <v>47</v>
      </c>
      <c r="J1841" t="s">
        <v>48</v>
      </c>
    </row>
    <row r="1842" spans="1:10" x14ac:dyDescent="0.35">
      <c r="A1842" t="s">
        <v>2022</v>
      </c>
      <c r="B1842" s="10">
        <v>45986</v>
      </c>
      <c r="C1842" t="s">
        <v>46</v>
      </c>
      <c r="D1842" t="s">
        <v>12</v>
      </c>
      <c r="E1842" t="s">
        <v>13</v>
      </c>
      <c r="F1842" t="s">
        <v>14</v>
      </c>
      <c r="G1842">
        <v>21.92</v>
      </c>
      <c r="H1842" t="s">
        <v>98</v>
      </c>
      <c r="I1842" t="s">
        <v>36</v>
      </c>
      <c r="J1842" t="s">
        <v>48</v>
      </c>
    </row>
    <row r="1843" spans="1:10" x14ac:dyDescent="0.35">
      <c r="A1843" t="s">
        <v>2023</v>
      </c>
      <c r="B1843" s="10">
        <v>45986</v>
      </c>
      <c r="C1843" t="s">
        <v>113</v>
      </c>
      <c r="D1843" t="s">
        <v>34</v>
      </c>
      <c r="E1843" t="s">
        <v>40</v>
      </c>
      <c r="F1843" t="s">
        <v>14</v>
      </c>
      <c r="G1843">
        <v>351.25</v>
      </c>
      <c r="H1843" t="s">
        <v>15</v>
      </c>
      <c r="I1843" t="s">
        <v>36</v>
      </c>
      <c r="J1843" t="s">
        <v>37</v>
      </c>
    </row>
    <row r="1844" spans="1:10" x14ac:dyDescent="0.35">
      <c r="A1844" t="s">
        <v>2024</v>
      </c>
      <c r="B1844" s="10">
        <v>45986</v>
      </c>
      <c r="C1844" t="s">
        <v>63</v>
      </c>
      <c r="D1844" t="s">
        <v>54</v>
      </c>
      <c r="E1844" t="s">
        <v>64</v>
      </c>
      <c r="F1844" t="s">
        <v>54</v>
      </c>
      <c r="G1844">
        <v>342.82</v>
      </c>
      <c r="H1844" t="s">
        <v>21</v>
      </c>
      <c r="I1844" t="s">
        <v>47</v>
      </c>
      <c r="J1844" t="s">
        <v>65</v>
      </c>
    </row>
    <row r="1845" spans="1:10" x14ac:dyDescent="0.35">
      <c r="A1845" t="s">
        <v>2025</v>
      </c>
      <c r="B1845" s="10">
        <v>45987</v>
      </c>
      <c r="C1845" t="s">
        <v>227</v>
      </c>
      <c r="D1845" t="s">
        <v>12</v>
      </c>
      <c r="E1845" t="s">
        <v>51</v>
      </c>
      <c r="F1845" t="s">
        <v>14</v>
      </c>
      <c r="G1845">
        <v>148.63999999999999</v>
      </c>
      <c r="H1845" t="s">
        <v>15</v>
      </c>
      <c r="I1845" t="s">
        <v>36</v>
      </c>
      <c r="J1845" t="s">
        <v>17</v>
      </c>
    </row>
    <row r="1846" spans="1:10" x14ac:dyDescent="0.35">
      <c r="A1846" t="s">
        <v>2026</v>
      </c>
      <c r="B1846" s="10">
        <v>45987</v>
      </c>
      <c r="C1846" t="s">
        <v>28</v>
      </c>
      <c r="D1846" t="s">
        <v>29</v>
      </c>
      <c r="E1846" t="s">
        <v>30</v>
      </c>
      <c r="F1846" t="s">
        <v>14</v>
      </c>
      <c r="G1846">
        <v>87.99</v>
      </c>
      <c r="H1846" t="s">
        <v>15</v>
      </c>
      <c r="I1846" t="s">
        <v>22</v>
      </c>
      <c r="J1846" t="s">
        <v>31</v>
      </c>
    </row>
    <row r="1847" spans="1:10" x14ac:dyDescent="0.35">
      <c r="A1847" t="s">
        <v>2027</v>
      </c>
      <c r="B1847" s="10">
        <v>45987</v>
      </c>
      <c r="C1847" t="s">
        <v>253</v>
      </c>
      <c r="D1847" t="s">
        <v>29</v>
      </c>
      <c r="E1847" t="s">
        <v>30</v>
      </c>
      <c r="F1847" t="s">
        <v>14</v>
      </c>
      <c r="G1847">
        <v>20.72</v>
      </c>
      <c r="H1847" t="s">
        <v>15</v>
      </c>
      <c r="I1847" t="s">
        <v>22</v>
      </c>
      <c r="J1847" t="s">
        <v>158</v>
      </c>
    </row>
    <row r="1848" spans="1:10" x14ac:dyDescent="0.35">
      <c r="A1848" t="s">
        <v>2028</v>
      </c>
      <c r="B1848" s="10">
        <v>45987</v>
      </c>
      <c r="C1848" t="s">
        <v>345</v>
      </c>
      <c r="D1848" t="s">
        <v>59</v>
      </c>
      <c r="E1848" t="s">
        <v>60</v>
      </c>
      <c r="F1848" t="s">
        <v>14</v>
      </c>
      <c r="G1848">
        <v>197.69</v>
      </c>
      <c r="H1848" t="s">
        <v>15</v>
      </c>
      <c r="I1848" t="s">
        <v>36</v>
      </c>
      <c r="J1848" t="s">
        <v>211</v>
      </c>
    </row>
    <row r="1849" spans="1:10" x14ac:dyDescent="0.35">
      <c r="A1849" t="s">
        <v>2029</v>
      </c>
      <c r="B1849" s="10">
        <v>45988</v>
      </c>
      <c r="C1849" t="s">
        <v>155</v>
      </c>
      <c r="D1849" t="s">
        <v>12</v>
      </c>
      <c r="E1849" t="s">
        <v>51</v>
      </c>
      <c r="F1849" t="s">
        <v>14</v>
      </c>
      <c r="G1849">
        <v>29.54</v>
      </c>
      <c r="H1849" t="s">
        <v>15</v>
      </c>
      <c r="I1849" t="s">
        <v>36</v>
      </c>
      <c r="J1849" t="s">
        <v>48</v>
      </c>
    </row>
    <row r="1850" spans="1:10" x14ac:dyDescent="0.35">
      <c r="A1850" t="s">
        <v>2030</v>
      </c>
      <c r="B1850" s="10">
        <v>45988</v>
      </c>
      <c r="C1850" t="s">
        <v>272</v>
      </c>
      <c r="D1850" t="s">
        <v>54</v>
      </c>
      <c r="E1850" t="s">
        <v>55</v>
      </c>
      <c r="F1850" t="s">
        <v>54</v>
      </c>
      <c r="G1850">
        <v>780.52</v>
      </c>
      <c r="H1850" t="s">
        <v>21</v>
      </c>
      <c r="I1850" t="s">
        <v>22</v>
      </c>
      <c r="J1850" t="s">
        <v>65</v>
      </c>
    </row>
    <row r="1851" spans="1:10" x14ac:dyDescent="0.35">
      <c r="A1851" t="s">
        <v>2031</v>
      </c>
      <c r="B1851" s="10">
        <v>45988</v>
      </c>
      <c r="C1851" t="s">
        <v>324</v>
      </c>
      <c r="D1851" t="s">
        <v>80</v>
      </c>
      <c r="E1851" t="s">
        <v>92</v>
      </c>
      <c r="F1851" t="s">
        <v>14</v>
      </c>
      <c r="G1851">
        <v>11.94</v>
      </c>
      <c r="H1851" t="s">
        <v>15</v>
      </c>
      <c r="I1851" t="s">
        <v>16</v>
      </c>
      <c r="J1851" t="s">
        <v>161</v>
      </c>
    </row>
    <row r="1852" spans="1:10" x14ac:dyDescent="0.35">
      <c r="A1852" t="s">
        <v>2032</v>
      </c>
      <c r="B1852" s="10">
        <v>45989</v>
      </c>
      <c r="C1852" t="s">
        <v>210</v>
      </c>
      <c r="D1852" t="s">
        <v>59</v>
      </c>
      <c r="E1852" t="s">
        <v>185</v>
      </c>
      <c r="F1852" t="s">
        <v>14</v>
      </c>
      <c r="G1852">
        <v>56.61</v>
      </c>
      <c r="H1852" t="s">
        <v>15</v>
      </c>
      <c r="I1852" t="s">
        <v>22</v>
      </c>
      <c r="J1852" t="s">
        <v>211</v>
      </c>
    </row>
    <row r="1853" spans="1:10" x14ac:dyDescent="0.35">
      <c r="A1853" t="s">
        <v>2033</v>
      </c>
      <c r="B1853" s="10">
        <v>45989</v>
      </c>
      <c r="C1853" t="s">
        <v>308</v>
      </c>
      <c r="D1853" t="s">
        <v>54</v>
      </c>
      <c r="E1853" t="s">
        <v>64</v>
      </c>
      <c r="F1853" t="s">
        <v>54</v>
      </c>
      <c r="G1853">
        <v>301.44</v>
      </c>
      <c r="H1853" t="s">
        <v>98</v>
      </c>
      <c r="I1853" t="s">
        <v>47</v>
      </c>
      <c r="J1853" t="s">
        <v>89</v>
      </c>
    </row>
    <row r="1854" spans="1:10" x14ac:dyDescent="0.35">
      <c r="A1854" t="s">
        <v>2034</v>
      </c>
      <c r="B1854" s="10">
        <v>45989</v>
      </c>
      <c r="C1854" t="s">
        <v>415</v>
      </c>
      <c r="D1854" t="s">
        <v>12</v>
      </c>
      <c r="E1854" t="s">
        <v>51</v>
      </c>
      <c r="F1854" t="s">
        <v>14</v>
      </c>
      <c r="G1854">
        <v>19.37</v>
      </c>
      <c r="H1854" t="s">
        <v>15</v>
      </c>
      <c r="I1854" t="s">
        <v>22</v>
      </c>
      <c r="J1854" t="s">
        <v>77</v>
      </c>
    </row>
    <row r="1855" spans="1:10" x14ac:dyDescent="0.35">
      <c r="A1855" t="s">
        <v>2035</v>
      </c>
      <c r="B1855" s="10">
        <v>45990</v>
      </c>
      <c r="C1855" t="s">
        <v>179</v>
      </c>
      <c r="D1855" t="s">
        <v>80</v>
      </c>
      <c r="E1855" t="s">
        <v>117</v>
      </c>
      <c r="F1855" t="s">
        <v>14</v>
      </c>
      <c r="G1855">
        <v>102.91</v>
      </c>
      <c r="H1855" t="s">
        <v>15</v>
      </c>
      <c r="I1855" t="s">
        <v>22</v>
      </c>
      <c r="J1855" t="s">
        <v>180</v>
      </c>
    </row>
    <row r="1856" spans="1:10" x14ac:dyDescent="0.35">
      <c r="A1856" t="s">
        <v>2036</v>
      </c>
      <c r="B1856" s="10">
        <v>45990</v>
      </c>
      <c r="C1856" t="s">
        <v>28</v>
      </c>
      <c r="D1856" t="s">
        <v>29</v>
      </c>
      <c r="E1856" t="s">
        <v>30</v>
      </c>
      <c r="F1856" t="s">
        <v>14</v>
      </c>
      <c r="G1856">
        <v>25.28</v>
      </c>
      <c r="H1856" t="s">
        <v>21</v>
      </c>
      <c r="I1856" t="s">
        <v>22</v>
      </c>
      <c r="J1856" t="s">
        <v>31</v>
      </c>
    </row>
    <row r="1857" spans="1:10" x14ac:dyDescent="0.35">
      <c r="A1857" t="s">
        <v>2037</v>
      </c>
      <c r="B1857" s="10">
        <v>45990</v>
      </c>
      <c r="C1857" t="s">
        <v>163</v>
      </c>
      <c r="D1857" t="s">
        <v>80</v>
      </c>
      <c r="E1857" t="s">
        <v>92</v>
      </c>
      <c r="F1857" t="s">
        <v>14</v>
      </c>
      <c r="G1857">
        <v>74.89</v>
      </c>
      <c r="H1857" t="s">
        <v>98</v>
      </c>
      <c r="I1857" t="s">
        <v>84</v>
      </c>
      <c r="J1857" t="s">
        <v>118</v>
      </c>
    </row>
    <row r="1858" spans="1:10" x14ac:dyDescent="0.35">
      <c r="A1858" t="s">
        <v>2038</v>
      </c>
      <c r="B1858" s="10">
        <v>45990</v>
      </c>
      <c r="C1858" t="s">
        <v>140</v>
      </c>
      <c r="D1858" t="s">
        <v>80</v>
      </c>
      <c r="E1858" t="s">
        <v>81</v>
      </c>
      <c r="F1858" t="s">
        <v>14</v>
      </c>
      <c r="G1858">
        <v>28.31</v>
      </c>
      <c r="H1858" t="s">
        <v>21</v>
      </c>
      <c r="I1858" t="s">
        <v>47</v>
      </c>
      <c r="J1858" t="s">
        <v>141</v>
      </c>
    </row>
    <row r="1859" spans="1:10" x14ac:dyDescent="0.35">
      <c r="A1859" t="s">
        <v>2039</v>
      </c>
      <c r="B1859" s="10">
        <v>45990</v>
      </c>
      <c r="C1859" t="s">
        <v>121</v>
      </c>
      <c r="D1859" t="s">
        <v>34</v>
      </c>
      <c r="E1859" t="s">
        <v>122</v>
      </c>
      <c r="F1859" t="s">
        <v>14</v>
      </c>
      <c r="G1859">
        <v>413.26</v>
      </c>
      <c r="H1859" t="s">
        <v>15</v>
      </c>
      <c r="I1859" t="s">
        <v>22</v>
      </c>
      <c r="J1859" t="s">
        <v>123</v>
      </c>
    </row>
    <row r="1860" spans="1:10" x14ac:dyDescent="0.35">
      <c r="A1860" t="s">
        <v>2040</v>
      </c>
      <c r="B1860" s="10">
        <v>45990</v>
      </c>
      <c r="C1860" t="s">
        <v>298</v>
      </c>
      <c r="D1860" t="s">
        <v>59</v>
      </c>
      <c r="E1860" t="s">
        <v>185</v>
      </c>
      <c r="F1860" t="s">
        <v>14</v>
      </c>
      <c r="G1860">
        <v>417.65</v>
      </c>
      <c r="H1860" t="s">
        <v>15</v>
      </c>
      <c r="I1860" t="s">
        <v>47</v>
      </c>
      <c r="J1860" t="s">
        <v>170</v>
      </c>
    </row>
    <row r="1861" spans="1:10" x14ac:dyDescent="0.35">
      <c r="A1861" t="s">
        <v>2041</v>
      </c>
      <c r="B1861" s="10">
        <v>45990</v>
      </c>
      <c r="C1861" t="s">
        <v>94</v>
      </c>
      <c r="D1861" t="s">
        <v>29</v>
      </c>
      <c r="E1861" t="s">
        <v>95</v>
      </c>
      <c r="F1861" t="s">
        <v>14</v>
      </c>
      <c r="G1861">
        <v>92.37</v>
      </c>
      <c r="H1861" t="s">
        <v>15</v>
      </c>
      <c r="I1861" t="s">
        <v>47</v>
      </c>
      <c r="J1861" t="s">
        <v>96</v>
      </c>
    </row>
    <row r="1862" spans="1:10" x14ac:dyDescent="0.35">
      <c r="A1862" t="s">
        <v>2042</v>
      </c>
      <c r="B1862" s="10">
        <v>45990</v>
      </c>
      <c r="C1862" t="s">
        <v>125</v>
      </c>
      <c r="D1862" t="s">
        <v>12</v>
      </c>
      <c r="E1862" t="s">
        <v>13</v>
      </c>
      <c r="F1862" t="s">
        <v>14</v>
      </c>
      <c r="G1862">
        <v>19.399999999999999</v>
      </c>
      <c r="H1862" t="s">
        <v>21</v>
      </c>
      <c r="I1862" t="s">
        <v>84</v>
      </c>
      <c r="J1862" t="s">
        <v>44</v>
      </c>
    </row>
    <row r="1863" spans="1:10" x14ac:dyDescent="0.35">
      <c r="A1863" t="s">
        <v>2043</v>
      </c>
      <c r="B1863" s="10">
        <v>45990</v>
      </c>
      <c r="C1863" t="s">
        <v>345</v>
      </c>
      <c r="D1863" t="s">
        <v>59</v>
      </c>
      <c r="E1863" t="s">
        <v>60</v>
      </c>
      <c r="F1863" t="s">
        <v>14</v>
      </c>
      <c r="G1863">
        <v>368.83</v>
      </c>
      <c r="H1863" t="s">
        <v>98</v>
      </c>
      <c r="I1863" t="s">
        <v>16</v>
      </c>
      <c r="J1863" t="s">
        <v>211</v>
      </c>
    </row>
    <row r="1864" spans="1:10" x14ac:dyDescent="0.35">
      <c r="A1864" t="s">
        <v>2044</v>
      </c>
      <c r="B1864" s="10">
        <v>45991</v>
      </c>
      <c r="C1864" t="s">
        <v>350</v>
      </c>
      <c r="D1864" t="s">
        <v>29</v>
      </c>
      <c r="E1864" t="s">
        <v>151</v>
      </c>
      <c r="F1864" t="s">
        <v>14</v>
      </c>
      <c r="G1864">
        <v>48.07</v>
      </c>
      <c r="H1864" t="s">
        <v>15</v>
      </c>
      <c r="I1864" t="s">
        <v>22</v>
      </c>
      <c r="J1864" t="s">
        <v>158</v>
      </c>
    </row>
    <row r="1865" spans="1:10" x14ac:dyDescent="0.35">
      <c r="A1865" t="s">
        <v>2045</v>
      </c>
      <c r="B1865" s="10">
        <v>45991</v>
      </c>
      <c r="C1865" t="s">
        <v>415</v>
      </c>
      <c r="D1865" t="s">
        <v>12</v>
      </c>
      <c r="E1865" t="s">
        <v>51</v>
      </c>
      <c r="F1865" t="s">
        <v>14</v>
      </c>
      <c r="G1865">
        <v>86.23</v>
      </c>
      <c r="H1865" t="s">
        <v>15</v>
      </c>
      <c r="I1865" t="s">
        <v>22</v>
      </c>
      <c r="J1865" t="s">
        <v>77</v>
      </c>
    </row>
    <row r="1866" spans="1:10" x14ac:dyDescent="0.35">
      <c r="A1866" t="s">
        <v>2046</v>
      </c>
      <c r="B1866" s="10">
        <v>45991</v>
      </c>
      <c r="C1866" t="s">
        <v>160</v>
      </c>
      <c r="D1866" t="s">
        <v>80</v>
      </c>
      <c r="E1866" t="s">
        <v>117</v>
      </c>
      <c r="F1866" t="s">
        <v>14</v>
      </c>
      <c r="G1866">
        <v>64.52</v>
      </c>
      <c r="H1866" t="s">
        <v>21</v>
      </c>
      <c r="I1866" t="s">
        <v>36</v>
      </c>
      <c r="J1866" t="s">
        <v>161</v>
      </c>
    </row>
    <row r="1867" spans="1:10" x14ac:dyDescent="0.35">
      <c r="A1867" t="s">
        <v>2047</v>
      </c>
      <c r="B1867" s="10">
        <v>45991</v>
      </c>
      <c r="C1867" t="s">
        <v>220</v>
      </c>
      <c r="D1867" t="s">
        <v>59</v>
      </c>
      <c r="E1867" t="s">
        <v>199</v>
      </c>
      <c r="F1867" t="s">
        <v>14</v>
      </c>
      <c r="G1867">
        <v>222.73</v>
      </c>
      <c r="H1867" t="s">
        <v>21</v>
      </c>
      <c r="I1867" t="s">
        <v>22</v>
      </c>
      <c r="J1867" t="s">
        <v>211</v>
      </c>
    </row>
    <row r="1868" spans="1:10" x14ac:dyDescent="0.35">
      <c r="A1868" t="s">
        <v>2048</v>
      </c>
      <c r="B1868" s="10">
        <v>45991</v>
      </c>
      <c r="C1868" t="s">
        <v>125</v>
      </c>
      <c r="D1868" t="s">
        <v>12</v>
      </c>
      <c r="E1868" t="s">
        <v>13</v>
      </c>
      <c r="F1868" t="s">
        <v>14</v>
      </c>
      <c r="G1868">
        <v>70.69</v>
      </c>
      <c r="H1868" t="s">
        <v>21</v>
      </c>
      <c r="I1868" t="s">
        <v>84</v>
      </c>
      <c r="J1868" t="s">
        <v>44</v>
      </c>
    </row>
    <row r="1869" spans="1:10" x14ac:dyDescent="0.35">
      <c r="A1869" t="s">
        <v>2049</v>
      </c>
      <c r="B1869" s="10">
        <v>45991</v>
      </c>
      <c r="C1869" t="s">
        <v>11</v>
      </c>
      <c r="D1869" t="s">
        <v>12</v>
      </c>
      <c r="E1869" t="s">
        <v>13</v>
      </c>
      <c r="F1869" t="s">
        <v>14</v>
      </c>
      <c r="G1869">
        <v>75.989999999999995</v>
      </c>
      <c r="H1869" t="s">
        <v>21</v>
      </c>
      <c r="I1869" t="s">
        <v>47</v>
      </c>
      <c r="J1869" t="s">
        <v>17</v>
      </c>
    </row>
    <row r="1870" spans="1:10" x14ac:dyDescent="0.35">
      <c r="A1870" t="s">
        <v>2050</v>
      </c>
      <c r="B1870" s="10">
        <v>45991</v>
      </c>
      <c r="C1870" t="s">
        <v>143</v>
      </c>
      <c r="D1870" t="s">
        <v>54</v>
      </c>
      <c r="E1870" t="s">
        <v>55</v>
      </c>
      <c r="F1870" t="s">
        <v>54</v>
      </c>
      <c r="G1870">
        <v>598.45000000000005</v>
      </c>
      <c r="H1870" t="s">
        <v>98</v>
      </c>
      <c r="I1870" t="s">
        <v>22</v>
      </c>
      <c r="J1870" t="s">
        <v>89</v>
      </c>
    </row>
    <row r="1871" spans="1:10" x14ac:dyDescent="0.35">
      <c r="A1871" t="s">
        <v>2051</v>
      </c>
      <c r="B1871" s="10">
        <v>45991</v>
      </c>
      <c r="C1871" t="s">
        <v>198</v>
      </c>
      <c r="D1871" t="s">
        <v>59</v>
      </c>
      <c r="E1871" t="s">
        <v>199</v>
      </c>
      <c r="F1871" t="s">
        <v>14</v>
      </c>
      <c r="G1871">
        <v>342.2</v>
      </c>
      <c r="H1871" t="s">
        <v>15</v>
      </c>
      <c r="I1871" t="s">
        <v>22</v>
      </c>
      <c r="J1871" t="s">
        <v>61</v>
      </c>
    </row>
    <row r="1872" spans="1:10" x14ac:dyDescent="0.35">
      <c r="A1872" t="s">
        <v>2052</v>
      </c>
      <c r="B1872" s="10">
        <v>45991</v>
      </c>
      <c r="C1872" t="s">
        <v>143</v>
      </c>
      <c r="D1872" t="s">
        <v>54</v>
      </c>
      <c r="E1872" t="s">
        <v>55</v>
      </c>
      <c r="F1872" t="s">
        <v>54</v>
      </c>
      <c r="G1872">
        <v>663.94</v>
      </c>
      <c r="H1872" t="s">
        <v>15</v>
      </c>
      <c r="I1872" t="s">
        <v>22</v>
      </c>
      <c r="J1872" t="s">
        <v>89</v>
      </c>
    </row>
    <row r="1873" spans="1:10" x14ac:dyDescent="0.35">
      <c r="A1873" t="s">
        <v>2053</v>
      </c>
      <c r="B1873" s="10">
        <v>45991</v>
      </c>
      <c r="C1873" t="s">
        <v>25</v>
      </c>
      <c r="D1873" t="s">
        <v>12</v>
      </c>
      <c r="E1873" t="s">
        <v>26</v>
      </c>
      <c r="F1873" t="s">
        <v>14</v>
      </c>
      <c r="G1873">
        <v>55.82</v>
      </c>
      <c r="H1873" t="s">
        <v>15</v>
      </c>
      <c r="I1873" t="s">
        <v>84</v>
      </c>
      <c r="J1873" t="s">
        <v>17</v>
      </c>
    </row>
    <row r="1874" spans="1:10" x14ac:dyDescent="0.35">
      <c r="A1874" t="s">
        <v>2054</v>
      </c>
      <c r="B1874" s="10">
        <v>45992</v>
      </c>
      <c r="C1874" t="s">
        <v>53</v>
      </c>
      <c r="D1874" t="s">
        <v>54</v>
      </c>
      <c r="E1874" t="s">
        <v>55</v>
      </c>
      <c r="F1874" t="s">
        <v>54</v>
      </c>
      <c r="G1874">
        <v>902.04</v>
      </c>
      <c r="H1874" t="s">
        <v>98</v>
      </c>
      <c r="I1874" t="s">
        <v>36</v>
      </c>
      <c r="J1874" t="s">
        <v>56</v>
      </c>
    </row>
    <row r="1875" spans="1:10" x14ac:dyDescent="0.35">
      <c r="A1875" t="s">
        <v>2055</v>
      </c>
      <c r="B1875" s="10">
        <v>45992</v>
      </c>
      <c r="C1875" t="s">
        <v>272</v>
      </c>
      <c r="D1875" t="s">
        <v>54</v>
      </c>
      <c r="E1875" t="s">
        <v>55</v>
      </c>
      <c r="F1875" t="s">
        <v>54</v>
      </c>
      <c r="G1875">
        <v>792.96</v>
      </c>
      <c r="H1875" t="s">
        <v>15</v>
      </c>
      <c r="I1875" t="s">
        <v>22</v>
      </c>
      <c r="J1875" t="s">
        <v>65</v>
      </c>
    </row>
    <row r="1876" spans="1:10" x14ac:dyDescent="0.35">
      <c r="A1876" t="s">
        <v>2056</v>
      </c>
      <c r="B1876" s="10">
        <v>45992</v>
      </c>
      <c r="C1876" t="s">
        <v>256</v>
      </c>
      <c r="D1876" t="s">
        <v>34</v>
      </c>
      <c r="E1876" t="s">
        <v>40</v>
      </c>
      <c r="F1876" t="s">
        <v>14</v>
      </c>
      <c r="G1876">
        <v>95.54</v>
      </c>
      <c r="H1876" t="s">
        <v>15</v>
      </c>
      <c r="I1876" t="s">
        <v>36</v>
      </c>
      <c r="J1876" t="s">
        <v>239</v>
      </c>
    </row>
    <row r="1877" spans="1:10" x14ac:dyDescent="0.35">
      <c r="A1877" t="s">
        <v>2057</v>
      </c>
      <c r="B1877" s="10">
        <v>45992</v>
      </c>
      <c r="C1877" t="s">
        <v>157</v>
      </c>
      <c r="D1877" t="s">
        <v>29</v>
      </c>
      <c r="E1877" t="s">
        <v>95</v>
      </c>
      <c r="F1877" t="s">
        <v>14</v>
      </c>
      <c r="G1877">
        <v>36.4</v>
      </c>
      <c r="H1877" t="s">
        <v>21</v>
      </c>
      <c r="I1877" t="s">
        <v>47</v>
      </c>
      <c r="J1877" t="s">
        <v>158</v>
      </c>
    </row>
    <row r="1878" spans="1:10" x14ac:dyDescent="0.35">
      <c r="A1878" t="s">
        <v>2058</v>
      </c>
      <c r="B1878" s="10">
        <v>45992</v>
      </c>
      <c r="C1878" t="s">
        <v>155</v>
      </c>
      <c r="D1878" t="s">
        <v>12</v>
      </c>
      <c r="E1878" t="s">
        <v>51</v>
      </c>
      <c r="F1878" t="s">
        <v>14</v>
      </c>
      <c r="G1878">
        <v>16.190000000000001</v>
      </c>
      <c r="H1878" t="s">
        <v>15</v>
      </c>
      <c r="I1878" t="s">
        <v>22</v>
      </c>
      <c r="J1878" t="s">
        <v>48</v>
      </c>
    </row>
    <row r="1879" spans="1:10" x14ac:dyDescent="0.35">
      <c r="A1879" t="s">
        <v>2059</v>
      </c>
      <c r="B1879" s="10">
        <v>45992</v>
      </c>
      <c r="C1879" t="s">
        <v>267</v>
      </c>
      <c r="D1879" t="s">
        <v>29</v>
      </c>
      <c r="E1879" t="s">
        <v>30</v>
      </c>
      <c r="F1879" t="s">
        <v>14</v>
      </c>
      <c r="G1879">
        <v>31.21</v>
      </c>
      <c r="H1879" t="s">
        <v>15</v>
      </c>
      <c r="I1879" t="s">
        <v>22</v>
      </c>
      <c r="J1879" t="s">
        <v>96</v>
      </c>
    </row>
    <row r="1880" spans="1:10" x14ac:dyDescent="0.35">
      <c r="A1880" t="s">
        <v>2060</v>
      </c>
      <c r="B1880" s="10">
        <v>45992</v>
      </c>
      <c r="C1880" t="s">
        <v>53</v>
      </c>
      <c r="D1880" t="s">
        <v>54</v>
      </c>
      <c r="E1880" t="s">
        <v>55</v>
      </c>
      <c r="F1880" t="s">
        <v>54</v>
      </c>
      <c r="G1880">
        <v>758.85</v>
      </c>
      <c r="H1880" t="s">
        <v>15</v>
      </c>
      <c r="I1880" t="s">
        <v>36</v>
      </c>
      <c r="J1880" t="s">
        <v>56</v>
      </c>
    </row>
    <row r="1881" spans="1:10" x14ac:dyDescent="0.35">
      <c r="A1881" t="s">
        <v>2061</v>
      </c>
      <c r="B1881" s="10">
        <v>45993</v>
      </c>
      <c r="C1881" t="s">
        <v>259</v>
      </c>
      <c r="D1881" t="s">
        <v>59</v>
      </c>
      <c r="E1881" t="s">
        <v>199</v>
      </c>
      <c r="F1881" t="s">
        <v>14</v>
      </c>
      <c r="G1881">
        <v>143.99</v>
      </c>
      <c r="H1881" t="s">
        <v>15</v>
      </c>
      <c r="I1881" t="s">
        <v>47</v>
      </c>
      <c r="J1881" t="s">
        <v>170</v>
      </c>
    </row>
    <row r="1882" spans="1:10" x14ac:dyDescent="0.35">
      <c r="A1882" t="s">
        <v>2062</v>
      </c>
      <c r="B1882" s="10">
        <v>45993</v>
      </c>
      <c r="C1882" t="s">
        <v>177</v>
      </c>
      <c r="D1882" t="s">
        <v>54</v>
      </c>
      <c r="E1882" t="s">
        <v>74</v>
      </c>
      <c r="F1882" t="s">
        <v>54</v>
      </c>
      <c r="G1882">
        <v>2498.7199999999998</v>
      </c>
      <c r="H1882" t="s">
        <v>15</v>
      </c>
      <c r="I1882" t="s">
        <v>47</v>
      </c>
      <c r="J1882" t="s">
        <v>56</v>
      </c>
    </row>
    <row r="1883" spans="1:10" x14ac:dyDescent="0.35">
      <c r="A1883" t="s">
        <v>2063</v>
      </c>
      <c r="B1883" s="10">
        <v>45993</v>
      </c>
      <c r="C1883" t="s">
        <v>1491</v>
      </c>
      <c r="D1883" t="s">
        <v>69</v>
      </c>
      <c r="E1883" t="s">
        <v>233</v>
      </c>
      <c r="F1883" t="s">
        <v>14</v>
      </c>
      <c r="G1883">
        <v>211.31</v>
      </c>
      <c r="H1883" t="s">
        <v>15</v>
      </c>
      <c r="I1883" t="s">
        <v>16</v>
      </c>
      <c r="J1883" t="s">
        <v>396</v>
      </c>
    </row>
    <row r="1884" spans="1:10" x14ac:dyDescent="0.35">
      <c r="A1884" t="s">
        <v>2064</v>
      </c>
      <c r="B1884" s="10">
        <v>45993</v>
      </c>
      <c r="C1884" t="s">
        <v>25</v>
      </c>
      <c r="D1884" t="s">
        <v>12</v>
      </c>
      <c r="E1884" t="s">
        <v>26</v>
      </c>
      <c r="F1884" t="s">
        <v>14</v>
      </c>
      <c r="G1884">
        <v>86.91</v>
      </c>
      <c r="H1884" t="s">
        <v>15</v>
      </c>
      <c r="I1884" t="s">
        <v>36</v>
      </c>
      <c r="J1884" t="s">
        <v>17</v>
      </c>
    </row>
    <row r="1885" spans="1:10" x14ac:dyDescent="0.35">
      <c r="A1885" t="s">
        <v>2065</v>
      </c>
      <c r="B1885" s="10">
        <v>45994</v>
      </c>
      <c r="C1885" t="s">
        <v>135</v>
      </c>
      <c r="D1885" t="s">
        <v>101</v>
      </c>
      <c r="E1885" t="s">
        <v>102</v>
      </c>
      <c r="F1885" t="s">
        <v>14</v>
      </c>
      <c r="G1885">
        <v>70.66</v>
      </c>
      <c r="H1885" t="s">
        <v>15</v>
      </c>
      <c r="I1885" t="s">
        <v>47</v>
      </c>
      <c r="J1885" t="s">
        <v>136</v>
      </c>
    </row>
    <row r="1886" spans="1:10" x14ac:dyDescent="0.35">
      <c r="A1886" t="s">
        <v>2066</v>
      </c>
      <c r="B1886" s="10">
        <v>45994</v>
      </c>
      <c r="C1886" t="s">
        <v>73</v>
      </c>
      <c r="D1886" t="s">
        <v>54</v>
      </c>
      <c r="E1886" t="s">
        <v>74</v>
      </c>
      <c r="F1886" t="s">
        <v>54</v>
      </c>
      <c r="G1886">
        <v>2499.83</v>
      </c>
      <c r="H1886" t="s">
        <v>15</v>
      </c>
      <c r="I1886" t="s">
        <v>47</v>
      </c>
      <c r="J1886" t="s">
        <v>65</v>
      </c>
    </row>
    <row r="1887" spans="1:10" x14ac:dyDescent="0.35">
      <c r="A1887" t="s">
        <v>2067</v>
      </c>
      <c r="B1887" s="10">
        <v>45994</v>
      </c>
      <c r="C1887" t="s">
        <v>227</v>
      </c>
      <c r="D1887" t="s">
        <v>12</v>
      </c>
      <c r="E1887" t="s">
        <v>51</v>
      </c>
      <c r="F1887" t="s">
        <v>14</v>
      </c>
      <c r="G1887">
        <v>38.01</v>
      </c>
      <c r="H1887" t="s">
        <v>15</v>
      </c>
      <c r="I1887" t="s">
        <v>22</v>
      </c>
      <c r="J1887" t="s">
        <v>17</v>
      </c>
    </row>
    <row r="1888" spans="1:10" x14ac:dyDescent="0.35">
      <c r="A1888" t="s">
        <v>2068</v>
      </c>
      <c r="B1888" s="10">
        <v>45996</v>
      </c>
      <c r="C1888" t="s">
        <v>132</v>
      </c>
      <c r="D1888" t="s">
        <v>69</v>
      </c>
      <c r="E1888" t="s">
        <v>70</v>
      </c>
      <c r="F1888" t="s">
        <v>14</v>
      </c>
      <c r="G1888">
        <v>979.93</v>
      </c>
      <c r="H1888" t="s">
        <v>15</v>
      </c>
      <c r="I1888" t="s">
        <v>36</v>
      </c>
      <c r="J1888" t="s">
        <v>133</v>
      </c>
    </row>
    <row r="1889" spans="1:10" x14ac:dyDescent="0.35">
      <c r="A1889" t="s">
        <v>2069</v>
      </c>
      <c r="B1889" s="10">
        <v>45996</v>
      </c>
      <c r="C1889" t="s">
        <v>39</v>
      </c>
      <c r="D1889" t="s">
        <v>34</v>
      </c>
      <c r="E1889" t="s">
        <v>40</v>
      </c>
      <c r="F1889" t="s">
        <v>14</v>
      </c>
      <c r="G1889">
        <v>159.06</v>
      </c>
      <c r="H1889" t="s">
        <v>15</v>
      </c>
      <c r="I1889" t="s">
        <v>36</v>
      </c>
      <c r="J1889" t="s">
        <v>41</v>
      </c>
    </row>
    <row r="1890" spans="1:10" x14ac:dyDescent="0.35">
      <c r="A1890" t="s">
        <v>2070</v>
      </c>
      <c r="B1890" s="10">
        <v>45996</v>
      </c>
      <c r="C1890" t="s">
        <v>177</v>
      </c>
      <c r="D1890" t="s">
        <v>54</v>
      </c>
      <c r="E1890" t="s">
        <v>74</v>
      </c>
      <c r="F1890" t="s">
        <v>54</v>
      </c>
      <c r="G1890">
        <v>2893.05</v>
      </c>
      <c r="H1890" t="s">
        <v>98</v>
      </c>
      <c r="I1890" t="s">
        <v>84</v>
      </c>
      <c r="J1890" t="s">
        <v>56</v>
      </c>
    </row>
    <row r="1891" spans="1:10" x14ac:dyDescent="0.35">
      <c r="A1891" t="s">
        <v>2071</v>
      </c>
      <c r="B1891" s="10">
        <v>45996</v>
      </c>
      <c r="C1891" t="s">
        <v>331</v>
      </c>
      <c r="D1891" t="s">
        <v>29</v>
      </c>
      <c r="E1891" t="s">
        <v>95</v>
      </c>
      <c r="F1891" t="s">
        <v>14</v>
      </c>
      <c r="G1891">
        <v>19.28</v>
      </c>
      <c r="H1891" t="s">
        <v>15</v>
      </c>
      <c r="I1891" t="s">
        <v>22</v>
      </c>
      <c r="J1891" t="s">
        <v>151</v>
      </c>
    </row>
    <row r="1892" spans="1:10" x14ac:dyDescent="0.35">
      <c r="A1892" t="s">
        <v>2072</v>
      </c>
      <c r="B1892" s="10">
        <v>45996</v>
      </c>
      <c r="C1892" t="s">
        <v>79</v>
      </c>
      <c r="D1892" t="s">
        <v>80</v>
      </c>
      <c r="E1892" t="s">
        <v>81</v>
      </c>
      <c r="F1892" t="s">
        <v>14</v>
      </c>
      <c r="G1892">
        <v>94.83</v>
      </c>
      <c r="H1892" t="s">
        <v>21</v>
      </c>
      <c r="I1892" t="s">
        <v>22</v>
      </c>
      <c r="J1892" t="s">
        <v>82</v>
      </c>
    </row>
    <row r="1893" spans="1:10" x14ac:dyDescent="0.35">
      <c r="A1893" t="s">
        <v>2073</v>
      </c>
      <c r="B1893" s="10">
        <v>45996</v>
      </c>
      <c r="C1893" t="s">
        <v>73</v>
      </c>
      <c r="D1893" t="s">
        <v>54</v>
      </c>
      <c r="E1893" t="s">
        <v>74</v>
      </c>
      <c r="F1893" t="s">
        <v>54</v>
      </c>
      <c r="G1893">
        <v>2476.52</v>
      </c>
      <c r="H1893" t="s">
        <v>21</v>
      </c>
      <c r="I1893" t="s">
        <v>22</v>
      </c>
      <c r="J1893" t="s">
        <v>65</v>
      </c>
    </row>
    <row r="1894" spans="1:10" x14ac:dyDescent="0.35">
      <c r="A1894" t="s">
        <v>2074</v>
      </c>
      <c r="B1894" s="10">
        <v>45996</v>
      </c>
      <c r="C1894" t="s">
        <v>267</v>
      </c>
      <c r="D1894" t="s">
        <v>29</v>
      </c>
      <c r="E1894" t="s">
        <v>30</v>
      </c>
      <c r="F1894" t="s">
        <v>14</v>
      </c>
      <c r="G1894">
        <v>26.48</v>
      </c>
      <c r="H1894" t="s">
        <v>15</v>
      </c>
      <c r="I1894" t="s">
        <v>22</v>
      </c>
      <c r="J1894" t="s">
        <v>96</v>
      </c>
    </row>
    <row r="1895" spans="1:10" x14ac:dyDescent="0.35">
      <c r="A1895" t="s">
        <v>2075</v>
      </c>
      <c r="B1895" s="10">
        <v>45997</v>
      </c>
      <c r="C1895" t="s">
        <v>281</v>
      </c>
      <c r="D1895" t="s">
        <v>34</v>
      </c>
      <c r="E1895" t="s">
        <v>40</v>
      </c>
      <c r="F1895" t="s">
        <v>14</v>
      </c>
      <c r="G1895">
        <v>110</v>
      </c>
      <c r="H1895" t="s">
        <v>15</v>
      </c>
      <c r="I1895" t="s">
        <v>22</v>
      </c>
      <c r="J1895" t="s">
        <v>123</v>
      </c>
    </row>
    <row r="1896" spans="1:10" x14ac:dyDescent="0.35">
      <c r="A1896" t="s">
        <v>2076</v>
      </c>
      <c r="B1896" s="10">
        <v>45997</v>
      </c>
      <c r="C1896" t="s">
        <v>140</v>
      </c>
      <c r="D1896" t="s">
        <v>80</v>
      </c>
      <c r="E1896" t="s">
        <v>81</v>
      </c>
      <c r="F1896" t="s">
        <v>14</v>
      </c>
      <c r="G1896">
        <v>49.71</v>
      </c>
      <c r="H1896" t="s">
        <v>15</v>
      </c>
      <c r="I1896" t="s">
        <v>47</v>
      </c>
      <c r="J1896" t="s">
        <v>141</v>
      </c>
    </row>
    <row r="1897" spans="1:10" x14ac:dyDescent="0.35">
      <c r="A1897" t="s">
        <v>2077</v>
      </c>
      <c r="B1897" s="10">
        <v>45997</v>
      </c>
      <c r="C1897" t="s">
        <v>163</v>
      </c>
      <c r="D1897" t="s">
        <v>80</v>
      </c>
      <c r="E1897" t="s">
        <v>92</v>
      </c>
      <c r="F1897" t="s">
        <v>14</v>
      </c>
      <c r="G1897">
        <v>10.23</v>
      </c>
      <c r="H1897" t="s">
        <v>15</v>
      </c>
      <c r="I1897" t="s">
        <v>22</v>
      </c>
      <c r="J1897" t="s">
        <v>118</v>
      </c>
    </row>
    <row r="1898" spans="1:10" x14ac:dyDescent="0.35">
      <c r="A1898" t="s">
        <v>2078</v>
      </c>
      <c r="B1898" s="10">
        <v>45997</v>
      </c>
      <c r="C1898" t="s">
        <v>132</v>
      </c>
      <c r="D1898" t="s">
        <v>69</v>
      </c>
      <c r="E1898" t="s">
        <v>70</v>
      </c>
      <c r="F1898" t="s">
        <v>14</v>
      </c>
      <c r="G1898">
        <v>397.11</v>
      </c>
      <c r="H1898" t="s">
        <v>15</v>
      </c>
      <c r="I1898" t="s">
        <v>16</v>
      </c>
      <c r="J1898" t="s">
        <v>133</v>
      </c>
    </row>
    <row r="1899" spans="1:10" x14ac:dyDescent="0.35">
      <c r="A1899" t="s">
        <v>2079</v>
      </c>
      <c r="B1899" s="10">
        <v>45997</v>
      </c>
      <c r="C1899" t="s">
        <v>125</v>
      </c>
      <c r="D1899" t="s">
        <v>12</v>
      </c>
      <c r="E1899" t="s">
        <v>13</v>
      </c>
      <c r="F1899" t="s">
        <v>14</v>
      </c>
      <c r="G1899">
        <v>73.150000000000006</v>
      </c>
      <c r="H1899" t="s">
        <v>15</v>
      </c>
      <c r="I1899" t="s">
        <v>22</v>
      </c>
      <c r="J1899" t="s">
        <v>44</v>
      </c>
    </row>
    <row r="1900" spans="1:10" x14ac:dyDescent="0.35">
      <c r="A1900" t="s">
        <v>2080</v>
      </c>
      <c r="B1900" s="10">
        <v>45998</v>
      </c>
      <c r="C1900" t="s">
        <v>50</v>
      </c>
      <c r="D1900" t="s">
        <v>12</v>
      </c>
      <c r="E1900" t="s">
        <v>51</v>
      </c>
      <c r="F1900" t="s">
        <v>14</v>
      </c>
      <c r="G1900">
        <v>77.48</v>
      </c>
      <c r="H1900" t="s">
        <v>21</v>
      </c>
      <c r="I1900" t="s">
        <v>22</v>
      </c>
      <c r="J1900" t="s">
        <v>44</v>
      </c>
    </row>
    <row r="1901" spans="1:10" x14ac:dyDescent="0.35">
      <c r="A1901" t="s">
        <v>2081</v>
      </c>
      <c r="B1901" s="10">
        <v>45998</v>
      </c>
      <c r="C1901" t="s">
        <v>411</v>
      </c>
      <c r="D1901" t="s">
        <v>29</v>
      </c>
      <c r="E1901" t="s">
        <v>151</v>
      </c>
      <c r="F1901" t="s">
        <v>14</v>
      </c>
      <c r="G1901">
        <v>23.37</v>
      </c>
      <c r="H1901" t="s">
        <v>15</v>
      </c>
      <c r="I1901" t="s">
        <v>22</v>
      </c>
      <c r="J1901" t="s">
        <v>151</v>
      </c>
    </row>
    <row r="1902" spans="1:10" x14ac:dyDescent="0.35">
      <c r="A1902" t="s">
        <v>2082</v>
      </c>
      <c r="B1902" s="10">
        <v>45999</v>
      </c>
      <c r="C1902" t="s">
        <v>350</v>
      </c>
      <c r="D1902" t="s">
        <v>29</v>
      </c>
      <c r="E1902" t="s">
        <v>151</v>
      </c>
      <c r="F1902" t="s">
        <v>14</v>
      </c>
      <c r="G1902">
        <v>56.05</v>
      </c>
      <c r="H1902" t="s">
        <v>15</v>
      </c>
      <c r="I1902" t="s">
        <v>22</v>
      </c>
      <c r="J1902" t="s">
        <v>158</v>
      </c>
    </row>
    <row r="1903" spans="1:10" x14ac:dyDescent="0.35">
      <c r="A1903" t="s">
        <v>2083</v>
      </c>
      <c r="B1903" s="10">
        <v>45999</v>
      </c>
      <c r="C1903" t="s">
        <v>272</v>
      </c>
      <c r="D1903" t="s">
        <v>54</v>
      </c>
      <c r="E1903" t="s">
        <v>55</v>
      </c>
      <c r="F1903" t="s">
        <v>54</v>
      </c>
      <c r="G1903">
        <v>813.22</v>
      </c>
      <c r="H1903" t="s">
        <v>21</v>
      </c>
      <c r="I1903" t="s">
        <v>36</v>
      </c>
      <c r="J1903" t="s">
        <v>65</v>
      </c>
    </row>
    <row r="1904" spans="1:10" x14ac:dyDescent="0.35">
      <c r="A1904" t="s">
        <v>2084</v>
      </c>
      <c r="B1904" s="10">
        <v>45999</v>
      </c>
      <c r="C1904" t="s">
        <v>73</v>
      </c>
      <c r="D1904" t="s">
        <v>54</v>
      </c>
      <c r="E1904" t="s">
        <v>74</v>
      </c>
      <c r="F1904" t="s">
        <v>54</v>
      </c>
      <c r="G1904">
        <v>2178.4699999999998</v>
      </c>
      <c r="H1904" t="s">
        <v>15</v>
      </c>
      <c r="I1904" t="s">
        <v>47</v>
      </c>
      <c r="J1904" t="s">
        <v>65</v>
      </c>
    </row>
    <row r="1905" spans="1:10" x14ac:dyDescent="0.35">
      <c r="A1905" t="s">
        <v>2085</v>
      </c>
      <c r="B1905" s="10">
        <v>46000</v>
      </c>
      <c r="C1905" t="s">
        <v>347</v>
      </c>
      <c r="D1905" t="s">
        <v>29</v>
      </c>
      <c r="E1905" t="s">
        <v>151</v>
      </c>
      <c r="F1905" t="s">
        <v>14</v>
      </c>
      <c r="G1905">
        <v>17.920000000000002</v>
      </c>
      <c r="H1905" t="s">
        <v>21</v>
      </c>
      <c r="I1905" t="s">
        <v>84</v>
      </c>
      <c r="J1905" t="s">
        <v>96</v>
      </c>
    </row>
    <row r="1906" spans="1:10" x14ac:dyDescent="0.35">
      <c r="A1906" t="s">
        <v>2086</v>
      </c>
      <c r="B1906" s="10">
        <v>46000</v>
      </c>
      <c r="C1906" t="s">
        <v>157</v>
      </c>
      <c r="D1906" t="s">
        <v>29</v>
      </c>
      <c r="E1906" t="s">
        <v>95</v>
      </c>
      <c r="F1906" t="s">
        <v>14</v>
      </c>
      <c r="G1906">
        <v>40.24</v>
      </c>
      <c r="H1906" t="s">
        <v>15</v>
      </c>
      <c r="I1906" t="s">
        <v>22</v>
      </c>
      <c r="J1906" t="s">
        <v>158</v>
      </c>
    </row>
    <row r="1907" spans="1:10" x14ac:dyDescent="0.35">
      <c r="A1907" t="s">
        <v>2087</v>
      </c>
      <c r="B1907" s="10">
        <v>46000</v>
      </c>
      <c r="C1907" t="s">
        <v>53</v>
      </c>
      <c r="D1907" t="s">
        <v>54</v>
      </c>
      <c r="E1907" t="s">
        <v>55</v>
      </c>
      <c r="F1907" t="s">
        <v>54</v>
      </c>
      <c r="G1907">
        <v>668</v>
      </c>
      <c r="H1907" t="s">
        <v>98</v>
      </c>
      <c r="I1907" t="s">
        <v>22</v>
      </c>
      <c r="J1907" t="s">
        <v>56</v>
      </c>
    </row>
    <row r="1908" spans="1:10" x14ac:dyDescent="0.35">
      <c r="A1908" t="s">
        <v>2088</v>
      </c>
      <c r="B1908" s="10">
        <v>46000</v>
      </c>
      <c r="C1908" t="s">
        <v>177</v>
      </c>
      <c r="D1908" t="s">
        <v>54</v>
      </c>
      <c r="E1908" t="s">
        <v>74</v>
      </c>
      <c r="F1908" t="s">
        <v>54</v>
      </c>
      <c r="G1908">
        <v>2418.84</v>
      </c>
      <c r="H1908" t="s">
        <v>15</v>
      </c>
      <c r="I1908" t="s">
        <v>16</v>
      </c>
      <c r="J1908" t="s">
        <v>56</v>
      </c>
    </row>
    <row r="1909" spans="1:10" x14ac:dyDescent="0.35">
      <c r="A1909" t="s">
        <v>2089</v>
      </c>
      <c r="B1909" s="10">
        <v>46000</v>
      </c>
      <c r="C1909" t="s">
        <v>63</v>
      </c>
      <c r="D1909" t="s">
        <v>54</v>
      </c>
      <c r="E1909" t="s">
        <v>64</v>
      </c>
      <c r="F1909" t="s">
        <v>54</v>
      </c>
      <c r="G1909">
        <v>289.8</v>
      </c>
      <c r="H1909" t="s">
        <v>21</v>
      </c>
      <c r="I1909" t="s">
        <v>22</v>
      </c>
      <c r="J1909" t="s">
        <v>65</v>
      </c>
    </row>
    <row r="1910" spans="1:10" x14ac:dyDescent="0.35">
      <c r="A1910" t="s">
        <v>2090</v>
      </c>
      <c r="B1910" s="10">
        <v>46000</v>
      </c>
      <c r="C1910" t="s">
        <v>251</v>
      </c>
      <c r="D1910" t="s">
        <v>29</v>
      </c>
      <c r="E1910" t="s">
        <v>151</v>
      </c>
      <c r="F1910" t="s">
        <v>14</v>
      </c>
      <c r="G1910">
        <v>20.07</v>
      </c>
      <c r="H1910" t="s">
        <v>15</v>
      </c>
      <c r="I1910" t="s">
        <v>16</v>
      </c>
      <c r="J1910" t="s">
        <v>31</v>
      </c>
    </row>
    <row r="1911" spans="1:10" x14ac:dyDescent="0.35">
      <c r="A1911" t="s">
        <v>2091</v>
      </c>
      <c r="B1911" s="10">
        <v>46000</v>
      </c>
      <c r="C1911" t="s">
        <v>121</v>
      </c>
      <c r="D1911" t="s">
        <v>34</v>
      </c>
      <c r="E1911" t="s">
        <v>122</v>
      </c>
      <c r="F1911" t="s">
        <v>14</v>
      </c>
      <c r="G1911">
        <v>85.17</v>
      </c>
      <c r="H1911" t="s">
        <v>21</v>
      </c>
      <c r="I1911" t="s">
        <v>47</v>
      </c>
      <c r="J1911" t="s">
        <v>123</v>
      </c>
    </row>
    <row r="1912" spans="1:10" x14ac:dyDescent="0.35">
      <c r="A1912" t="s">
        <v>2092</v>
      </c>
      <c r="B1912" s="10">
        <v>46000</v>
      </c>
      <c r="C1912" t="s">
        <v>138</v>
      </c>
      <c r="D1912" t="s">
        <v>12</v>
      </c>
      <c r="E1912" t="s">
        <v>26</v>
      </c>
      <c r="F1912" t="s">
        <v>14</v>
      </c>
      <c r="G1912">
        <v>28.47</v>
      </c>
      <c r="H1912" t="s">
        <v>21</v>
      </c>
      <c r="I1912" t="s">
        <v>47</v>
      </c>
      <c r="J1912" t="s">
        <v>77</v>
      </c>
    </row>
    <row r="1913" spans="1:10" x14ac:dyDescent="0.35">
      <c r="A1913" t="s">
        <v>2093</v>
      </c>
      <c r="B1913" s="10">
        <v>46001</v>
      </c>
      <c r="C1913" t="s">
        <v>94</v>
      </c>
      <c r="D1913" t="s">
        <v>29</v>
      </c>
      <c r="E1913" t="s">
        <v>95</v>
      </c>
      <c r="F1913" t="s">
        <v>14</v>
      </c>
      <c r="G1913">
        <v>64.02</v>
      </c>
      <c r="H1913" t="s">
        <v>21</v>
      </c>
      <c r="I1913" t="s">
        <v>36</v>
      </c>
      <c r="J1913" t="s">
        <v>96</v>
      </c>
    </row>
    <row r="1914" spans="1:10" x14ac:dyDescent="0.35">
      <c r="A1914" t="s">
        <v>2094</v>
      </c>
      <c r="B1914" s="10">
        <v>46001</v>
      </c>
      <c r="C1914" t="s">
        <v>308</v>
      </c>
      <c r="D1914" t="s">
        <v>54</v>
      </c>
      <c r="E1914" t="s">
        <v>64</v>
      </c>
      <c r="F1914" t="s">
        <v>54</v>
      </c>
      <c r="G1914">
        <v>344.5</v>
      </c>
      <c r="H1914" t="s">
        <v>21</v>
      </c>
      <c r="I1914" t="s">
        <v>84</v>
      </c>
      <c r="J1914" t="s">
        <v>89</v>
      </c>
    </row>
    <row r="1915" spans="1:10" x14ac:dyDescent="0.35">
      <c r="A1915" t="s">
        <v>2095</v>
      </c>
      <c r="B1915" s="10">
        <v>46001</v>
      </c>
      <c r="C1915" t="s">
        <v>248</v>
      </c>
      <c r="D1915" t="s">
        <v>80</v>
      </c>
      <c r="E1915" t="s">
        <v>81</v>
      </c>
      <c r="F1915" t="s">
        <v>14</v>
      </c>
      <c r="G1915">
        <v>72.06</v>
      </c>
      <c r="H1915" t="s">
        <v>15</v>
      </c>
      <c r="I1915" t="s">
        <v>36</v>
      </c>
      <c r="J1915" t="s">
        <v>161</v>
      </c>
    </row>
    <row r="1916" spans="1:10" x14ac:dyDescent="0.35">
      <c r="A1916" t="s">
        <v>2096</v>
      </c>
      <c r="B1916" s="10">
        <v>46001</v>
      </c>
      <c r="C1916" t="s">
        <v>46</v>
      </c>
      <c r="D1916" t="s">
        <v>12</v>
      </c>
      <c r="E1916" t="s">
        <v>13</v>
      </c>
      <c r="F1916" t="s">
        <v>14</v>
      </c>
      <c r="G1916">
        <v>61.43</v>
      </c>
      <c r="H1916" t="s">
        <v>15</v>
      </c>
      <c r="I1916" t="s">
        <v>16</v>
      </c>
      <c r="J1916" t="s">
        <v>48</v>
      </c>
    </row>
    <row r="1917" spans="1:10" x14ac:dyDescent="0.35">
      <c r="A1917" t="s">
        <v>2097</v>
      </c>
      <c r="B1917" s="10">
        <v>46001</v>
      </c>
      <c r="C1917" t="s">
        <v>143</v>
      </c>
      <c r="D1917" t="s">
        <v>54</v>
      </c>
      <c r="E1917" t="s">
        <v>55</v>
      </c>
      <c r="F1917" t="s">
        <v>54</v>
      </c>
      <c r="G1917">
        <v>598.98</v>
      </c>
      <c r="H1917" t="s">
        <v>15</v>
      </c>
      <c r="I1917" t="s">
        <v>22</v>
      </c>
      <c r="J1917" t="s">
        <v>89</v>
      </c>
    </row>
    <row r="1918" spans="1:10" x14ac:dyDescent="0.35">
      <c r="A1918" t="s">
        <v>2098</v>
      </c>
      <c r="B1918" s="10">
        <v>46001</v>
      </c>
      <c r="C1918" t="s">
        <v>168</v>
      </c>
      <c r="D1918" t="s">
        <v>59</v>
      </c>
      <c r="E1918" t="s">
        <v>60</v>
      </c>
      <c r="F1918" t="s">
        <v>14</v>
      </c>
      <c r="G1918">
        <v>448.51</v>
      </c>
      <c r="H1918" t="s">
        <v>21</v>
      </c>
      <c r="I1918" t="s">
        <v>16</v>
      </c>
      <c r="J1918" t="s">
        <v>170</v>
      </c>
    </row>
    <row r="1919" spans="1:10" x14ac:dyDescent="0.35">
      <c r="A1919" t="s">
        <v>2099</v>
      </c>
      <c r="B1919" s="10">
        <v>46002</v>
      </c>
      <c r="C1919" t="s">
        <v>50</v>
      </c>
      <c r="D1919" t="s">
        <v>12</v>
      </c>
      <c r="E1919" t="s">
        <v>51</v>
      </c>
      <c r="F1919" t="s">
        <v>14</v>
      </c>
      <c r="G1919">
        <v>67.52</v>
      </c>
      <c r="H1919" t="s">
        <v>15</v>
      </c>
      <c r="I1919" t="s">
        <v>22</v>
      </c>
      <c r="J1919" t="s">
        <v>44</v>
      </c>
    </row>
    <row r="1920" spans="1:10" x14ac:dyDescent="0.35">
      <c r="A1920" t="s">
        <v>2100</v>
      </c>
      <c r="B1920" s="10">
        <v>46002</v>
      </c>
      <c r="C1920" t="s">
        <v>215</v>
      </c>
      <c r="D1920" t="s">
        <v>80</v>
      </c>
      <c r="E1920" t="s">
        <v>117</v>
      </c>
      <c r="F1920" t="s">
        <v>14</v>
      </c>
      <c r="G1920">
        <v>119.9</v>
      </c>
      <c r="H1920" t="s">
        <v>15</v>
      </c>
      <c r="I1920" t="s">
        <v>47</v>
      </c>
      <c r="J1920" t="s">
        <v>141</v>
      </c>
    </row>
    <row r="1921" spans="1:10" x14ac:dyDescent="0.35">
      <c r="A1921" t="s">
        <v>2101</v>
      </c>
      <c r="B1921" s="10">
        <v>46002</v>
      </c>
      <c r="C1921" t="s">
        <v>116</v>
      </c>
      <c r="D1921" t="s">
        <v>80</v>
      </c>
      <c r="E1921" t="s">
        <v>117</v>
      </c>
      <c r="F1921" t="s">
        <v>14</v>
      </c>
      <c r="G1921">
        <v>23.26</v>
      </c>
      <c r="H1921" t="s">
        <v>15</v>
      </c>
      <c r="I1921" t="s">
        <v>22</v>
      </c>
      <c r="J1921" t="s">
        <v>118</v>
      </c>
    </row>
    <row r="1922" spans="1:10" x14ac:dyDescent="0.35">
      <c r="A1922" t="s">
        <v>2102</v>
      </c>
      <c r="B1922" s="10">
        <v>46003</v>
      </c>
      <c r="C1922" t="s">
        <v>272</v>
      </c>
      <c r="D1922" t="s">
        <v>54</v>
      </c>
      <c r="E1922" t="s">
        <v>55</v>
      </c>
      <c r="F1922" t="s">
        <v>54</v>
      </c>
      <c r="G1922">
        <v>568.49</v>
      </c>
      <c r="H1922" t="s">
        <v>21</v>
      </c>
      <c r="I1922" t="s">
        <v>16</v>
      </c>
      <c r="J1922" t="s">
        <v>65</v>
      </c>
    </row>
    <row r="1923" spans="1:10" x14ac:dyDescent="0.35">
      <c r="A1923" t="s">
        <v>2103</v>
      </c>
      <c r="B1923" s="10">
        <v>46003</v>
      </c>
      <c r="C1923" t="s">
        <v>143</v>
      </c>
      <c r="D1923" t="s">
        <v>54</v>
      </c>
      <c r="E1923" t="s">
        <v>55</v>
      </c>
      <c r="F1923" t="s">
        <v>54</v>
      </c>
      <c r="G1923">
        <v>667.24</v>
      </c>
      <c r="H1923" t="s">
        <v>15</v>
      </c>
      <c r="I1923" t="s">
        <v>36</v>
      </c>
      <c r="J1923" t="s">
        <v>89</v>
      </c>
    </row>
    <row r="1924" spans="1:10" x14ac:dyDescent="0.35">
      <c r="A1924" t="s">
        <v>2104</v>
      </c>
      <c r="B1924" s="10">
        <v>46003</v>
      </c>
      <c r="C1924" t="s">
        <v>331</v>
      </c>
      <c r="D1924" t="s">
        <v>29</v>
      </c>
      <c r="E1924" t="s">
        <v>95</v>
      </c>
      <c r="F1924" t="s">
        <v>14</v>
      </c>
      <c r="G1924">
        <v>41.37</v>
      </c>
      <c r="H1924" t="s">
        <v>15</v>
      </c>
      <c r="I1924" t="s">
        <v>22</v>
      </c>
      <c r="J1924" t="s">
        <v>151</v>
      </c>
    </row>
    <row r="1925" spans="1:10" x14ac:dyDescent="0.35">
      <c r="A1925" t="s">
        <v>2105</v>
      </c>
      <c r="B1925" s="10">
        <v>46003</v>
      </c>
      <c r="C1925" t="s">
        <v>308</v>
      </c>
      <c r="D1925" t="s">
        <v>54</v>
      </c>
      <c r="E1925" t="s">
        <v>64</v>
      </c>
      <c r="F1925" t="s">
        <v>54</v>
      </c>
      <c r="G1925">
        <v>393.88</v>
      </c>
      <c r="H1925" t="s">
        <v>15</v>
      </c>
      <c r="I1925" t="s">
        <v>22</v>
      </c>
      <c r="J1925" t="s">
        <v>89</v>
      </c>
    </row>
    <row r="1926" spans="1:10" x14ac:dyDescent="0.35">
      <c r="A1926" t="s">
        <v>2106</v>
      </c>
      <c r="B1926" s="10">
        <v>46003</v>
      </c>
      <c r="C1926" t="s">
        <v>88</v>
      </c>
      <c r="D1926" t="s">
        <v>54</v>
      </c>
      <c r="E1926" t="s">
        <v>74</v>
      </c>
      <c r="F1926" t="s">
        <v>54</v>
      </c>
      <c r="G1926">
        <v>2237.94</v>
      </c>
      <c r="H1926" t="s">
        <v>15</v>
      </c>
      <c r="I1926" t="s">
        <v>22</v>
      </c>
      <c r="J1926" t="s">
        <v>89</v>
      </c>
    </row>
    <row r="1927" spans="1:10" x14ac:dyDescent="0.35">
      <c r="A1927" t="s">
        <v>2107</v>
      </c>
      <c r="B1927" s="10">
        <v>46003</v>
      </c>
      <c r="C1927" t="s">
        <v>350</v>
      </c>
      <c r="D1927" t="s">
        <v>29</v>
      </c>
      <c r="E1927" t="s">
        <v>151</v>
      </c>
      <c r="F1927" t="s">
        <v>14</v>
      </c>
      <c r="G1927">
        <v>44.05</v>
      </c>
      <c r="H1927" t="s">
        <v>21</v>
      </c>
      <c r="I1927" t="s">
        <v>16</v>
      </c>
      <c r="J1927" t="s">
        <v>158</v>
      </c>
    </row>
    <row r="1928" spans="1:10" x14ac:dyDescent="0.35">
      <c r="A1928" t="s">
        <v>2108</v>
      </c>
      <c r="B1928" s="10">
        <v>46003</v>
      </c>
      <c r="C1928" t="s">
        <v>238</v>
      </c>
      <c r="D1928" t="s">
        <v>34</v>
      </c>
      <c r="E1928" t="s">
        <v>35</v>
      </c>
      <c r="F1928" t="s">
        <v>14</v>
      </c>
      <c r="G1928">
        <v>158.19</v>
      </c>
      <c r="H1928" t="s">
        <v>15</v>
      </c>
      <c r="I1928" t="s">
        <v>22</v>
      </c>
      <c r="J1928" t="s">
        <v>239</v>
      </c>
    </row>
    <row r="1929" spans="1:10" x14ac:dyDescent="0.35">
      <c r="A1929" t="s">
        <v>2109</v>
      </c>
      <c r="B1929" s="10">
        <v>46003</v>
      </c>
      <c r="C1929" t="s">
        <v>267</v>
      </c>
      <c r="D1929" t="s">
        <v>29</v>
      </c>
      <c r="E1929" t="s">
        <v>30</v>
      </c>
      <c r="F1929" t="s">
        <v>14</v>
      </c>
      <c r="G1929">
        <v>10.42</v>
      </c>
      <c r="H1929" t="s">
        <v>15</v>
      </c>
      <c r="I1929" t="s">
        <v>36</v>
      </c>
      <c r="J1929" t="s">
        <v>96</v>
      </c>
    </row>
    <row r="1930" spans="1:10" x14ac:dyDescent="0.35">
      <c r="A1930" t="s">
        <v>2110</v>
      </c>
      <c r="B1930" s="10">
        <v>46003</v>
      </c>
      <c r="C1930" t="s">
        <v>308</v>
      </c>
      <c r="D1930" t="s">
        <v>54</v>
      </c>
      <c r="E1930" t="s">
        <v>64</v>
      </c>
      <c r="F1930" t="s">
        <v>54</v>
      </c>
      <c r="G1930">
        <v>365.89</v>
      </c>
      <c r="H1930" t="s">
        <v>21</v>
      </c>
      <c r="I1930" t="s">
        <v>22</v>
      </c>
      <c r="J1930" t="s">
        <v>89</v>
      </c>
    </row>
    <row r="1931" spans="1:10" x14ac:dyDescent="0.35">
      <c r="A1931" t="s">
        <v>2111</v>
      </c>
      <c r="B1931" s="10">
        <v>46004</v>
      </c>
      <c r="C1931" t="s">
        <v>464</v>
      </c>
      <c r="D1931" t="s">
        <v>34</v>
      </c>
      <c r="E1931" t="s">
        <v>122</v>
      </c>
      <c r="F1931" t="s">
        <v>14</v>
      </c>
      <c r="G1931">
        <v>278.19</v>
      </c>
      <c r="H1931" t="s">
        <v>15</v>
      </c>
      <c r="I1931" t="s">
        <v>47</v>
      </c>
      <c r="J1931" t="s">
        <v>239</v>
      </c>
    </row>
    <row r="1932" spans="1:10" x14ac:dyDescent="0.35">
      <c r="A1932" t="s">
        <v>2112</v>
      </c>
      <c r="B1932" s="10">
        <v>46004</v>
      </c>
      <c r="C1932" t="s">
        <v>411</v>
      </c>
      <c r="D1932" t="s">
        <v>29</v>
      </c>
      <c r="E1932" t="s">
        <v>151</v>
      </c>
      <c r="F1932" t="s">
        <v>14</v>
      </c>
      <c r="G1932">
        <v>39.58</v>
      </c>
      <c r="H1932" t="s">
        <v>15</v>
      </c>
      <c r="I1932" t="s">
        <v>16</v>
      </c>
      <c r="J1932" t="s">
        <v>151</v>
      </c>
    </row>
    <row r="1933" spans="1:10" x14ac:dyDescent="0.35">
      <c r="A1933" t="s">
        <v>2113</v>
      </c>
      <c r="B1933" s="10">
        <v>46005</v>
      </c>
      <c r="C1933" t="s">
        <v>153</v>
      </c>
      <c r="D1933" t="s">
        <v>34</v>
      </c>
      <c r="E1933" t="s">
        <v>122</v>
      </c>
      <c r="F1933" t="s">
        <v>14</v>
      </c>
      <c r="G1933">
        <v>177.31</v>
      </c>
      <c r="H1933" t="s">
        <v>15</v>
      </c>
      <c r="I1933" t="s">
        <v>22</v>
      </c>
      <c r="J1933" t="s">
        <v>41</v>
      </c>
    </row>
    <row r="1934" spans="1:10" x14ac:dyDescent="0.35">
      <c r="A1934" t="s">
        <v>2114</v>
      </c>
      <c r="B1934" s="10">
        <v>46005</v>
      </c>
      <c r="C1934" t="s">
        <v>19</v>
      </c>
      <c r="D1934" t="s">
        <v>12</v>
      </c>
      <c r="E1934" t="s">
        <v>13</v>
      </c>
      <c r="F1934" t="s">
        <v>14</v>
      </c>
      <c r="G1934">
        <v>96.05</v>
      </c>
      <c r="H1934" t="s">
        <v>15</v>
      </c>
      <c r="I1934" t="s">
        <v>47</v>
      </c>
      <c r="J1934" t="s">
        <v>23</v>
      </c>
    </row>
    <row r="1935" spans="1:10" x14ac:dyDescent="0.35">
      <c r="A1935" t="s">
        <v>2115</v>
      </c>
      <c r="B1935" s="10">
        <v>46005</v>
      </c>
      <c r="C1935" t="s">
        <v>238</v>
      </c>
      <c r="D1935" t="s">
        <v>34</v>
      </c>
      <c r="E1935" t="s">
        <v>35</v>
      </c>
      <c r="F1935" t="s">
        <v>14</v>
      </c>
      <c r="G1935">
        <v>340.03</v>
      </c>
      <c r="H1935" t="s">
        <v>15</v>
      </c>
      <c r="I1935" t="s">
        <v>84</v>
      </c>
      <c r="J1935" t="s">
        <v>239</v>
      </c>
    </row>
    <row r="1936" spans="1:10" x14ac:dyDescent="0.35">
      <c r="A1936" t="s">
        <v>2117</v>
      </c>
      <c r="B1936" s="10">
        <v>46005</v>
      </c>
      <c r="C1936" t="s">
        <v>88</v>
      </c>
      <c r="D1936" t="s">
        <v>54</v>
      </c>
      <c r="E1936" t="s">
        <v>74</v>
      </c>
      <c r="F1936" t="s">
        <v>54</v>
      </c>
      <c r="G1936">
        <v>2702.25</v>
      </c>
      <c r="H1936" t="s">
        <v>21</v>
      </c>
      <c r="I1936" t="s">
        <v>22</v>
      </c>
      <c r="J1936" t="s">
        <v>89</v>
      </c>
    </row>
    <row r="1937" spans="1:10" x14ac:dyDescent="0.35">
      <c r="A1937" t="s">
        <v>2118</v>
      </c>
      <c r="B1937" s="10">
        <v>46005</v>
      </c>
      <c r="C1937" t="s">
        <v>140</v>
      </c>
      <c r="D1937" t="s">
        <v>80</v>
      </c>
      <c r="E1937" t="s">
        <v>81</v>
      </c>
      <c r="F1937" t="s">
        <v>14</v>
      </c>
      <c r="G1937">
        <v>51.73</v>
      </c>
      <c r="H1937" t="s">
        <v>21</v>
      </c>
      <c r="I1937" t="s">
        <v>47</v>
      </c>
      <c r="J1937" t="s">
        <v>141</v>
      </c>
    </row>
    <row r="1938" spans="1:10" x14ac:dyDescent="0.35">
      <c r="A1938" t="s">
        <v>2119</v>
      </c>
      <c r="B1938" s="10">
        <v>46006</v>
      </c>
      <c r="C1938" t="s">
        <v>125</v>
      </c>
      <c r="D1938" t="s">
        <v>12</v>
      </c>
      <c r="E1938" t="s">
        <v>13</v>
      </c>
      <c r="F1938" t="s">
        <v>14</v>
      </c>
      <c r="G1938">
        <v>60.13</v>
      </c>
      <c r="H1938" t="s">
        <v>15</v>
      </c>
      <c r="I1938" t="s">
        <v>22</v>
      </c>
      <c r="J1938" t="s">
        <v>44</v>
      </c>
    </row>
    <row r="1939" spans="1:10" x14ac:dyDescent="0.35">
      <c r="A1939" t="s">
        <v>2120</v>
      </c>
      <c r="B1939" s="10">
        <v>46006</v>
      </c>
      <c r="C1939" t="s">
        <v>345</v>
      </c>
      <c r="D1939" t="s">
        <v>59</v>
      </c>
      <c r="E1939" t="s">
        <v>60</v>
      </c>
      <c r="F1939" t="s">
        <v>14</v>
      </c>
      <c r="G1939">
        <v>123.17</v>
      </c>
      <c r="H1939" t="s">
        <v>15</v>
      </c>
      <c r="I1939" t="s">
        <v>22</v>
      </c>
      <c r="J1939" t="s">
        <v>211</v>
      </c>
    </row>
    <row r="1940" spans="1:10" x14ac:dyDescent="0.35">
      <c r="A1940" t="s">
        <v>2121</v>
      </c>
      <c r="B1940" s="10">
        <v>46006</v>
      </c>
      <c r="C1940" t="s">
        <v>100</v>
      </c>
      <c r="D1940" t="s">
        <v>101</v>
      </c>
      <c r="E1940" t="s">
        <v>102</v>
      </c>
      <c r="F1940" t="s">
        <v>14</v>
      </c>
      <c r="G1940">
        <v>49.27</v>
      </c>
      <c r="H1940" t="s">
        <v>15</v>
      </c>
      <c r="I1940" t="s">
        <v>36</v>
      </c>
      <c r="J1940" t="s">
        <v>103</v>
      </c>
    </row>
    <row r="1941" spans="1:10" x14ac:dyDescent="0.35">
      <c r="A1941" t="s">
        <v>2122</v>
      </c>
      <c r="B1941" s="10">
        <v>46007</v>
      </c>
      <c r="C1941" t="s">
        <v>308</v>
      </c>
      <c r="D1941" t="s">
        <v>54</v>
      </c>
      <c r="E1941" t="s">
        <v>64</v>
      </c>
      <c r="F1941" t="s">
        <v>54</v>
      </c>
      <c r="G1941">
        <v>394.73</v>
      </c>
      <c r="H1941" t="s">
        <v>21</v>
      </c>
      <c r="I1941" t="s">
        <v>47</v>
      </c>
      <c r="J1941" t="s">
        <v>89</v>
      </c>
    </row>
    <row r="1942" spans="1:10" x14ac:dyDescent="0.35">
      <c r="A1942" t="s">
        <v>2123</v>
      </c>
      <c r="B1942" s="10">
        <v>46007</v>
      </c>
      <c r="C1942" t="s">
        <v>43</v>
      </c>
      <c r="D1942" t="s">
        <v>12</v>
      </c>
      <c r="E1942" t="s">
        <v>26</v>
      </c>
      <c r="F1942" t="s">
        <v>14</v>
      </c>
      <c r="G1942">
        <v>32.700000000000003</v>
      </c>
      <c r="H1942" t="s">
        <v>15</v>
      </c>
      <c r="I1942" t="s">
        <v>22</v>
      </c>
      <c r="J1942" t="s">
        <v>44</v>
      </c>
    </row>
    <row r="1943" spans="1:10" x14ac:dyDescent="0.35">
      <c r="A1943" t="s">
        <v>2124</v>
      </c>
      <c r="B1943" s="10">
        <v>46008</v>
      </c>
      <c r="C1943" t="s">
        <v>281</v>
      </c>
      <c r="D1943" t="s">
        <v>34</v>
      </c>
      <c r="E1943" t="s">
        <v>40</v>
      </c>
      <c r="F1943" t="s">
        <v>14</v>
      </c>
      <c r="G1943">
        <v>86.48</v>
      </c>
      <c r="H1943" t="s">
        <v>21</v>
      </c>
      <c r="I1943" t="s">
        <v>36</v>
      </c>
      <c r="J1943" t="s">
        <v>123</v>
      </c>
    </row>
    <row r="1944" spans="1:10" x14ac:dyDescent="0.35">
      <c r="A1944" t="s">
        <v>2125</v>
      </c>
      <c r="B1944" s="10">
        <v>46008</v>
      </c>
      <c r="C1944" t="s">
        <v>160</v>
      </c>
      <c r="D1944" t="s">
        <v>80</v>
      </c>
      <c r="E1944" t="s">
        <v>117</v>
      </c>
      <c r="F1944" t="s">
        <v>14</v>
      </c>
      <c r="G1944">
        <v>107.65</v>
      </c>
      <c r="H1944" t="s">
        <v>21</v>
      </c>
      <c r="I1944" t="s">
        <v>16</v>
      </c>
      <c r="J1944" t="s">
        <v>161</v>
      </c>
    </row>
    <row r="1945" spans="1:10" x14ac:dyDescent="0.35">
      <c r="A1945" t="s">
        <v>2126</v>
      </c>
      <c r="B1945" s="10">
        <v>46009</v>
      </c>
      <c r="C1945" t="s">
        <v>210</v>
      </c>
      <c r="D1945" t="s">
        <v>59</v>
      </c>
      <c r="E1945" t="s">
        <v>185</v>
      </c>
      <c r="F1945" t="s">
        <v>14</v>
      </c>
      <c r="G1945">
        <v>273.74</v>
      </c>
      <c r="H1945" t="s">
        <v>15</v>
      </c>
      <c r="I1945" t="s">
        <v>22</v>
      </c>
      <c r="J1945" t="s">
        <v>211</v>
      </c>
    </row>
    <row r="1946" spans="1:10" x14ac:dyDescent="0.35">
      <c r="A1946" t="s">
        <v>2127</v>
      </c>
      <c r="B1946" s="10">
        <v>46009</v>
      </c>
      <c r="C1946" t="s">
        <v>308</v>
      </c>
      <c r="D1946" t="s">
        <v>54</v>
      </c>
      <c r="E1946" t="s">
        <v>64</v>
      </c>
      <c r="F1946" t="s">
        <v>54</v>
      </c>
      <c r="G1946">
        <v>363.01</v>
      </c>
      <c r="H1946" t="s">
        <v>21</v>
      </c>
      <c r="I1946" t="s">
        <v>16</v>
      </c>
      <c r="J1946" t="s">
        <v>89</v>
      </c>
    </row>
    <row r="1947" spans="1:10" x14ac:dyDescent="0.35">
      <c r="A1947" t="s">
        <v>2128</v>
      </c>
      <c r="B1947" s="10">
        <v>46009</v>
      </c>
      <c r="C1947" t="s">
        <v>175</v>
      </c>
      <c r="D1947" t="s">
        <v>80</v>
      </c>
      <c r="E1947" t="s">
        <v>92</v>
      </c>
      <c r="F1947" t="s">
        <v>14</v>
      </c>
      <c r="G1947">
        <v>25.52</v>
      </c>
      <c r="H1947" t="s">
        <v>15</v>
      </c>
      <c r="I1947" t="s">
        <v>22</v>
      </c>
      <c r="J1947" t="s">
        <v>141</v>
      </c>
    </row>
    <row r="1948" spans="1:10" x14ac:dyDescent="0.35">
      <c r="A1948" t="s">
        <v>2129</v>
      </c>
      <c r="B1948" s="10">
        <v>46010</v>
      </c>
      <c r="C1948" t="s">
        <v>125</v>
      </c>
      <c r="D1948" t="s">
        <v>12</v>
      </c>
      <c r="E1948" t="s">
        <v>13</v>
      </c>
      <c r="F1948" t="s">
        <v>14</v>
      </c>
      <c r="G1948">
        <v>44.14</v>
      </c>
      <c r="H1948" t="s">
        <v>15</v>
      </c>
      <c r="I1948" t="s">
        <v>36</v>
      </c>
      <c r="J1948" t="s">
        <v>44</v>
      </c>
    </row>
    <row r="1949" spans="1:10" x14ac:dyDescent="0.35">
      <c r="A1949" t="s">
        <v>2130</v>
      </c>
      <c r="B1949" s="10">
        <v>46010</v>
      </c>
      <c r="C1949" t="s">
        <v>88</v>
      </c>
      <c r="D1949" t="s">
        <v>54</v>
      </c>
      <c r="E1949" t="s">
        <v>74</v>
      </c>
      <c r="F1949" t="s">
        <v>54</v>
      </c>
      <c r="G1949">
        <v>2743.85</v>
      </c>
      <c r="H1949" t="s">
        <v>15</v>
      </c>
      <c r="I1949" t="s">
        <v>22</v>
      </c>
      <c r="J1949" t="s">
        <v>89</v>
      </c>
    </row>
    <row r="1950" spans="1:10" x14ac:dyDescent="0.35">
      <c r="A1950" t="s">
        <v>2131</v>
      </c>
      <c r="B1950" s="10">
        <v>46011</v>
      </c>
      <c r="C1950" t="s">
        <v>135</v>
      </c>
      <c r="D1950" t="s">
        <v>101</v>
      </c>
      <c r="E1950" t="s">
        <v>102</v>
      </c>
      <c r="F1950" t="s">
        <v>14</v>
      </c>
      <c r="G1950">
        <v>154.47999999999999</v>
      </c>
      <c r="H1950" t="s">
        <v>15</v>
      </c>
      <c r="I1950" t="s">
        <v>36</v>
      </c>
      <c r="J1950" t="s">
        <v>136</v>
      </c>
    </row>
    <row r="1951" spans="1:10" x14ac:dyDescent="0.35">
      <c r="A1951" t="s">
        <v>2132</v>
      </c>
      <c r="B1951" s="10">
        <v>46011</v>
      </c>
      <c r="C1951" t="s">
        <v>220</v>
      </c>
      <c r="D1951" t="s">
        <v>59</v>
      </c>
      <c r="E1951" t="s">
        <v>199</v>
      </c>
      <c r="F1951" t="s">
        <v>14</v>
      </c>
      <c r="G1951">
        <v>283.57</v>
      </c>
      <c r="H1951" t="s">
        <v>21</v>
      </c>
      <c r="I1951" t="s">
        <v>47</v>
      </c>
      <c r="J1951" t="s">
        <v>211</v>
      </c>
    </row>
    <row r="1952" spans="1:10" x14ac:dyDescent="0.35">
      <c r="A1952" t="s">
        <v>2133</v>
      </c>
      <c r="B1952" s="10">
        <v>46011</v>
      </c>
      <c r="C1952" t="s">
        <v>113</v>
      </c>
      <c r="D1952" t="s">
        <v>34</v>
      </c>
      <c r="E1952" t="s">
        <v>40</v>
      </c>
      <c r="F1952" t="s">
        <v>14</v>
      </c>
      <c r="G1952">
        <v>157.69</v>
      </c>
      <c r="H1952" t="s">
        <v>21</v>
      </c>
      <c r="I1952" t="s">
        <v>16</v>
      </c>
      <c r="J1952" t="s">
        <v>37</v>
      </c>
    </row>
    <row r="1953" spans="1:10" x14ac:dyDescent="0.35">
      <c r="A1953" t="s">
        <v>2134</v>
      </c>
      <c r="B1953" s="10">
        <v>46011</v>
      </c>
      <c r="C1953" t="s">
        <v>296</v>
      </c>
      <c r="D1953" t="s">
        <v>101</v>
      </c>
      <c r="E1953" t="s">
        <v>136</v>
      </c>
      <c r="F1953" t="s">
        <v>14</v>
      </c>
      <c r="G1953">
        <v>35.71</v>
      </c>
      <c r="H1953" t="s">
        <v>15</v>
      </c>
      <c r="I1953" t="s">
        <v>84</v>
      </c>
      <c r="J1953" t="s">
        <v>136</v>
      </c>
    </row>
    <row r="1954" spans="1:10" x14ac:dyDescent="0.35">
      <c r="A1954" t="s">
        <v>2135</v>
      </c>
      <c r="B1954" s="10">
        <v>46011</v>
      </c>
      <c r="C1954" t="s">
        <v>184</v>
      </c>
      <c r="D1954" t="s">
        <v>59</v>
      </c>
      <c r="E1954" t="s">
        <v>185</v>
      </c>
      <c r="F1954" t="s">
        <v>14</v>
      </c>
      <c r="G1954">
        <v>90.91</v>
      </c>
      <c r="H1954" t="s">
        <v>15</v>
      </c>
      <c r="I1954" t="s">
        <v>22</v>
      </c>
      <c r="J1954" t="s">
        <v>61</v>
      </c>
    </row>
    <row r="1955" spans="1:10" x14ac:dyDescent="0.35">
      <c r="A1955" t="s">
        <v>2136</v>
      </c>
      <c r="B1955" s="10">
        <v>46011</v>
      </c>
      <c r="C1955" t="s">
        <v>215</v>
      </c>
      <c r="D1955" t="s">
        <v>80</v>
      </c>
      <c r="E1955" t="s">
        <v>117</v>
      </c>
      <c r="F1955" t="s">
        <v>14</v>
      </c>
      <c r="G1955">
        <v>109.1</v>
      </c>
      <c r="H1955" t="s">
        <v>21</v>
      </c>
      <c r="I1955" t="s">
        <v>47</v>
      </c>
      <c r="J1955" t="s">
        <v>141</v>
      </c>
    </row>
    <row r="1956" spans="1:10" x14ac:dyDescent="0.35">
      <c r="A1956" t="s">
        <v>2137</v>
      </c>
      <c r="B1956" s="10">
        <v>46011</v>
      </c>
      <c r="C1956" t="s">
        <v>25</v>
      </c>
      <c r="D1956" t="s">
        <v>12</v>
      </c>
      <c r="E1956" t="s">
        <v>26</v>
      </c>
      <c r="F1956" t="s">
        <v>14</v>
      </c>
      <c r="G1956">
        <v>54.73</v>
      </c>
      <c r="H1956" t="s">
        <v>15</v>
      </c>
      <c r="I1956" t="s">
        <v>36</v>
      </c>
      <c r="J1956" t="s">
        <v>17</v>
      </c>
    </row>
    <row r="1957" spans="1:10" x14ac:dyDescent="0.35">
      <c r="A1957" t="s">
        <v>2138</v>
      </c>
      <c r="B1957" s="10">
        <v>46011</v>
      </c>
      <c r="C1957" t="s">
        <v>135</v>
      </c>
      <c r="D1957" t="s">
        <v>101</v>
      </c>
      <c r="E1957" t="s">
        <v>102</v>
      </c>
      <c r="F1957" t="s">
        <v>14</v>
      </c>
      <c r="G1957">
        <v>23.26</v>
      </c>
      <c r="H1957" t="s">
        <v>15</v>
      </c>
      <c r="I1957" t="s">
        <v>22</v>
      </c>
      <c r="J1957" t="s">
        <v>136</v>
      </c>
    </row>
    <row r="1958" spans="1:10" x14ac:dyDescent="0.35">
      <c r="A1958" t="s">
        <v>2139</v>
      </c>
      <c r="B1958" s="10">
        <v>46012</v>
      </c>
      <c r="C1958" t="s">
        <v>229</v>
      </c>
      <c r="D1958" t="s">
        <v>54</v>
      </c>
      <c r="E1958" t="s">
        <v>64</v>
      </c>
      <c r="F1958" t="s">
        <v>54</v>
      </c>
      <c r="G1958">
        <v>325.42</v>
      </c>
      <c r="H1958" t="s">
        <v>15</v>
      </c>
      <c r="I1958" t="s">
        <v>22</v>
      </c>
      <c r="J1958" t="s">
        <v>56</v>
      </c>
    </row>
    <row r="1959" spans="1:10" x14ac:dyDescent="0.35">
      <c r="A1959" t="s">
        <v>2140</v>
      </c>
      <c r="B1959" s="10">
        <v>46012</v>
      </c>
      <c r="C1959" t="s">
        <v>572</v>
      </c>
      <c r="D1959" t="s">
        <v>69</v>
      </c>
      <c r="E1959" t="s">
        <v>233</v>
      </c>
      <c r="F1959" t="s">
        <v>14</v>
      </c>
      <c r="G1959">
        <v>1048.96</v>
      </c>
      <c r="H1959" t="s">
        <v>15</v>
      </c>
      <c r="I1959" t="s">
        <v>16</v>
      </c>
      <c r="J1959" t="s">
        <v>292</v>
      </c>
    </row>
    <row r="1960" spans="1:10" x14ac:dyDescent="0.35">
      <c r="A1960" t="s">
        <v>2141</v>
      </c>
      <c r="B1960" s="10">
        <v>46012</v>
      </c>
      <c r="C1960" t="s">
        <v>53</v>
      </c>
      <c r="D1960" t="s">
        <v>54</v>
      </c>
      <c r="E1960" t="s">
        <v>55</v>
      </c>
      <c r="F1960" t="s">
        <v>54</v>
      </c>
      <c r="G1960">
        <v>737.3</v>
      </c>
      <c r="H1960" t="s">
        <v>21</v>
      </c>
      <c r="I1960" t="s">
        <v>22</v>
      </c>
      <c r="J1960" t="s">
        <v>56</v>
      </c>
    </row>
    <row r="1961" spans="1:10" x14ac:dyDescent="0.35">
      <c r="A1961" t="s">
        <v>2142</v>
      </c>
      <c r="B1961" s="10">
        <v>46012</v>
      </c>
      <c r="C1961" t="s">
        <v>875</v>
      </c>
      <c r="D1961" t="s">
        <v>69</v>
      </c>
      <c r="E1961" t="s">
        <v>291</v>
      </c>
      <c r="F1961" t="s">
        <v>14</v>
      </c>
      <c r="G1961">
        <v>165.47</v>
      </c>
      <c r="H1961" t="s">
        <v>21</v>
      </c>
      <c r="I1961" t="s">
        <v>47</v>
      </c>
      <c r="J1961" t="s">
        <v>133</v>
      </c>
    </row>
    <row r="1962" spans="1:10" x14ac:dyDescent="0.35">
      <c r="A1962" t="s">
        <v>2143</v>
      </c>
      <c r="B1962" s="10">
        <v>46012</v>
      </c>
      <c r="C1962" t="s">
        <v>111</v>
      </c>
      <c r="D1962" t="s">
        <v>12</v>
      </c>
      <c r="E1962" t="s">
        <v>26</v>
      </c>
      <c r="F1962" t="s">
        <v>14</v>
      </c>
      <c r="G1962">
        <v>33.97</v>
      </c>
      <c r="H1962" t="s">
        <v>21</v>
      </c>
      <c r="I1962" t="s">
        <v>22</v>
      </c>
      <c r="J1962" t="s">
        <v>23</v>
      </c>
    </row>
    <row r="1963" spans="1:10" x14ac:dyDescent="0.35">
      <c r="A1963" t="s">
        <v>2144</v>
      </c>
      <c r="B1963" s="10">
        <v>46012</v>
      </c>
      <c r="C1963" t="s">
        <v>251</v>
      </c>
      <c r="D1963" t="s">
        <v>29</v>
      </c>
      <c r="E1963" t="s">
        <v>151</v>
      </c>
      <c r="F1963" t="s">
        <v>14</v>
      </c>
      <c r="G1963">
        <v>19.22</v>
      </c>
      <c r="H1963" t="s">
        <v>15</v>
      </c>
      <c r="I1963" t="s">
        <v>36</v>
      </c>
      <c r="J1963" t="s">
        <v>31</v>
      </c>
    </row>
    <row r="1964" spans="1:10" x14ac:dyDescent="0.35">
      <c r="A1964" t="s">
        <v>2145</v>
      </c>
      <c r="B1964" s="10">
        <v>46012</v>
      </c>
      <c r="C1964" t="s">
        <v>227</v>
      </c>
      <c r="D1964" t="s">
        <v>12</v>
      </c>
      <c r="E1964" t="s">
        <v>51</v>
      </c>
      <c r="F1964" t="s">
        <v>14</v>
      </c>
      <c r="G1964">
        <v>25.3</v>
      </c>
      <c r="H1964" t="s">
        <v>15</v>
      </c>
      <c r="I1964" t="s">
        <v>47</v>
      </c>
      <c r="J1964" t="s">
        <v>17</v>
      </c>
    </row>
    <row r="1965" spans="1:10" x14ac:dyDescent="0.35">
      <c r="A1965" t="s">
        <v>2146</v>
      </c>
      <c r="B1965" s="10">
        <v>46013</v>
      </c>
      <c r="C1965" t="s">
        <v>163</v>
      </c>
      <c r="D1965" t="s">
        <v>80</v>
      </c>
      <c r="E1965" t="s">
        <v>92</v>
      </c>
      <c r="F1965" t="s">
        <v>14</v>
      </c>
      <c r="G1965">
        <v>143.09</v>
      </c>
      <c r="H1965" t="s">
        <v>15</v>
      </c>
      <c r="I1965" t="s">
        <v>36</v>
      </c>
      <c r="J1965" t="s">
        <v>118</v>
      </c>
    </row>
    <row r="1966" spans="1:10" x14ac:dyDescent="0.35">
      <c r="A1966" t="s">
        <v>2147</v>
      </c>
      <c r="B1966" s="10">
        <v>46013</v>
      </c>
      <c r="C1966" t="s">
        <v>94</v>
      </c>
      <c r="D1966" t="s">
        <v>29</v>
      </c>
      <c r="E1966" t="s">
        <v>95</v>
      </c>
      <c r="F1966" t="s">
        <v>14</v>
      </c>
      <c r="G1966">
        <v>28.31</v>
      </c>
      <c r="H1966" t="s">
        <v>15</v>
      </c>
      <c r="I1966" t="s">
        <v>22</v>
      </c>
      <c r="J1966" t="s">
        <v>96</v>
      </c>
    </row>
    <row r="1967" spans="1:10" x14ac:dyDescent="0.35">
      <c r="A1967" t="s">
        <v>2149</v>
      </c>
      <c r="B1967" s="10">
        <v>46013</v>
      </c>
      <c r="C1967" t="s">
        <v>296</v>
      </c>
      <c r="D1967" t="s">
        <v>101</v>
      </c>
      <c r="E1967" t="s">
        <v>136</v>
      </c>
      <c r="F1967" t="s">
        <v>14</v>
      </c>
      <c r="G1967">
        <v>23.91</v>
      </c>
      <c r="H1967" t="s">
        <v>15</v>
      </c>
      <c r="I1967" t="s">
        <v>22</v>
      </c>
      <c r="J1967" t="s">
        <v>136</v>
      </c>
    </row>
    <row r="1968" spans="1:10" x14ac:dyDescent="0.35">
      <c r="A1968" t="s">
        <v>2150</v>
      </c>
      <c r="B1968" s="10">
        <v>46013</v>
      </c>
      <c r="C1968" t="s">
        <v>308</v>
      </c>
      <c r="D1968" t="s">
        <v>54</v>
      </c>
      <c r="E1968" t="s">
        <v>64</v>
      </c>
      <c r="F1968" t="s">
        <v>54</v>
      </c>
      <c r="G1968">
        <v>384.74</v>
      </c>
      <c r="H1968" t="s">
        <v>15</v>
      </c>
      <c r="I1968" t="s">
        <v>36</v>
      </c>
      <c r="J1968" t="s">
        <v>89</v>
      </c>
    </row>
    <row r="1969" spans="1:10" x14ac:dyDescent="0.35">
      <c r="A1969" t="s">
        <v>2151</v>
      </c>
      <c r="B1969" s="10">
        <v>46013</v>
      </c>
      <c r="C1969" t="s">
        <v>262</v>
      </c>
      <c r="D1969" t="s">
        <v>101</v>
      </c>
      <c r="E1969" t="s">
        <v>244</v>
      </c>
      <c r="F1969" t="s">
        <v>14</v>
      </c>
      <c r="G1969">
        <v>79.099999999999994</v>
      </c>
      <c r="H1969" t="s">
        <v>21</v>
      </c>
      <c r="I1969" t="s">
        <v>47</v>
      </c>
      <c r="J1969" t="s">
        <v>136</v>
      </c>
    </row>
    <row r="1970" spans="1:10" x14ac:dyDescent="0.35">
      <c r="A1970" t="s">
        <v>2152</v>
      </c>
      <c r="B1970" s="10">
        <v>46013</v>
      </c>
      <c r="C1970" t="s">
        <v>138</v>
      </c>
      <c r="D1970" t="s">
        <v>12</v>
      </c>
      <c r="E1970" t="s">
        <v>26</v>
      </c>
      <c r="F1970" t="s">
        <v>14</v>
      </c>
      <c r="G1970">
        <v>55.1</v>
      </c>
      <c r="H1970" t="s">
        <v>15</v>
      </c>
      <c r="I1970" t="s">
        <v>22</v>
      </c>
      <c r="J1970" t="s">
        <v>77</v>
      </c>
    </row>
    <row r="1971" spans="1:10" x14ac:dyDescent="0.35">
      <c r="A1971" t="s">
        <v>2153</v>
      </c>
      <c r="B1971" s="10">
        <v>46015</v>
      </c>
      <c r="C1971" t="s">
        <v>543</v>
      </c>
      <c r="D1971" t="s">
        <v>69</v>
      </c>
      <c r="E1971" t="s">
        <v>70</v>
      </c>
      <c r="F1971" t="s">
        <v>14</v>
      </c>
      <c r="G1971">
        <v>57.98</v>
      </c>
      <c r="H1971" t="s">
        <v>21</v>
      </c>
      <c r="I1971" t="s">
        <v>22</v>
      </c>
      <c r="J1971" t="s">
        <v>292</v>
      </c>
    </row>
    <row r="1972" spans="1:10" x14ac:dyDescent="0.35">
      <c r="A1972" t="s">
        <v>2154</v>
      </c>
      <c r="B1972" s="10">
        <v>46015</v>
      </c>
      <c r="C1972" t="s">
        <v>204</v>
      </c>
      <c r="D1972" t="s">
        <v>12</v>
      </c>
      <c r="E1972" t="s">
        <v>51</v>
      </c>
      <c r="F1972" t="s">
        <v>14</v>
      </c>
      <c r="G1972">
        <v>68.150000000000006</v>
      </c>
      <c r="H1972" t="s">
        <v>98</v>
      </c>
      <c r="I1972" t="s">
        <v>36</v>
      </c>
      <c r="J1972" t="s">
        <v>23</v>
      </c>
    </row>
    <row r="1973" spans="1:10" x14ac:dyDescent="0.35">
      <c r="A1973" t="s">
        <v>2155</v>
      </c>
      <c r="B1973" s="10">
        <v>46015</v>
      </c>
      <c r="C1973" t="s">
        <v>345</v>
      </c>
      <c r="D1973" t="s">
        <v>59</v>
      </c>
      <c r="E1973" t="s">
        <v>60</v>
      </c>
      <c r="F1973" t="s">
        <v>14</v>
      </c>
      <c r="G1973">
        <v>157.68</v>
      </c>
      <c r="H1973" t="s">
        <v>15</v>
      </c>
      <c r="I1973" t="s">
        <v>22</v>
      </c>
      <c r="J1973" t="s">
        <v>211</v>
      </c>
    </row>
    <row r="1974" spans="1:10" x14ac:dyDescent="0.35">
      <c r="A1974" t="s">
        <v>2156</v>
      </c>
      <c r="B1974" s="10">
        <v>46015</v>
      </c>
      <c r="C1974" t="s">
        <v>113</v>
      </c>
      <c r="D1974" t="s">
        <v>34</v>
      </c>
      <c r="E1974" t="s">
        <v>40</v>
      </c>
      <c r="F1974" t="s">
        <v>14</v>
      </c>
      <c r="G1974">
        <v>56.13</v>
      </c>
      <c r="H1974" t="s">
        <v>15</v>
      </c>
      <c r="I1974" t="s">
        <v>36</v>
      </c>
      <c r="J1974" t="s">
        <v>37</v>
      </c>
    </row>
    <row r="1975" spans="1:10" x14ac:dyDescent="0.35">
      <c r="A1975" t="s">
        <v>2157</v>
      </c>
      <c r="B1975" s="10">
        <v>46015</v>
      </c>
      <c r="C1975" t="s">
        <v>269</v>
      </c>
      <c r="D1975" t="s">
        <v>34</v>
      </c>
      <c r="E1975" t="s">
        <v>35</v>
      </c>
      <c r="F1975" t="s">
        <v>14</v>
      </c>
      <c r="G1975">
        <v>43.89</v>
      </c>
      <c r="H1975" t="s">
        <v>15</v>
      </c>
      <c r="I1975" t="s">
        <v>47</v>
      </c>
      <c r="J1975" t="s">
        <v>123</v>
      </c>
    </row>
    <row r="1976" spans="1:10" x14ac:dyDescent="0.35">
      <c r="A1976" t="s">
        <v>2158</v>
      </c>
      <c r="B1976" s="10">
        <v>46015</v>
      </c>
      <c r="C1976" t="s">
        <v>272</v>
      </c>
      <c r="D1976" t="s">
        <v>54</v>
      </c>
      <c r="E1976" t="s">
        <v>55</v>
      </c>
      <c r="F1976" t="s">
        <v>54</v>
      </c>
      <c r="G1976">
        <v>886.57</v>
      </c>
      <c r="H1976" t="s">
        <v>15</v>
      </c>
      <c r="I1976" t="s">
        <v>22</v>
      </c>
      <c r="J1976" t="s">
        <v>65</v>
      </c>
    </row>
    <row r="1977" spans="1:10" x14ac:dyDescent="0.35">
      <c r="A1977" t="s">
        <v>2159</v>
      </c>
      <c r="B1977" s="10">
        <v>46015</v>
      </c>
      <c r="C1977" t="s">
        <v>73</v>
      </c>
      <c r="D1977" t="s">
        <v>54</v>
      </c>
      <c r="E1977" t="s">
        <v>74</v>
      </c>
      <c r="F1977" t="s">
        <v>54</v>
      </c>
      <c r="G1977">
        <v>2373.4899999999998</v>
      </c>
      <c r="H1977" t="s">
        <v>21</v>
      </c>
      <c r="I1977" t="s">
        <v>47</v>
      </c>
      <c r="J1977" t="s">
        <v>65</v>
      </c>
    </row>
    <row r="1978" spans="1:10" x14ac:dyDescent="0.35">
      <c r="A1978" t="s">
        <v>2160</v>
      </c>
      <c r="B1978" s="10">
        <v>46015</v>
      </c>
      <c r="C1978" t="s">
        <v>53</v>
      </c>
      <c r="D1978" t="s">
        <v>54</v>
      </c>
      <c r="E1978" t="s">
        <v>55</v>
      </c>
      <c r="F1978" t="s">
        <v>54</v>
      </c>
      <c r="G1978">
        <v>735.33</v>
      </c>
      <c r="H1978" t="s">
        <v>15</v>
      </c>
      <c r="I1978" t="s">
        <v>36</v>
      </c>
      <c r="J1978" t="s">
        <v>56</v>
      </c>
    </row>
    <row r="1979" spans="1:10" x14ac:dyDescent="0.35">
      <c r="A1979" t="s">
        <v>2161</v>
      </c>
      <c r="B1979" s="10">
        <v>46015</v>
      </c>
      <c r="C1979" t="s">
        <v>116</v>
      </c>
      <c r="D1979" t="s">
        <v>80</v>
      </c>
      <c r="E1979" t="s">
        <v>117</v>
      </c>
      <c r="F1979" t="s">
        <v>14</v>
      </c>
      <c r="G1979">
        <v>67.47</v>
      </c>
      <c r="H1979" t="s">
        <v>98</v>
      </c>
      <c r="I1979" t="s">
        <v>47</v>
      </c>
      <c r="J1979" t="s">
        <v>118</v>
      </c>
    </row>
    <row r="1980" spans="1:10" x14ac:dyDescent="0.35">
      <c r="A1980" t="s">
        <v>2162</v>
      </c>
      <c r="B1980" s="10">
        <v>46016</v>
      </c>
      <c r="C1980" t="s">
        <v>253</v>
      </c>
      <c r="D1980" t="s">
        <v>29</v>
      </c>
      <c r="E1980" t="s">
        <v>30</v>
      </c>
      <c r="F1980" t="s">
        <v>14</v>
      </c>
      <c r="G1980">
        <v>21.91</v>
      </c>
      <c r="H1980" t="s">
        <v>15</v>
      </c>
      <c r="I1980" t="s">
        <v>36</v>
      </c>
      <c r="J1980" t="s">
        <v>158</v>
      </c>
    </row>
    <row r="1981" spans="1:10" x14ac:dyDescent="0.35">
      <c r="A1981" t="s">
        <v>2163</v>
      </c>
      <c r="B1981" s="10">
        <v>46016</v>
      </c>
      <c r="C1981" t="s">
        <v>53</v>
      </c>
      <c r="D1981" t="s">
        <v>54</v>
      </c>
      <c r="E1981" t="s">
        <v>55</v>
      </c>
      <c r="F1981" t="s">
        <v>54</v>
      </c>
      <c r="G1981">
        <v>699.2</v>
      </c>
      <c r="H1981" t="s">
        <v>15</v>
      </c>
      <c r="I1981" t="s">
        <v>16</v>
      </c>
      <c r="J1981" t="s">
        <v>56</v>
      </c>
    </row>
    <row r="1982" spans="1:10" x14ac:dyDescent="0.35">
      <c r="A1982" t="s">
        <v>2164</v>
      </c>
      <c r="B1982" s="10">
        <v>46016</v>
      </c>
      <c r="C1982" t="s">
        <v>229</v>
      </c>
      <c r="D1982" t="s">
        <v>54</v>
      </c>
      <c r="E1982" t="s">
        <v>64</v>
      </c>
      <c r="F1982" t="s">
        <v>54</v>
      </c>
      <c r="G1982">
        <v>345.77</v>
      </c>
      <c r="H1982" t="s">
        <v>98</v>
      </c>
      <c r="I1982" t="s">
        <v>22</v>
      </c>
      <c r="J1982" t="s">
        <v>56</v>
      </c>
    </row>
    <row r="1983" spans="1:10" x14ac:dyDescent="0.35">
      <c r="A1983" t="s">
        <v>2165</v>
      </c>
      <c r="B1983" s="10">
        <v>46016</v>
      </c>
      <c r="C1983" t="s">
        <v>143</v>
      </c>
      <c r="D1983" t="s">
        <v>54</v>
      </c>
      <c r="E1983" t="s">
        <v>55</v>
      </c>
      <c r="F1983" t="s">
        <v>54</v>
      </c>
      <c r="G1983">
        <v>634.55999999999995</v>
      </c>
      <c r="H1983" t="s">
        <v>21</v>
      </c>
      <c r="I1983" t="s">
        <v>47</v>
      </c>
      <c r="J1983" t="s">
        <v>89</v>
      </c>
    </row>
    <row r="1984" spans="1:10" x14ac:dyDescent="0.35">
      <c r="A1984" t="s">
        <v>2166</v>
      </c>
      <c r="B1984" s="10">
        <v>46017</v>
      </c>
      <c r="C1984" t="s">
        <v>88</v>
      </c>
      <c r="D1984" t="s">
        <v>54</v>
      </c>
      <c r="E1984" t="s">
        <v>74</v>
      </c>
      <c r="F1984" t="s">
        <v>54</v>
      </c>
      <c r="G1984">
        <v>2179.13</v>
      </c>
      <c r="H1984" t="s">
        <v>21</v>
      </c>
      <c r="I1984" t="s">
        <v>47</v>
      </c>
      <c r="J1984" t="s">
        <v>89</v>
      </c>
    </row>
    <row r="1985" spans="1:10" x14ac:dyDescent="0.35">
      <c r="A1985" t="s">
        <v>2167</v>
      </c>
      <c r="B1985" s="10">
        <v>46017</v>
      </c>
      <c r="C1985" t="s">
        <v>130</v>
      </c>
      <c r="D1985" t="s">
        <v>12</v>
      </c>
      <c r="E1985" t="s">
        <v>26</v>
      </c>
      <c r="F1985" t="s">
        <v>14</v>
      </c>
      <c r="G1985">
        <v>22.06</v>
      </c>
      <c r="H1985" t="s">
        <v>15</v>
      </c>
      <c r="I1985" t="s">
        <v>84</v>
      </c>
      <c r="J1985" t="s">
        <v>48</v>
      </c>
    </row>
    <row r="1986" spans="1:10" x14ac:dyDescent="0.35">
      <c r="A1986" t="s">
        <v>2168</v>
      </c>
      <c r="B1986" s="10">
        <v>46017</v>
      </c>
      <c r="C1986" t="s">
        <v>464</v>
      </c>
      <c r="D1986" t="s">
        <v>34</v>
      </c>
      <c r="E1986" t="s">
        <v>122</v>
      </c>
      <c r="F1986" t="s">
        <v>14</v>
      </c>
      <c r="G1986">
        <v>205.88</v>
      </c>
      <c r="H1986" t="s">
        <v>15</v>
      </c>
      <c r="I1986" t="s">
        <v>36</v>
      </c>
      <c r="J1986" t="s">
        <v>239</v>
      </c>
    </row>
    <row r="1987" spans="1:10" x14ac:dyDescent="0.35">
      <c r="A1987" t="s">
        <v>2169</v>
      </c>
      <c r="B1987" s="10">
        <v>46017</v>
      </c>
      <c r="C1987" t="s">
        <v>168</v>
      </c>
      <c r="D1987" t="s">
        <v>59</v>
      </c>
      <c r="E1987" t="s">
        <v>60</v>
      </c>
      <c r="F1987" t="s">
        <v>14</v>
      </c>
      <c r="G1987">
        <v>625.55999999999995</v>
      </c>
      <c r="H1987" t="s">
        <v>21</v>
      </c>
      <c r="I1987" t="s">
        <v>16</v>
      </c>
      <c r="J1987" t="s">
        <v>170</v>
      </c>
    </row>
    <row r="1988" spans="1:10" x14ac:dyDescent="0.35">
      <c r="A1988" t="s">
        <v>2170</v>
      </c>
      <c r="B1988" s="10">
        <v>46017</v>
      </c>
      <c r="C1988" t="s">
        <v>111</v>
      </c>
      <c r="D1988" t="s">
        <v>12</v>
      </c>
      <c r="E1988" t="s">
        <v>26</v>
      </c>
      <c r="F1988" t="s">
        <v>14</v>
      </c>
      <c r="G1988">
        <v>93.31</v>
      </c>
      <c r="H1988" t="s">
        <v>15</v>
      </c>
      <c r="I1988" t="s">
        <v>22</v>
      </c>
      <c r="J1988" t="s">
        <v>23</v>
      </c>
    </row>
    <row r="1989" spans="1:10" x14ac:dyDescent="0.35">
      <c r="A1989" t="s">
        <v>2171</v>
      </c>
      <c r="B1989" s="10">
        <v>46017</v>
      </c>
      <c r="C1989" t="s">
        <v>73</v>
      </c>
      <c r="D1989" t="s">
        <v>54</v>
      </c>
      <c r="E1989" t="s">
        <v>74</v>
      </c>
      <c r="F1989" t="s">
        <v>54</v>
      </c>
      <c r="G1989">
        <v>2684.29</v>
      </c>
      <c r="H1989" t="s">
        <v>15</v>
      </c>
      <c r="I1989" t="s">
        <v>22</v>
      </c>
      <c r="J1989" t="s">
        <v>65</v>
      </c>
    </row>
    <row r="1990" spans="1:10" x14ac:dyDescent="0.35">
      <c r="A1990" t="s">
        <v>2172</v>
      </c>
      <c r="B1990" s="10">
        <v>46018</v>
      </c>
      <c r="C1990" t="s">
        <v>125</v>
      </c>
      <c r="D1990" t="s">
        <v>12</v>
      </c>
      <c r="E1990" t="s">
        <v>13</v>
      </c>
      <c r="F1990" t="s">
        <v>14</v>
      </c>
      <c r="G1990">
        <v>31.37</v>
      </c>
      <c r="H1990" t="s">
        <v>15</v>
      </c>
      <c r="I1990" t="s">
        <v>22</v>
      </c>
      <c r="J1990" t="s">
        <v>44</v>
      </c>
    </row>
    <row r="1991" spans="1:10" x14ac:dyDescent="0.35">
      <c r="A1991" t="s">
        <v>2173</v>
      </c>
      <c r="B1991" s="10">
        <v>46018</v>
      </c>
      <c r="C1991" t="s">
        <v>272</v>
      </c>
      <c r="D1991" t="s">
        <v>54</v>
      </c>
      <c r="E1991" t="s">
        <v>55</v>
      </c>
      <c r="F1991" t="s">
        <v>54</v>
      </c>
      <c r="G1991">
        <v>716.02</v>
      </c>
      <c r="H1991" t="s">
        <v>98</v>
      </c>
      <c r="I1991" t="s">
        <v>22</v>
      </c>
      <c r="J1991" t="s">
        <v>65</v>
      </c>
    </row>
    <row r="1992" spans="1:10" x14ac:dyDescent="0.35">
      <c r="A1992" t="s">
        <v>2174</v>
      </c>
      <c r="B1992" s="10">
        <v>46018</v>
      </c>
      <c r="C1992" t="s">
        <v>73</v>
      </c>
      <c r="D1992" t="s">
        <v>54</v>
      </c>
      <c r="E1992" t="s">
        <v>74</v>
      </c>
      <c r="F1992" t="s">
        <v>54</v>
      </c>
      <c r="G1992">
        <v>2564.61</v>
      </c>
      <c r="H1992" t="s">
        <v>15</v>
      </c>
      <c r="I1992" t="s">
        <v>16</v>
      </c>
      <c r="J1992" t="s">
        <v>65</v>
      </c>
    </row>
    <row r="1993" spans="1:10" x14ac:dyDescent="0.35">
      <c r="A1993" t="s">
        <v>2175</v>
      </c>
      <c r="B1993" s="10">
        <v>46018</v>
      </c>
      <c r="C1993" t="s">
        <v>262</v>
      </c>
      <c r="D1993" t="s">
        <v>101</v>
      </c>
      <c r="E1993" t="s">
        <v>244</v>
      </c>
      <c r="F1993" t="s">
        <v>14</v>
      </c>
      <c r="G1993">
        <v>19.940000000000001</v>
      </c>
      <c r="H1993" t="s">
        <v>21</v>
      </c>
      <c r="I1993" t="s">
        <v>22</v>
      </c>
      <c r="J1993" t="s">
        <v>136</v>
      </c>
    </row>
    <row r="1994" spans="1:10" x14ac:dyDescent="0.35">
      <c r="A1994" t="s">
        <v>2176</v>
      </c>
      <c r="B1994" s="10">
        <v>46018</v>
      </c>
      <c r="C1994" t="s">
        <v>33</v>
      </c>
      <c r="D1994" t="s">
        <v>34</v>
      </c>
      <c r="E1994" t="s">
        <v>35</v>
      </c>
      <c r="F1994" t="s">
        <v>14</v>
      </c>
      <c r="G1994">
        <v>192.96</v>
      </c>
      <c r="H1994" t="s">
        <v>15</v>
      </c>
      <c r="I1994" t="s">
        <v>22</v>
      </c>
      <c r="J1994" t="s">
        <v>37</v>
      </c>
    </row>
    <row r="1995" spans="1:10" x14ac:dyDescent="0.35">
      <c r="A1995" t="s">
        <v>2177</v>
      </c>
      <c r="B1995" s="10">
        <v>46018</v>
      </c>
      <c r="C1995" t="s">
        <v>192</v>
      </c>
      <c r="D1995" t="s">
        <v>80</v>
      </c>
      <c r="E1995" t="s">
        <v>92</v>
      </c>
      <c r="F1995" t="s">
        <v>14</v>
      </c>
      <c r="G1995">
        <v>40.58</v>
      </c>
      <c r="H1995" t="s">
        <v>98</v>
      </c>
      <c r="I1995" t="s">
        <v>16</v>
      </c>
      <c r="J1995" t="s">
        <v>180</v>
      </c>
    </row>
    <row r="1996" spans="1:10" x14ac:dyDescent="0.35">
      <c r="A1996" t="s">
        <v>2178</v>
      </c>
      <c r="B1996" s="10">
        <v>46018</v>
      </c>
      <c r="C1996" t="s">
        <v>424</v>
      </c>
      <c r="D1996" t="s">
        <v>101</v>
      </c>
      <c r="E1996" t="s">
        <v>136</v>
      </c>
      <c r="F1996" t="s">
        <v>14</v>
      </c>
      <c r="G1996">
        <v>93.69</v>
      </c>
      <c r="H1996" t="s">
        <v>15</v>
      </c>
      <c r="I1996" t="s">
        <v>22</v>
      </c>
      <c r="J1996" t="s">
        <v>102</v>
      </c>
    </row>
    <row r="1997" spans="1:10" x14ac:dyDescent="0.35">
      <c r="A1997" t="s">
        <v>2179</v>
      </c>
      <c r="B1997" s="10">
        <v>46019</v>
      </c>
      <c r="C1997" t="s">
        <v>177</v>
      </c>
      <c r="D1997" t="s">
        <v>54</v>
      </c>
      <c r="E1997" t="s">
        <v>74</v>
      </c>
      <c r="F1997" t="s">
        <v>54</v>
      </c>
      <c r="G1997">
        <v>1647.76</v>
      </c>
      <c r="H1997" t="s">
        <v>15</v>
      </c>
      <c r="I1997" t="s">
        <v>16</v>
      </c>
      <c r="J1997" t="s">
        <v>56</v>
      </c>
    </row>
    <row r="1998" spans="1:10" x14ac:dyDescent="0.35">
      <c r="A1998" t="s">
        <v>2180</v>
      </c>
      <c r="B1998" s="10">
        <v>46019</v>
      </c>
      <c r="C1998" t="s">
        <v>308</v>
      </c>
      <c r="D1998" t="s">
        <v>54</v>
      </c>
      <c r="E1998" t="s">
        <v>64</v>
      </c>
      <c r="F1998" t="s">
        <v>54</v>
      </c>
      <c r="G1998">
        <v>374.31</v>
      </c>
      <c r="H1998" t="s">
        <v>15</v>
      </c>
      <c r="I1998" t="s">
        <v>16</v>
      </c>
      <c r="J1998" t="s">
        <v>89</v>
      </c>
    </row>
    <row r="1999" spans="1:10" x14ac:dyDescent="0.35">
      <c r="A1999" t="s">
        <v>2181</v>
      </c>
      <c r="B1999" s="10">
        <v>46019</v>
      </c>
      <c r="C1999" t="s">
        <v>272</v>
      </c>
      <c r="D1999" t="s">
        <v>54</v>
      </c>
      <c r="E1999" t="s">
        <v>55</v>
      </c>
      <c r="F1999" t="s">
        <v>54</v>
      </c>
      <c r="G1999">
        <v>587.46</v>
      </c>
      <c r="H1999" t="s">
        <v>21</v>
      </c>
      <c r="I1999" t="s">
        <v>36</v>
      </c>
      <c r="J1999" t="s">
        <v>65</v>
      </c>
    </row>
    <row r="2000" spans="1:10" x14ac:dyDescent="0.35">
      <c r="A2000" t="s">
        <v>2182</v>
      </c>
      <c r="B2000" s="10">
        <v>46019</v>
      </c>
      <c r="C2000" t="s">
        <v>155</v>
      </c>
      <c r="D2000" t="s">
        <v>12</v>
      </c>
      <c r="E2000" t="s">
        <v>51</v>
      </c>
      <c r="F2000" t="s">
        <v>14</v>
      </c>
      <c r="G2000">
        <v>27.52</v>
      </c>
      <c r="H2000" t="s">
        <v>21</v>
      </c>
      <c r="I2000" t="s">
        <v>22</v>
      </c>
      <c r="J2000" t="s">
        <v>48</v>
      </c>
    </row>
    <row r="2001" spans="1:10" x14ac:dyDescent="0.35">
      <c r="A2001" t="s">
        <v>2183</v>
      </c>
      <c r="B2001" s="10">
        <v>46020</v>
      </c>
      <c r="C2001" t="s">
        <v>121</v>
      </c>
      <c r="D2001" t="s">
        <v>34</v>
      </c>
      <c r="E2001" t="s">
        <v>122</v>
      </c>
      <c r="F2001" t="s">
        <v>14</v>
      </c>
      <c r="G2001">
        <v>168.16</v>
      </c>
      <c r="H2001" t="s">
        <v>21</v>
      </c>
      <c r="I2001" t="s">
        <v>84</v>
      </c>
      <c r="J2001" t="s">
        <v>123</v>
      </c>
    </row>
    <row r="2002" spans="1:10" x14ac:dyDescent="0.35">
      <c r="A2002" t="s">
        <v>2184</v>
      </c>
      <c r="B2002" s="10">
        <v>46020</v>
      </c>
      <c r="C2002" t="s">
        <v>113</v>
      </c>
      <c r="D2002" t="s">
        <v>34</v>
      </c>
      <c r="E2002" t="s">
        <v>40</v>
      </c>
      <c r="F2002" t="s">
        <v>14</v>
      </c>
      <c r="G2002">
        <v>173.84</v>
      </c>
      <c r="H2002" t="s">
        <v>98</v>
      </c>
      <c r="I2002" t="s">
        <v>36</v>
      </c>
      <c r="J2002" t="s">
        <v>37</v>
      </c>
    </row>
    <row r="2003" spans="1:10" x14ac:dyDescent="0.35">
      <c r="A2003" t="s">
        <v>2185</v>
      </c>
      <c r="B2003" s="10">
        <v>46020</v>
      </c>
      <c r="C2003" t="s">
        <v>11</v>
      </c>
      <c r="D2003" t="s">
        <v>12</v>
      </c>
      <c r="E2003" t="s">
        <v>13</v>
      </c>
      <c r="F2003" t="s">
        <v>14</v>
      </c>
      <c r="G2003">
        <v>52.53</v>
      </c>
      <c r="H2003" t="s">
        <v>15</v>
      </c>
      <c r="I2003" t="s">
        <v>36</v>
      </c>
      <c r="J2003" t="s">
        <v>17</v>
      </c>
    </row>
    <row r="2004" spans="1:10" x14ac:dyDescent="0.35">
      <c r="A2004" t="s">
        <v>2186</v>
      </c>
      <c r="B2004" s="10">
        <v>46020</v>
      </c>
      <c r="C2004" t="s">
        <v>215</v>
      </c>
      <c r="D2004" t="s">
        <v>80</v>
      </c>
      <c r="E2004" t="s">
        <v>117</v>
      </c>
      <c r="F2004" t="s">
        <v>14</v>
      </c>
      <c r="G2004">
        <v>45.32</v>
      </c>
      <c r="H2004" t="s">
        <v>98</v>
      </c>
      <c r="I2004" t="s">
        <v>22</v>
      </c>
      <c r="J2004" t="s">
        <v>141</v>
      </c>
    </row>
    <row r="2005" spans="1:10" x14ac:dyDescent="0.35">
      <c r="A2005" t="s">
        <v>2187</v>
      </c>
      <c r="B2005" s="10">
        <v>46021</v>
      </c>
      <c r="C2005" t="s">
        <v>204</v>
      </c>
      <c r="D2005" t="s">
        <v>12</v>
      </c>
      <c r="E2005" t="s">
        <v>51</v>
      </c>
      <c r="F2005" t="s">
        <v>14</v>
      </c>
      <c r="G2005">
        <v>53.54</v>
      </c>
      <c r="H2005" t="s">
        <v>15</v>
      </c>
      <c r="I2005" t="s">
        <v>22</v>
      </c>
      <c r="J2005" t="s">
        <v>23</v>
      </c>
    </row>
    <row r="2006" spans="1:10" x14ac:dyDescent="0.35">
      <c r="A2006" t="s">
        <v>2188</v>
      </c>
      <c r="B2006" s="10">
        <v>46021</v>
      </c>
      <c r="C2006" t="s">
        <v>153</v>
      </c>
      <c r="D2006" t="s">
        <v>34</v>
      </c>
      <c r="E2006" t="s">
        <v>122</v>
      </c>
      <c r="F2006" t="s">
        <v>14</v>
      </c>
      <c r="G2006">
        <v>45.99</v>
      </c>
      <c r="H2006" t="s">
        <v>15</v>
      </c>
      <c r="I2006" t="s">
        <v>36</v>
      </c>
      <c r="J2006" t="s">
        <v>41</v>
      </c>
    </row>
    <row r="2007" spans="1:10" x14ac:dyDescent="0.35">
      <c r="A2007" t="s">
        <v>2189</v>
      </c>
      <c r="B2007" s="10">
        <v>46021</v>
      </c>
      <c r="C2007" t="s">
        <v>140</v>
      </c>
      <c r="D2007" t="s">
        <v>80</v>
      </c>
      <c r="E2007" t="s">
        <v>81</v>
      </c>
      <c r="F2007" t="s">
        <v>14</v>
      </c>
      <c r="G2007">
        <v>45.23</v>
      </c>
      <c r="H2007" t="s">
        <v>15</v>
      </c>
      <c r="I2007" t="s">
        <v>47</v>
      </c>
      <c r="J2007" t="s">
        <v>141</v>
      </c>
    </row>
    <row r="2008" spans="1:10" x14ac:dyDescent="0.35">
      <c r="A2008" t="s">
        <v>2190</v>
      </c>
      <c r="B2008" s="10">
        <v>46021</v>
      </c>
      <c r="C2008" t="s">
        <v>253</v>
      </c>
      <c r="D2008" t="s">
        <v>29</v>
      </c>
      <c r="E2008" t="s">
        <v>30</v>
      </c>
      <c r="F2008" t="s">
        <v>14</v>
      </c>
      <c r="G2008">
        <v>69.260000000000005</v>
      </c>
      <c r="H2008" t="s">
        <v>15</v>
      </c>
      <c r="I2008" t="s">
        <v>36</v>
      </c>
      <c r="J2008" t="s">
        <v>158</v>
      </c>
    </row>
    <row r="2009" spans="1:10" x14ac:dyDescent="0.35">
      <c r="A2009" t="s">
        <v>2191</v>
      </c>
      <c r="B2009" s="10">
        <v>46022</v>
      </c>
      <c r="C2009" t="s">
        <v>308</v>
      </c>
      <c r="D2009" t="s">
        <v>54</v>
      </c>
      <c r="E2009" t="s">
        <v>64</v>
      </c>
      <c r="F2009" t="s">
        <v>54</v>
      </c>
      <c r="G2009">
        <v>384.76</v>
      </c>
      <c r="H2009" t="s">
        <v>15</v>
      </c>
      <c r="I2009" t="s">
        <v>16</v>
      </c>
      <c r="J2009" t="s">
        <v>89</v>
      </c>
    </row>
    <row r="2010" spans="1:10" x14ac:dyDescent="0.35">
      <c r="A2010" t="s">
        <v>2192</v>
      </c>
      <c r="B2010" s="10">
        <v>46022</v>
      </c>
      <c r="C2010" t="s">
        <v>298</v>
      </c>
      <c r="D2010" t="s">
        <v>59</v>
      </c>
      <c r="E2010" t="s">
        <v>185</v>
      </c>
      <c r="F2010" t="s">
        <v>14</v>
      </c>
      <c r="G2010">
        <v>503.94</v>
      </c>
      <c r="H2010" t="s">
        <v>15</v>
      </c>
      <c r="I2010" t="s">
        <v>22</v>
      </c>
      <c r="J2010" t="s">
        <v>170</v>
      </c>
    </row>
    <row r="2011" spans="1:10" x14ac:dyDescent="0.35">
      <c r="A2011" t="s">
        <v>2193</v>
      </c>
      <c r="B2011" s="10">
        <v>46022</v>
      </c>
      <c r="C2011" t="s">
        <v>140</v>
      </c>
      <c r="D2011" t="s">
        <v>80</v>
      </c>
      <c r="E2011" t="s">
        <v>81</v>
      </c>
      <c r="F2011" t="s">
        <v>14</v>
      </c>
      <c r="G2011">
        <v>143.99</v>
      </c>
      <c r="H2011" t="s">
        <v>15</v>
      </c>
      <c r="I2011" t="s">
        <v>22</v>
      </c>
      <c r="J2011" t="s">
        <v>141</v>
      </c>
    </row>
    <row r="2012" spans="1:10" x14ac:dyDescent="0.35">
      <c r="A2012" t="s">
        <v>2194</v>
      </c>
      <c r="B2012" s="10">
        <v>46022</v>
      </c>
      <c r="C2012" t="s">
        <v>281</v>
      </c>
      <c r="D2012" t="s">
        <v>34</v>
      </c>
      <c r="E2012" t="s">
        <v>40</v>
      </c>
      <c r="F2012" t="s">
        <v>14</v>
      </c>
      <c r="G2012">
        <v>320.29000000000002</v>
      </c>
      <c r="H2012" t="s">
        <v>15</v>
      </c>
      <c r="I2012" t="s">
        <v>22</v>
      </c>
      <c r="J2012" t="s">
        <v>123</v>
      </c>
    </row>
    <row r="2013" spans="1:10" x14ac:dyDescent="0.35">
      <c r="A2013" t="s">
        <v>2195</v>
      </c>
      <c r="B2013" s="10">
        <v>46022</v>
      </c>
      <c r="C2013" t="s">
        <v>232</v>
      </c>
      <c r="D2013" t="s">
        <v>69</v>
      </c>
      <c r="E2013" t="s">
        <v>233</v>
      </c>
      <c r="F2013" t="s">
        <v>14</v>
      </c>
      <c r="G2013">
        <v>673.17</v>
      </c>
      <c r="H2013" t="s">
        <v>15</v>
      </c>
      <c r="I2013" t="s">
        <v>16</v>
      </c>
      <c r="J2013" t="s">
        <v>71</v>
      </c>
    </row>
    <row r="2014" spans="1:10" x14ac:dyDescent="0.35">
      <c r="A2014" t="s">
        <v>2196</v>
      </c>
      <c r="B2014" s="10">
        <v>46023</v>
      </c>
      <c r="C2014" t="s">
        <v>347</v>
      </c>
      <c r="D2014" t="s">
        <v>29</v>
      </c>
      <c r="E2014" t="s">
        <v>151</v>
      </c>
      <c r="F2014" t="s">
        <v>14</v>
      </c>
      <c r="G2014">
        <v>32.340000000000003</v>
      </c>
      <c r="H2014" t="s">
        <v>15</v>
      </c>
      <c r="I2014" t="s">
        <v>47</v>
      </c>
      <c r="J2014" t="s">
        <v>96</v>
      </c>
    </row>
    <row r="2015" spans="1:10" x14ac:dyDescent="0.35">
      <c r="A2015" t="s">
        <v>2197</v>
      </c>
      <c r="B2015" s="10">
        <v>46023</v>
      </c>
      <c r="C2015" t="s">
        <v>308</v>
      </c>
      <c r="D2015" t="s">
        <v>54</v>
      </c>
      <c r="E2015" t="s">
        <v>64</v>
      </c>
      <c r="F2015" t="s">
        <v>54</v>
      </c>
      <c r="G2015">
        <v>385.61</v>
      </c>
      <c r="H2015" t="s">
        <v>21</v>
      </c>
      <c r="I2015" t="s">
        <v>16</v>
      </c>
      <c r="J2015" t="s">
        <v>89</v>
      </c>
    </row>
    <row r="2016" spans="1:10" x14ac:dyDescent="0.35">
      <c r="A2016" t="s">
        <v>2198</v>
      </c>
      <c r="B2016" s="10">
        <v>46023</v>
      </c>
      <c r="C2016" t="s">
        <v>415</v>
      </c>
      <c r="D2016" t="s">
        <v>12</v>
      </c>
      <c r="E2016" t="s">
        <v>51</v>
      </c>
      <c r="F2016" t="s">
        <v>14</v>
      </c>
      <c r="G2016">
        <v>56.43</v>
      </c>
      <c r="H2016" t="s">
        <v>15</v>
      </c>
      <c r="I2016" t="s">
        <v>22</v>
      </c>
      <c r="J2016" t="s">
        <v>77</v>
      </c>
    </row>
    <row r="2017" spans="1:10" x14ac:dyDescent="0.35">
      <c r="A2017" t="s">
        <v>2199</v>
      </c>
      <c r="B2017" s="10">
        <v>46023</v>
      </c>
      <c r="C2017" t="s">
        <v>192</v>
      </c>
      <c r="D2017" t="s">
        <v>80</v>
      </c>
      <c r="E2017" t="s">
        <v>92</v>
      </c>
      <c r="F2017" t="s">
        <v>14</v>
      </c>
      <c r="G2017">
        <v>225.54</v>
      </c>
      <c r="H2017" t="s">
        <v>21</v>
      </c>
      <c r="I2017" t="s">
        <v>22</v>
      </c>
      <c r="J2017" t="s">
        <v>180</v>
      </c>
    </row>
    <row r="2018" spans="1:10" x14ac:dyDescent="0.35">
      <c r="A2018" t="s">
        <v>2200</v>
      </c>
      <c r="B2018" s="10">
        <v>46023</v>
      </c>
      <c r="C2018" t="s">
        <v>227</v>
      </c>
      <c r="D2018" t="s">
        <v>12</v>
      </c>
      <c r="E2018" t="s">
        <v>51</v>
      </c>
      <c r="F2018" t="s">
        <v>14</v>
      </c>
      <c r="G2018">
        <v>50.31</v>
      </c>
      <c r="H2018" t="s">
        <v>15</v>
      </c>
      <c r="I2018" t="s">
        <v>47</v>
      </c>
      <c r="J2018" t="s">
        <v>17</v>
      </c>
    </row>
    <row r="2019" spans="1:10" x14ac:dyDescent="0.35">
      <c r="A2019" t="s">
        <v>2201</v>
      </c>
      <c r="B2019" s="10">
        <v>46023</v>
      </c>
      <c r="C2019" t="s">
        <v>11</v>
      </c>
      <c r="D2019" t="s">
        <v>12</v>
      </c>
      <c r="E2019" t="s">
        <v>13</v>
      </c>
      <c r="F2019" t="s">
        <v>14</v>
      </c>
      <c r="G2019">
        <v>30.73</v>
      </c>
      <c r="H2019" t="s">
        <v>21</v>
      </c>
      <c r="I2019" t="s">
        <v>36</v>
      </c>
      <c r="J2019" t="s">
        <v>17</v>
      </c>
    </row>
    <row r="2020" spans="1:10" x14ac:dyDescent="0.35">
      <c r="A2020" t="s">
        <v>2203</v>
      </c>
      <c r="B2020" s="10">
        <v>46023</v>
      </c>
      <c r="C2020" t="s">
        <v>160</v>
      </c>
      <c r="D2020" t="s">
        <v>80</v>
      </c>
      <c r="E2020" t="s">
        <v>117</v>
      </c>
      <c r="F2020" t="s">
        <v>14</v>
      </c>
      <c r="G2020">
        <v>31.95</v>
      </c>
      <c r="H2020" t="s">
        <v>15</v>
      </c>
      <c r="I2020" t="s">
        <v>84</v>
      </c>
      <c r="J2020" t="s">
        <v>161</v>
      </c>
    </row>
    <row r="2021" spans="1:10" x14ac:dyDescent="0.35">
      <c r="A2021" t="s">
        <v>2204</v>
      </c>
      <c r="B2021" s="10">
        <v>46024</v>
      </c>
      <c r="C2021" t="s">
        <v>308</v>
      </c>
      <c r="D2021" t="s">
        <v>54</v>
      </c>
      <c r="E2021" t="s">
        <v>64</v>
      </c>
      <c r="F2021" t="s">
        <v>54</v>
      </c>
      <c r="G2021">
        <v>333.71</v>
      </c>
      <c r="H2021" t="s">
        <v>21</v>
      </c>
      <c r="I2021" t="s">
        <v>36</v>
      </c>
      <c r="J2021" t="s">
        <v>89</v>
      </c>
    </row>
    <row r="2022" spans="1:10" x14ac:dyDescent="0.35">
      <c r="A2022" t="s">
        <v>2205</v>
      </c>
      <c r="B2022" s="10">
        <v>46024</v>
      </c>
      <c r="C2022" t="s">
        <v>345</v>
      </c>
      <c r="D2022" t="s">
        <v>59</v>
      </c>
      <c r="E2022" t="s">
        <v>60</v>
      </c>
      <c r="F2022" t="s">
        <v>14</v>
      </c>
      <c r="G2022">
        <v>193.28</v>
      </c>
      <c r="H2022" t="s">
        <v>15</v>
      </c>
      <c r="I2022" t="s">
        <v>16</v>
      </c>
      <c r="J2022" t="s">
        <v>211</v>
      </c>
    </row>
    <row r="2023" spans="1:10" x14ac:dyDescent="0.35">
      <c r="A2023" t="s">
        <v>2206</v>
      </c>
      <c r="B2023" s="10">
        <v>46024</v>
      </c>
      <c r="C2023" t="s">
        <v>88</v>
      </c>
      <c r="D2023" t="s">
        <v>54</v>
      </c>
      <c r="E2023" t="s">
        <v>74</v>
      </c>
      <c r="F2023" t="s">
        <v>54</v>
      </c>
      <c r="G2023">
        <v>2858.71</v>
      </c>
      <c r="H2023" t="s">
        <v>15</v>
      </c>
      <c r="I2023" t="s">
        <v>47</v>
      </c>
      <c r="J2023" t="s">
        <v>89</v>
      </c>
    </row>
    <row r="2024" spans="1:10" x14ac:dyDescent="0.35">
      <c r="A2024" t="s">
        <v>2207</v>
      </c>
      <c r="B2024" s="10">
        <v>46024</v>
      </c>
      <c r="C2024" t="s">
        <v>88</v>
      </c>
      <c r="D2024" t="s">
        <v>54</v>
      </c>
      <c r="E2024" t="s">
        <v>74</v>
      </c>
      <c r="F2024" t="s">
        <v>54</v>
      </c>
      <c r="G2024">
        <v>2298.73</v>
      </c>
      <c r="H2024" t="s">
        <v>15</v>
      </c>
      <c r="I2024" t="s">
        <v>36</v>
      </c>
      <c r="J2024" t="s">
        <v>89</v>
      </c>
    </row>
    <row r="2025" spans="1:10" x14ac:dyDescent="0.35">
      <c r="A2025" t="s">
        <v>2208</v>
      </c>
      <c r="B2025" s="10">
        <v>46024</v>
      </c>
      <c r="C2025" t="s">
        <v>210</v>
      </c>
      <c r="D2025" t="s">
        <v>59</v>
      </c>
      <c r="E2025" t="s">
        <v>185</v>
      </c>
      <c r="F2025" t="s">
        <v>14</v>
      </c>
      <c r="G2025">
        <v>136.52000000000001</v>
      </c>
      <c r="H2025" t="s">
        <v>15</v>
      </c>
      <c r="I2025" t="s">
        <v>47</v>
      </c>
      <c r="J2025" t="s">
        <v>211</v>
      </c>
    </row>
    <row r="2026" spans="1:10" x14ac:dyDescent="0.35">
      <c r="A2026" t="s">
        <v>2209</v>
      </c>
      <c r="B2026" s="10">
        <v>46024</v>
      </c>
      <c r="C2026" t="s">
        <v>43</v>
      </c>
      <c r="D2026" t="s">
        <v>12</v>
      </c>
      <c r="E2026" t="s">
        <v>26</v>
      </c>
      <c r="F2026" t="s">
        <v>14</v>
      </c>
      <c r="G2026">
        <v>57.04</v>
      </c>
      <c r="H2026" t="s">
        <v>15</v>
      </c>
      <c r="I2026" t="s">
        <v>22</v>
      </c>
      <c r="J2026" t="s">
        <v>44</v>
      </c>
    </row>
    <row r="2027" spans="1:10" x14ac:dyDescent="0.35">
      <c r="A2027" t="s">
        <v>2210</v>
      </c>
      <c r="B2027" s="10">
        <v>46024</v>
      </c>
      <c r="C2027" t="s">
        <v>395</v>
      </c>
      <c r="D2027" t="s">
        <v>69</v>
      </c>
      <c r="E2027" t="s">
        <v>291</v>
      </c>
      <c r="F2027" t="s">
        <v>14</v>
      </c>
      <c r="G2027">
        <v>261.37</v>
      </c>
      <c r="H2027" t="s">
        <v>15</v>
      </c>
      <c r="I2027" t="s">
        <v>47</v>
      </c>
      <c r="J2027" t="s">
        <v>396</v>
      </c>
    </row>
    <row r="2028" spans="1:10" x14ac:dyDescent="0.35">
      <c r="A2028" t="s">
        <v>2211</v>
      </c>
      <c r="B2028" s="10">
        <v>46024</v>
      </c>
      <c r="C2028" t="s">
        <v>238</v>
      </c>
      <c r="D2028" t="s">
        <v>34</v>
      </c>
      <c r="E2028" t="s">
        <v>35</v>
      </c>
      <c r="F2028" t="s">
        <v>14</v>
      </c>
      <c r="G2028">
        <v>38.630000000000003</v>
      </c>
      <c r="H2028" t="s">
        <v>21</v>
      </c>
      <c r="I2028" t="s">
        <v>16</v>
      </c>
      <c r="J2028" t="s">
        <v>239</v>
      </c>
    </row>
    <row r="2029" spans="1:10" x14ac:dyDescent="0.35">
      <c r="A2029" t="s">
        <v>2212</v>
      </c>
      <c r="B2029" s="10">
        <v>46025</v>
      </c>
      <c r="C2029" t="s">
        <v>168</v>
      </c>
      <c r="D2029" t="s">
        <v>59</v>
      </c>
      <c r="E2029" t="s">
        <v>60</v>
      </c>
      <c r="F2029" t="s">
        <v>14</v>
      </c>
      <c r="G2029">
        <v>454.61</v>
      </c>
      <c r="H2029" t="s">
        <v>21</v>
      </c>
      <c r="I2029" t="s">
        <v>22</v>
      </c>
      <c r="J2029" t="s">
        <v>170</v>
      </c>
    </row>
    <row r="2030" spans="1:10" x14ac:dyDescent="0.35">
      <c r="A2030" t="s">
        <v>2213</v>
      </c>
      <c r="B2030" s="10">
        <v>46025</v>
      </c>
      <c r="C2030" t="s">
        <v>227</v>
      </c>
      <c r="D2030" t="s">
        <v>12</v>
      </c>
      <c r="E2030" t="s">
        <v>51</v>
      </c>
      <c r="F2030" t="s">
        <v>14</v>
      </c>
      <c r="G2030">
        <v>107.72</v>
      </c>
      <c r="H2030" t="s">
        <v>15</v>
      </c>
      <c r="I2030" t="s">
        <v>36</v>
      </c>
      <c r="J2030" t="s">
        <v>17</v>
      </c>
    </row>
    <row r="2031" spans="1:10" x14ac:dyDescent="0.35">
      <c r="A2031" t="s">
        <v>2214</v>
      </c>
      <c r="B2031" s="10">
        <v>46025</v>
      </c>
      <c r="C2031" t="s">
        <v>155</v>
      </c>
      <c r="D2031" t="s">
        <v>12</v>
      </c>
      <c r="E2031" t="s">
        <v>51</v>
      </c>
      <c r="F2031" t="s">
        <v>14</v>
      </c>
      <c r="G2031">
        <v>63.18</v>
      </c>
      <c r="H2031" t="s">
        <v>15</v>
      </c>
      <c r="I2031" t="s">
        <v>36</v>
      </c>
      <c r="J2031" t="s">
        <v>48</v>
      </c>
    </row>
    <row r="2032" spans="1:10" x14ac:dyDescent="0.35">
      <c r="A2032" t="s">
        <v>2215</v>
      </c>
      <c r="B2032" s="10">
        <v>46025</v>
      </c>
      <c r="C2032" t="s">
        <v>43</v>
      </c>
      <c r="D2032" t="s">
        <v>12</v>
      </c>
      <c r="E2032" t="s">
        <v>26</v>
      </c>
      <c r="F2032" t="s">
        <v>14</v>
      </c>
      <c r="G2032">
        <v>74.44</v>
      </c>
      <c r="H2032" t="s">
        <v>15</v>
      </c>
      <c r="I2032" t="s">
        <v>22</v>
      </c>
      <c r="J2032" t="s">
        <v>44</v>
      </c>
    </row>
    <row r="2033" spans="1:10" x14ac:dyDescent="0.35">
      <c r="A2033" t="s">
        <v>2216</v>
      </c>
      <c r="B2033" s="10">
        <v>46025</v>
      </c>
      <c r="C2033" t="s">
        <v>206</v>
      </c>
      <c r="D2033" t="s">
        <v>29</v>
      </c>
      <c r="E2033" t="s">
        <v>95</v>
      </c>
      <c r="F2033" t="s">
        <v>14</v>
      </c>
      <c r="G2033">
        <v>8.31</v>
      </c>
      <c r="H2033" t="s">
        <v>21</v>
      </c>
      <c r="I2033" t="s">
        <v>36</v>
      </c>
      <c r="J2033" t="s">
        <v>31</v>
      </c>
    </row>
    <row r="2034" spans="1:10" x14ac:dyDescent="0.35">
      <c r="A2034" t="s">
        <v>2217</v>
      </c>
      <c r="B2034" s="10">
        <v>46025</v>
      </c>
      <c r="C2034" t="s">
        <v>58</v>
      </c>
      <c r="D2034" t="s">
        <v>59</v>
      </c>
      <c r="E2034" t="s">
        <v>60</v>
      </c>
      <c r="F2034" t="s">
        <v>14</v>
      </c>
      <c r="G2034">
        <v>950</v>
      </c>
      <c r="H2034" t="s">
        <v>21</v>
      </c>
      <c r="I2034" t="s">
        <v>84</v>
      </c>
      <c r="J2034" t="s">
        <v>61</v>
      </c>
    </row>
    <row r="2035" spans="1:10" x14ac:dyDescent="0.35">
      <c r="A2035" t="s">
        <v>2218</v>
      </c>
      <c r="B2035" s="10">
        <v>46025</v>
      </c>
      <c r="C2035" t="s">
        <v>204</v>
      </c>
      <c r="D2035" t="s">
        <v>12</v>
      </c>
      <c r="E2035" t="s">
        <v>51</v>
      </c>
      <c r="F2035" t="s">
        <v>14</v>
      </c>
      <c r="G2035">
        <v>23.72</v>
      </c>
      <c r="H2035" t="s">
        <v>21</v>
      </c>
      <c r="I2035" t="s">
        <v>22</v>
      </c>
      <c r="J2035" t="s">
        <v>23</v>
      </c>
    </row>
    <row r="2036" spans="1:10" x14ac:dyDescent="0.35">
      <c r="A2036" t="s">
        <v>2219</v>
      </c>
      <c r="B2036" s="10">
        <v>46025</v>
      </c>
      <c r="C2036" t="s">
        <v>43</v>
      </c>
      <c r="D2036" t="s">
        <v>12</v>
      </c>
      <c r="E2036" t="s">
        <v>26</v>
      </c>
      <c r="F2036" t="s">
        <v>14</v>
      </c>
      <c r="G2036">
        <v>37.409999999999997</v>
      </c>
      <c r="H2036" t="s">
        <v>15</v>
      </c>
      <c r="I2036" t="s">
        <v>47</v>
      </c>
      <c r="J2036" t="s">
        <v>44</v>
      </c>
    </row>
    <row r="2037" spans="1:10" x14ac:dyDescent="0.35">
      <c r="A2037" t="s">
        <v>2220</v>
      </c>
      <c r="B2037" s="10">
        <v>46026</v>
      </c>
      <c r="C2037" t="s">
        <v>25</v>
      </c>
      <c r="D2037" t="s">
        <v>12</v>
      </c>
      <c r="E2037" t="s">
        <v>26</v>
      </c>
      <c r="F2037" t="s">
        <v>14</v>
      </c>
      <c r="G2037">
        <v>56.98</v>
      </c>
      <c r="H2037" t="s">
        <v>15</v>
      </c>
      <c r="I2037" t="s">
        <v>16</v>
      </c>
      <c r="J2037" t="s">
        <v>17</v>
      </c>
    </row>
    <row r="2038" spans="1:10" x14ac:dyDescent="0.35">
      <c r="A2038" t="s">
        <v>2221</v>
      </c>
      <c r="B2038" s="10">
        <v>46026</v>
      </c>
      <c r="C2038" t="s">
        <v>308</v>
      </c>
      <c r="D2038" t="s">
        <v>54</v>
      </c>
      <c r="E2038" t="s">
        <v>64</v>
      </c>
      <c r="F2038" t="s">
        <v>54</v>
      </c>
      <c r="G2038">
        <v>345.09</v>
      </c>
      <c r="H2038" t="s">
        <v>21</v>
      </c>
      <c r="I2038" t="s">
        <v>22</v>
      </c>
      <c r="J2038" t="s">
        <v>89</v>
      </c>
    </row>
    <row r="2039" spans="1:10" x14ac:dyDescent="0.35">
      <c r="A2039" t="s">
        <v>2222</v>
      </c>
      <c r="B2039" s="10">
        <v>46026</v>
      </c>
      <c r="C2039" t="s">
        <v>350</v>
      </c>
      <c r="D2039" t="s">
        <v>29</v>
      </c>
      <c r="E2039" t="s">
        <v>151</v>
      </c>
      <c r="F2039" t="s">
        <v>14</v>
      </c>
      <c r="G2039">
        <v>25.32</v>
      </c>
      <c r="H2039" t="s">
        <v>21</v>
      </c>
      <c r="I2039" t="s">
        <v>22</v>
      </c>
      <c r="J2039" t="s">
        <v>158</v>
      </c>
    </row>
    <row r="2040" spans="1:10" x14ac:dyDescent="0.35">
      <c r="A2040" t="s">
        <v>2223</v>
      </c>
      <c r="B2040" s="10">
        <v>46026</v>
      </c>
      <c r="C2040" t="s">
        <v>580</v>
      </c>
      <c r="D2040" t="s">
        <v>80</v>
      </c>
      <c r="E2040" t="s">
        <v>81</v>
      </c>
      <c r="F2040" t="s">
        <v>14</v>
      </c>
      <c r="G2040">
        <v>81.06</v>
      </c>
      <c r="H2040" t="s">
        <v>15</v>
      </c>
      <c r="I2040" t="s">
        <v>36</v>
      </c>
      <c r="J2040" t="s">
        <v>118</v>
      </c>
    </row>
    <row r="2041" spans="1:10" x14ac:dyDescent="0.35">
      <c r="A2041" t="s">
        <v>2224</v>
      </c>
      <c r="B2041" s="10">
        <v>46027</v>
      </c>
      <c r="C2041" t="s">
        <v>281</v>
      </c>
      <c r="D2041" t="s">
        <v>34</v>
      </c>
      <c r="E2041" t="s">
        <v>40</v>
      </c>
      <c r="F2041" t="s">
        <v>14</v>
      </c>
      <c r="G2041">
        <v>80.290000000000006</v>
      </c>
      <c r="H2041" t="s">
        <v>21</v>
      </c>
      <c r="I2041" t="s">
        <v>22</v>
      </c>
      <c r="J2041" t="s">
        <v>123</v>
      </c>
    </row>
    <row r="2042" spans="1:10" x14ac:dyDescent="0.35">
      <c r="A2042" t="s">
        <v>2225</v>
      </c>
      <c r="B2042" s="10">
        <v>46027</v>
      </c>
      <c r="C2042" t="s">
        <v>25</v>
      </c>
      <c r="D2042" t="s">
        <v>12</v>
      </c>
      <c r="E2042" t="s">
        <v>26</v>
      </c>
      <c r="F2042" t="s">
        <v>14</v>
      </c>
      <c r="G2042">
        <v>32.43</v>
      </c>
      <c r="H2042" t="s">
        <v>15</v>
      </c>
      <c r="I2042" t="s">
        <v>22</v>
      </c>
      <c r="J2042" t="s">
        <v>17</v>
      </c>
    </row>
    <row r="2043" spans="1:10" x14ac:dyDescent="0.35">
      <c r="A2043" t="s">
        <v>2226</v>
      </c>
      <c r="B2043" s="10">
        <v>46028</v>
      </c>
      <c r="C2043" t="s">
        <v>19</v>
      </c>
      <c r="D2043" t="s">
        <v>12</v>
      </c>
      <c r="E2043" t="s">
        <v>13</v>
      </c>
      <c r="F2043" t="s">
        <v>14</v>
      </c>
      <c r="G2043">
        <v>20.67</v>
      </c>
      <c r="H2043" t="s">
        <v>15</v>
      </c>
      <c r="I2043" t="s">
        <v>36</v>
      </c>
      <c r="J2043" t="s">
        <v>23</v>
      </c>
    </row>
    <row r="2044" spans="1:10" x14ac:dyDescent="0.35">
      <c r="A2044" t="s">
        <v>2227</v>
      </c>
      <c r="B2044" s="10">
        <v>46028</v>
      </c>
      <c r="C2044" t="s">
        <v>272</v>
      </c>
      <c r="D2044" t="s">
        <v>54</v>
      </c>
      <c r="E2044" t="s">
        <v>55</v>
      </c>
      <c r="F2044" t="s">
        <v>54</v>
      </c>
      <c r="G2044">
        <v>793.6</v>
      </c>
      <c r="H2044" t="s">
        <v>98</v>
      </c>
      <c r="I2044" t="s">
        <v>16</v>
      </c>
      <c r="J2044" t="s">
        <v>65</v>
      </c>
    </row>
    <row r="2045" spans="1:10" x14ac:dyDescent="0.35">
      <c r="A2045" t="s">
        <v>2228</v>
      </c>
      <c r="B2045" s="10">
        <v>46028</v>
      </c>
      <c r="C2045" t="s">
        <v>262</v>
      </c>
      <c r="D2045" t="s">
        <v>101</v>
      </c>
      <c r="E2045" t="s">
        <v>244</v>
      </c>
      <c r="F2045" t="s">
        <v>14</v>
      </c>
      <c r="G2045">
        <v>42.09</v>
      </c>
      <c r="H2045" t="s">
        <v>15</v>
      </c>
      <c r="I2045" t="s">
        <v>22</v>
      </c>
      <c r="J2045" t="s">
        <v>136</v>
      </c>
    </row>
    <row r="2046" spans="1:10" x14ac:dyDescent="0.35">
      <c r="A2046" t="s">
        <v>2229</v>
      </c>
      <c r="B2046" s="10">
        <v>46028</v>
      </c>
      <c r="C2046" t="s">
        <v>88</v>
      </c>
      <c r="D2046" t="s">
        <v>54</v>
      </c>
      <c r="E2046" t="s">
        <v>74</v>
      </c>
      <c r="F2046" t="s">
        <v>54</v>
      </c>
      <c r="G2046">
        <v>2628.03</v>
      </c>
      <c r="H2046" t="s">
        <v>21</v>
      </c>
      <c r="I2046" t="s">
        <v>22</v>
      </c>
      <c r="J2046" t="s">
        <v>89</v>
      </c>
    </row>
    <row r="2047" spans="1:10" x14ac:dyDescent="0.35">
      <c r="A2047" t="s">
        <v>2230</v>
      </c>
      <c r="B2047" s="10">
        <v>46028</v>
      </c>
      <c r="C2047" t="s">
        <v>53</v>
      </c>
      <c r="D2047" t="s">
        <v>54</v>
      </c>
      <c r="E2047" t="s">
        <v>55</v>
      </c>
      <c r="F2047" t="s">
        <v>54</v>
      </c>
      <c r="G2047">
        <v>702.35</v>
      </c>
      <c r="H2047" t="s">
        <v>15</v>
      </c>
      <c r="I2047" t="s">
        <v>47</v>
      </c>
      <c r="J2047" t="s">
        <v>56</v>
      </c>
    </row>
    <row r="2048" spans="1:10" x14ac:dyDescent="0.35">
      <c r="A2048" t="s">
        <v>2231</v>
      </c>
      <c r="B2048" s="10">
        <v>46028</v>
      </c>
      <c r="C2048" t="s">
        <v>543</v>
      </c>
      <c r="D2048" t="s">
        <v>69</v>
      </c>
      <c r="E2048" t="s">
        <v>70</v>
      </c>
      <c r="F2048" t="s">
        <v>14</v>
      </c>
      <c r="G2048">
        <v>310.12</v>
      </c>
      <c r="H2048" t="s">
        <v>15</v>
      </c>
      <c r="I2048" t="s">
        <v>36</v>
      </c>
      <c r="J2048" t="s">
        <v>292</v>
      </c>
    </row>
    <row r="2049" spans="1:10" x14ac:dyDescent="0.35">
      <c r="A2049" t="s">
        <v>2232</v>
      </c>
      <c r="B2049" s="10">
        <v>46028</v>
      </c>
      <c r="C2049" t="s">
        <v>11</v>
      </c>
      <c r="D2049" t="s">
        <v>12</v>
      </c>
      <c r="E2049" t="s">
        <v>13</v>
      </c>
      <c r="F2049" t="s">
        <v>14</v>
      </c>
      <c r="G2049">
        <v>47.63</v>
      </c>
      <c r="H2049" t="s">
        <v>15</v>
      </c>
      <c r="I2049" t="s">
        <v>84</v>
      </c>
      <c r="J2049" t="s">
        <v>17</v>
      </c>
    </row>
    <row r="2050" spans="1:10" x14ac:dyDescent="0.35">
      <c r="A2050" t="s">
        <v>2233</v>
      </c>
      <c r="B2050" s="10">
        <v>46029</v>
      </c>
      <c r="C2050" t="s">
        <v>50</v>
      </c>
      <c r="D2050" t="s">
        <v>12</v>
      </c>
      <c r="E2050" t="s">
        <v>51</v>
      </c>
      <c r="F2050" t="s">
        <v>14</v>
      </c>
      <c r="G2050">
        <v>44.85</v>
      </c>
      <c r="H2050" t="s">
        <v>15</v>
      </c>
      <c r="I2050" t="s">
        <v>47</v>
      </c>
      <c r="J2050" t="s">
        <v>44</v>
      </c>
    </row>
    <row r="2051" spans="1:10" x14ac:dyDescent="0.35">
      <c r="A2051" t="s">
        <v>2234</v>
      </c>
      <c r="B2051" s="10">
        <v>46029</v>
      </c>
      <c r="C2051" t="s">
        <v>46</v>
      </c>
      <c r="D2051" t="s">
        <v>12</v>
      </c>
      <c r="E2051" t="s">
        <v>13</v>
      </c>
      <c r="F2051" t="s">
        <v>14</v>
      </c>
      <c r="G2051">
        <v>10.36</v>
      </c>
      <c r="H2051" t="s">
        <v>15</v>
      </c>
      <c r="I2051" t="s">
        <v>22</v>
      </c>
      <c r="J2051" t="s">
        <v>48</v>
      </c>
    </row>
    <row r="2052" spans="1:10" x14ac:dyDescent="0.35">
      <c r="A2052" t="s">
        <v>2235</v>
      </c>
      <c r="B2052" s="10">
        <v>46029</v>
      </c>
      <c r="C2052" t="s">
        <v>135</v>
      </c>
      <c r="D2052" t="s">
        <v>101</v>
      </c>
      <c r="E2052" t="s">
        <v>102</v>
      </c>
      <c r="F2052" t="s">
        <v>14</v>
      </c>
      <c r="G2052">
        <v>250</v>
      </c>
      <c r="H2052" t="s">
        <v>15</v>
      </c>
      <c r="I2052" t="s">
        <v>22</v>
      </c>
      <c r="J2052" t="s">
        <v>136</v>
      </c>
    </row>
    <row r="2053" spans="1:10" x14ac:dyDescent="0.35">
      <c r="A2053" t="s">
        <v>2236</v>
      </c>
      <c r="B2053" s="10">
        <v>46029</v>
      </c>
      <c r="C2053" t="s">
        <v>269</v>
      </c>
      <c r="D2053" t="s">
        <v>34</v>
      </c>
      <c r="E2053" t="s">
        <v>35</v>
      </c>
      <c r="F2053" t="s">
        <v>14</v>
      </c>
      <c r="G2053">
        <v>78.83</v>
      </c>
      <c r="H2053" t="s">
        <v>21</v>
      </c>
      <c r="I2053" t="s">
        <v>84</v>
      </c>
      <c r="J2053" t="s">
        <v>123</v>
      </c>
    </row>
    <row r="2054" spans="1:10" x14ac:dyDescent="0.35">
      <c r="A2054" t="s">
        <v>2237</v>
      </c>
      <c r="B2054" s="10">
        <v>46030</v>
      </c>
      <c r="C2054" t="s">
        <v>153</v>
      </c>
      <c r="D2054" t="s">
        <v>34</v>
      </c>
      <c r="E2054" t="s">
        <v>122</v>
      </c>
      <c r="F2054" t="s">
        <v>14</v>
      </c>
      <c r="G2054">
        <v>39.950000000000003</v>
      </c>
      <c r="H2054" t="s">
        <v>15</v>
      </c>
      <c r="I2054" t="s">
        <v>16</v>
      </c>
      <c r="J2054" t="s">
        <v>41</v>
      </c>
    </row>
    <row r="2055" spans="1:10" x14ac:dyDescent="0.35">
      <c r="A2055" t="s">
        <v>2238</v>
      </c>
      <c r="B2055" s="10">
        <v>46030</v>
      </c>
      <c r="C2055" t="s">
        <v>140</v>
      </c>
      <c r="D2055" t="s">
        <v>80</v>
      </c>
      <c r="E2055" t="s">
        <v>81</v>
      </c>
      <c r="F2055" t="s">
        <v>14</v>
      </c>
      <c r="G2055">
        <v>78.61</v>
      </c>
      <c r="H2055" t="s">
        <v>15</v>
      </c>
      <c r="I2055" t="s">
        <v>22</v>
      </c>
      <c r="J2055" t="s">
        <v>141</v>
      </c>
    </row>
    <row r="2056" spans="1:10" x14ac:dyDescent="0.35">
      <c r="A2056" t="s">
        <v>2239</v>
      </c>
      <c r="B2056" s="10">
        <v>46030</v>
      </c>
      <c r="C2056" t="s">
        <v>73</v>
      </c>
      <c r="D2056" t="s">
        <v>54</v>
      </c>
      <c r="E2056" t="s">
        <v>74</v>
      </c>
      <c r="F2056" t="s">
        <v>54</v>
      </c>
      <c r="G2056">
        <v>2287.94</v>
      </c>
      <c r="H2056" t="s">
        <v>15</v>
      </c>
      <c r="I2056" t="s">
        <v>36</v>
      </c>
      <c r="J2056" t="s">
        <v>65</v>
      </c>
    </row>
    <row r="2057" spans="1:10" x14ac:dyDescent="0.35">
      <c r="A2057" t="s">
        <v>2240</v>
      </c>
      <c r="B2057" s="10">
        <v>46031</v>
      </c>
      <c r="C2057" t="s">
        <v>272</v>
      </c>
      <c r="D2057" t="s">
        <v>54</v>
      </c>
      <c r="E2057" t="s">
        <v>55</v>
      </c>
      <c r="F2057" t="s">
        <v>54</v>
      </c>
      <c r="G2057">
        <v>808.69</v>
      </c>
      <c r="H2057" t="s">
        <v>21</v>
      </c>
      <c r="I2057" t="s">
        <v>22</v>
      </c>
      <c r="J2057" t="s">
        <v>65</v>
      </c>
    </row>
    <row r="2058" spans="1:10" x14ac:dyDescent="0.35">
      <c r="A2058" t="s">
        <v>2241</v>
      </c>
      <c r="B2058" s="10">
        <v>46031</v>
      </c>
      <c r="C2058" t="s">
        <v>272</v>
      </c>
      <c r="D2058" t="s">
        <v>54</v>
      </c>
      <c r="E2058" t="s">
        <v>55</v>
      </c>
      <c r="F2058" t="s">
        <v>54</v>
      </c>
      <c r="G2058">
        <v>714.77</v>
      </c>
      <c r="H2058" t="s">
        <v>21</v>
      </c>
      <c r="I2058" t="s">
        <v>36</v>
      </c>
      <c r="J2058" t="s">
        <v>65</v>
      </c>
    </row>
    <row r="2059" spans="1:10" x14ac:dyDescent="0.35">
      <c r="A2059" t="s">
        <v>2242</v>
      </c>
      <c r="B2059" s="10">
        <v>46031</v>
      </c>
      <c r="C2059" t="s">
        <v>168</v>
      </c>
      <c r="D2059" t="s">
        <v>59</v>
      </c>
      <c r="E2059" t="s">
        <v>60</v>
      </c>
      <c r="F2059" t="s">
        <v>14</v>
      </c>
      <c r="G2059">
        <v>130.63</v>
      </c>
      <c r="H2059" t="s">
        <v>98</v>
      </c>
      <c r="I2059" t="s">
        <v>47</v>
      </c>
      <c r="J2059" t="s">
        <v>170</v>
      </c>
    </row>
    <row r="2060" spans="1:10" x14ac:dyDescent="0.35">
      <c r="A2060" t="s">
        <v>2243</v>
      </c>
      <c r="B2060" s="10">
        <v>46031</v>
      </c>
      <c r="C2060" t="s">
        <v>79</v>
      </c>
      <c r="D2060" t="s">
        <v>80</v>
      </c>
      <c r="E2060" t="s">
        <v>81</v>
      </c>
      <c r="F2060" t="s">
        <v>14</v>
      </c>
      <c r="G2060">
        <v>71.41</v>
      </c>
      <c r="H2060" t="s">
        <v>21</v>
      </c>
      <c r="I2060" t="s">
        <v>47</v>
      </c>
      <c r="J2060" t="s">
        <v>82</v>
      </c>
    </row>
    <row r="2061" spans="1:10" x14ac:dyDescent="0.35">
      <c r="A2061" t="s">
        <v>2244</v>
      </c>
      <c r="B2061" s="10">
        <v>46031</v>
      </c>
      <c r="C2061" t="s">
        <v>189</v>
      </c>
      <c r="D2061" t="s">
        <v>34</v>
      </c>
      <c r="E2061" t="s">
        <v>122</v>
      </c>
      <c r="F2061" t="s">
        <v>14</v>
      </c>
      <c r="G2061">
        <v>125.47</v>
      </c>
      <c r="H2061" t="s">
        <v>21</v>
      </c>
      <c r="I2061" t="s">
        <v>22</v>
      </c>
      <c r="J2061" t="s">
        <v>37</v>
      </c>
    </row>
    <row r="2062" spans="1:10" x14ac:dyDescent="0.35">
      <c r="A2062" t="s">
        <v>2245</v>
      </c>
      <c r="B2062" s="10">
        <v>46031</v>
      </c>
      <c r="C2062" t="s">
        <v>256</v>
      </c>
      <c r="D2062" t="s">
        <v>34</v>
      </c>
      <c r="E2062" t="s">
        <v>40</v>
      </c>
      <c r="F2062" t="s">
        <v>14</v>
      </c>
      <c r="G2062">
        <v>500</v>
      </c>
      <c r="H2062" t="s">
        <v>21</v>
      </c>
      <c r="I2062" t="s">
        <v>84</v>
      </c>
      <c r="J2062" t="s">
        <v>239</v>
      </c>
    </row>
    <row r="2063" spans="1:10" x14ac:dyDescent="0.35">
      <c r="A2063" t="s">
        <v>2246</v>
      </c>
      <c r="B2063" s="10">
        <v>46032</v>
      </c>
      <c r="C2063" t="s">
        <v>94</v>
      </c>
      <c r="D2063" t="s">
        <v>29</v>
      </c>
      <c r="E2063" t="s">
        <v>95</v>
      </c>
      <c r="F2063" t="s">
        <v>14</v>
      </c>
      <c r="G2063">
        <v>24.96</v>
      </c>
      <c r="H2063" t="s">
        <v>21</v>
      </c>
      <c r="I2063" t="s">
        <v>22</v>
      </c>
      <c r="J2063" t="s">
        <v>96</v>
      </c>
    </row>
    <row r="2064" spans="1:10" x14ac:dyDescent="0.35">
      <c r="A2064" t="s">
        <v>2247</v>
      </c>
      <c r="B2064" s="10">
        <v>46032</v>
      </c>
      <c r="C2064" t="s">
        <v>53</v>
      </c>
      <c r="D2064" t="s">
        <v>54</v>
      </c>
      <c r="E2064" t="s">
        <v>55</v>
      </c>
      <c r="F2064" t="s">
        <v>54</v>
      </c>
      <c r="G2064">
        <v>694.49</v>
      </c>
      <c r="H2064" t="s">
        <v>15</v>
      </c>
      <c r="I2064" t="s">
        <v>22</v>
      </c>
      <c r="J2064" t="s">
        <v>56</v>
      </c>
    </row>
    <row r="2065" spans="1:10" x14ac:dyDescent="0.35">
      <c r="A2065" t="s">
        <v>2248</v>
      </c>
      <c r="B2065" s="10">
        <v>46032</v>
      </c>
      <c r="C2065" t="s">
        <v>43</v>
      </c>
      <c r="D2065" t="s">
        <v>12</v>
      </c>
      <c r="E2065" t="s">
        <v>26</v>
      </c>
      <c r="F2065" t="s">
        <v>14</v>
      </c>
      <c r="G2065">
        <v>50.39</v>
      </c>
      <c r="H2065" t="s">
        <v>21</v>
      </c>
      <c r="I2065" t="s">
        <v>22</v>
      </c>
      <c r="J2065" t="s">
        <v>44</v>
      </c>
    </row>
    <row r="2066" spans="1:10" x14ac:dyDescent="0.35">
      <c r="A2066" t="s">
        <v>2249</v>
      </c>
      <c r="B2066" s="10">
        <v>46032</v>
      </c>
      <c r="C2066" t="s">
        <v>194</v>
      </c>
      <c r="D2066" t="s">
        <v>101</v>
      </c>
      <c r="E2066" t="s">
        <v>136</v>
      </c>
      <c r="F2066" t="s">
        <v>14</v>
      </c>
      <c r="G2066">
        <v>56.69</v>
      </c>
      <c r="H2066" t="s">
        <v>15</v>
      </c>
      <c r="I2066" t="s">
        <v>22</v>
      </c>
      <c r="J2066" t="s">
        <v>103</v>
      </c>
    </row>
    <row r="2067" spans="1:10" x14ac:dyDescent="0.35">
      <c r="A2067" t="s">
        <v>2250</v>
      </c>
      <c r="B2067" s="10">
        <v>46032</v>
      </c>
      <c r="C2067" t="s">
        <v>73</v>
      </c>
      <c r="D2067" t="s">
        <v>54</v>
      </c>
      <c r="E2067" t="s">
        <v>74</v>
      </c>
      <c r="F2067" t="s">
        <v>54</v>
      </c>
      <c r="G2067">
        <v>2451.38</v>
      </c>
      <c r="H2067" t="s">
        <v>21</v>
      </c>
      <c r="I2067" t="s">
        <v>36</v>
      </c>
      <c r="J2067" t="s">
        <v>65</v>
      </c>
    </row>
    <row r="2068" spans="1:10" x14ac:dyDescent="0.35">
      <c r="A2068" t="s">
        <v>2251</v>
      </c>
      <c r="B2068" s="10">
        <v>46032</v>
      </c>
      <c r="C2068" t="s">
        <v>194</v>
      </c>
      <c r="D2068" t="s">
        <v>101</v>
      </c>
      <c r="E2068" t="s">
        <v>136</v>
      </c>
      <c r="F2068" t="s">
        <v>14</v>
      </c>
      <c r="G2068">
        <v>84.87</v>
      </c>
      <c r="H2068" t="s">
        <v>21</v>
      </c>
      <c r="I2068" t="s">
        <v>36</v>
      </c>
      <c r="J2068" t="s">
        <v>103</v>
      </c>
    </row>
    <row r="2069" spans="1:10" x14ac:dyDescent="0.35">
      <c r="A2069" t="s">
        <v>2252</v>
      </c>
      <c r="B2069" s="10">
        <v>46032</v>
      </c>
      <c r="C2069" t="s">
        <v>125</v>
      </c>
      <c r="D2069" t="s">
        <v>12</v>
      </c>
      <c r="E2069" t="s">
        <v>13</v>
      </c>
      <c r="F2069" t="s">
        <v>14</v>
      </c>
      <c r="G2069">
        <v>67.17</v>
      </c>
      <c r="H2069" t="s">
        <v>15</v>
      </c>
      <c r="I2069" t="s">
        <v>16</v>
      </c>
      <c r="J2069" t="s">
        <v>44</v>
      </c>
    </row>
    <row r="2070" spans="1:10" x14ac:dyDescent="0.35">
      <c r="A2070" t="s">
        <v>2253</v>
      </c>
      <c r="B2070" s="10">
        <v>46033</v>
      </c>
      <c r="C2070" t="s">
        <v>177</v>
      </c>
      <c r="D2070" t="s">
        <v>54</v>
      </c>
      <c r="E2070" t="s">
        <v>74</v>
      </c>
      <c r="F2070" t="s">
        <v>54</v>
      </c>
      <c r="G2070">
        <v>2383.8200000000002</v>
      </c>
      <c r="H2070" t="s">
        <v>21</v>
      </c>
      <c r="I2070" t="s">
        <v>36</v>
      </c>
      <c r="J2070" t="s">
        <v>56</v>
      </c>
    </row>
    <row r="2071" spans="1:10" x14ac:dyDescent="0.35">
      <c r="A2071" t="s">
        <v>2254</v>
      </c>
      <c r="B2071" s="10">
        <v>46033</v>
      </c>
      <c r="C2071" t="s">
        <v>345</v>
      </c>
      <c r="D2071" t="s">
        <v>59</v>
      </c>
      <c r="E2071" t="s">
        <v>60</v>
      </c>
      <c r="F2071" t="s">
        <v>14</v>
      </c>
      <c r="G2071">
        <v>175.73</v>
      </c>
      <c r="H2071" t="s">
        <v>15</v>
      </c>
      <c r="I2071" t="s">
        <v>22</v>
      </c>
      <c r="J2071" t="s">
        <v>211</v>
      </c>
    </row>
    <row r="2072" spans="1:10" x14ac:dyDescent="0.35">
      <c r="A2072" t="s">
        <v>2255</v>
      </c>
      <c r="B2072" s="10">
        <v>46033</v>
      </c>
      <c r="C2072" t="s">
        <v>267</v>
      </c>
      <c r="D2072" t="s">
        <v>29</v>
      </c>
      <c r="E2072" t="s">
        <v>30</v>
      </c>
      <c r="F2072" t="s">
        <v>14</v>
      </c>
      <c r="G2072">
        <v>56.98</v>
      </c>
      <c r="H2072" t="s">
        <v>15</v>
      </c>
      <c r="I2072" t="s">
        <v>22</v>
      </c>
      <c r="J2072" t="s">
        <v>96</v>
      </c>
    </row>
    <row r="2073" spans="1:10" x14ac:dyDescent="0.35">
      <c r="A2073" t="s">
        <v>2256</v>
      </c>
      <c r="B2073" s="10">
        <v>46033</v>
      </c>
      <c r="C2073" t="s">
        <v>184</v>
      </c>
      <c r="D2073" t="s">
        <v>59</v>
      </c>
      <c r="E2073" t="s">
        <v>185</v>
      </c>
      <c r="F2073" t="s">
        <v>14</v>
      </c>
      <c r="G2073">
        <v>274.77</v>
      </c>
      <c r="H2073" t="s">
        <v>15</v>
      </c>
      <c r="I2073" t="s">
        <v>22</v>
      </c>
      <c r="J2073" t="s">
        <v>61</v>
      </c>
    </row>
    <row r="2074" spans="1:10" x14ac:dyDescent="0.35">
      <c r="A2074" t="s">
        <v>2257</v>
      </c>
      <c r="B2074" s="10">
        <v>46033</v>
      </c>
      <c r="C2074" t="s">
        <v>179</v>
      </c>
      <c r="D2074" t="s">
        <v>80</v>
      </c>
      <c r="E2074" t="s">
        <v>117</v>
      </c>
      <c r="F2074" t="s">
        <v>14</v>
      </c>
      <c r="G2074">
        <v>43.64</v>
      </c>
      <c r="H2074" t="s">
        <v>98</v>
      </c>
      <c r="I2074" t="s">
        <v>22</v>
      </c>
      <c r="J2074" t="s">
        <v>180</v>
      </c>
    </row>
    <row r="2075" spans="1:10" x14ac:dyDescent="0.35">
      <c r="A2075" t="s">
        <v>2258</v>
      </c>
      <c r="B2075" s="10">
        <v>46033</v>
      </c>
      <c r="C2075" t="s">
        <v>39</v>
      </c>
      <c r="D2075" t="s">
        <v>34</v>
      </c>
      <c r="E2075" t="s">
        <v>40</v>
      </c>
      <c r="F2075" t="s">
        <v>14</v>
      </c>
      <c r="G2075">
        <v>248.17</v>
      </c>
      <c r="H2075" t="s">
        <v>15</v>
      </c>
      <c r="I2075" t="s">
        <v>47</v>
      </c>
      <c r="J2075" t="s">
        <v>41</v>
      </c>
    </row>
    <row r="2076" spans="1:10" x14ac:dyDescent="0.35">
      <c r="A2076" t="s">
        <v>2259</v>
      </c>
      <c r="B2076" s="10">
        <v>46034</v>
      </c>
      <c r="C2076" t="s">
        <v>113</v>
      </c>
      <c r="D2076" t="s">
        <v>34</v>
      </c>
      <c r="E2076" t="s">
        <v>40</v>
      </c>
      <c r="F2076" t="s">
        <v>14</v>
      </c>
      <c r="G2076">
        <v>206.72</v>
      </c>
      <c r="H2076" t="s">
        <v>15</v>
      </c>
      <c r="I2076" t="s">
        <v>22</v>
      </c>
      <c r="J2076" t="s">
        <v>37</v>
      </c>
    </row>
    <row r="2077" spans="1:10" x14ac:dyDescent="0.35">
      <c r="A2077" t="s">
        <v>2260</v>
      </c>
      <c r="B2077" s="10">
        <v>46034</v>
      </c>
      <c r="C2077" t="s">
        <v>172</v>
      </c>
      <c r="D2077" t="s">
        <v>101</v>
      </c>
      <c r="E2077" t="s">
        <v>102</v>
      </c>
      <c r="F2077" t="s">
        <v>14</v>
      </c>
      <c r="G2077">
        <v>109.72</v>
      </c>
      <c r="H2077" t="s">
        <v>21</v>
      </c>
      <c r="I2077" t="s">
        <v>47</v>
      </c>
      <c r="J2077" t="s">
        <v>102</v>
      </c>
    </row>
    <row r="2078" spans="1:10" x14ac:dyDescent="0.35">
      <c r="A2078" t="s">
        <v>2261</v>
      </c>
      <c r="B2078" s="10">
        <v>46034</v>
      </c>
      <c r="C2078" t="s">
        <v>272</v>
      </c>
      <c r="D2078" t="s">
        <v>54</v>
      </c>
      <c r="E2078" t="s">
        <v>55</v>
      </c>
      <c r="F2078" t="s">
        <v>54</v>
      </c>
      <c r="G2078">
        <v>800.14</v>
      </c>
      <c r="H2078" t="s">
        <v>15</v>
      </c>
      <c r="I2078" t="s">
        <v>22</v>
      </c>
      <c r="J2078" t="s">
        <v>65</v>
      </c>
    </row>
    <row r="2079" spans="1:10" x14ac:dyDescent="0.35">
      <c r="A2079" t="s">
        <v>2262</v>
      </c>
      <c r="B2079" s="10">
        <v>46035</v>
      </c>
      <c r="C2079" t="s">
        <v>143</v>
      </c>
      <c r="D2079" t="s">
        <v>54</v>
      </c>
      <c r="E2079" t="s">
        <v>55</v>
      </c>
      <c r="F2079" t="s">
        <v>54</v>
      </c>
      <c r="G2079">
        <v>719.73</v>
      </c>
      <c r="H2079" t="s">
        <v>15</v>
      </c>
      <c r="I2079" t="s">
        <v>22</v>
      </c>
      <c r="J2079" t="s">
        <v>89</v>
      </c>
    </row>
    <row r="2080" spans="1:10" x14ac:dyDescent="0.35">
      <c r="A2080" t="s">
        <v>2263</v>
      </c>
      <c r="B2080" s="10">
        <v>46035</v>
      </c>
      <c r="C2080" t="s">
        <v>143</v>
      </c>
      <c r="D2080" t="s">
        <v>54</v>
      </c>
      <c r="E2080" t="s">
        <v>55</v>
      </c>
      <c r="F2080" t="s">
        <v>54</v>
      </c>
      <c r="G2080">
        <v>778.8</v>
      </c>
      <c r="H2080" t="s">
        <v>15</v>
      </c>
      <c r="I2080" t="s">
        <v>22</v>
      </c>
      <c r="J2080" t="s">
        <v>89</v>
      </c>
    </row>
    <row r="2081" spans="1:10" x14ac:dyDescent="0.35">
      <c r="A2081" t="s">
        <v>2264</v>
      </c>
      <c r="B2081" s="10">
        <v>46036</v>
      </c>
      <c r="C2081" t="s">
        <v>253</v>
      </c>
      <c r="D2081" t="s">
        <v>29</v>
      </c>
      <c r="E2081" t="s">
        <v>30</v>
      </c>
      <c r="F2081" t="s">
        <v>14</v>
      </c>
      <c r="G2081">
        <v>19.23</v>
      </c>
      <c r="H2081" t="s">
        <v>98</v>
      </c>
      <c r="I2081" t="s">
        <v>22</v>
      </c>
      <c r="J2081" t="s">
        <v>158</v>
      </c>
    </row>
    <row r="2082" spans="1:10" x14ac:dyDescent="0.35">
      <c r="A2082" t="s">
        <v>2265</v>
      </c>
      <c r="B2082" s="10">
        <v>46036</v>
      </c>
      <c r="C2082" t="s">
        <v>111</v>
      </c>
      <c r="D2082" t="s">
        <v>12</v>
      </c>
      <c r="E2082" t="s">
        <v>26</v>
      </c>
      <c r="F2082" t="s">
        <v>14</v>
      </c>
      <c r="G2082">
        <v>35.47</v>
      </c>
      <c r="H2082" t="s">
        <v>15</v>
      </c>
      <c r="I2082" t="s">
        <v>47</v>
      </c>
      <c r="J2082" t="s">
        <v>23</v>
      </c>
    </row>
    <row r="2083" spans="1:10" x14ac:dyDescent="0.35">
      <c r="A2083" t="s">
        <v>2266</v>
      </c>
      <c r="B2083" s="10">
        <v>46036</v>
      </c>
      <c r="C2083" t="s">
        <v>153</v>
      </c>
      <c r="D2083" t="s">
        <v>34</v>
      </c>
      <c r="E2083" t="s">
        <v>122</v>
      </c>
      <c r="F2083" t="s">
        <v>14</v>
      </c>
      <c r="G2083">
        <v>125.97</v>
      </c>
      <c r="H2083" t="s">
        <v>15</v>
      </c>
      <c r="I2083" t="s">
        <v>36</v>
      </c>
      <c r="J2083" t="s">
        <v>41</v>
      </c>
    </row>
    <row r="2084" spans="1:10" x14ac:dyDescent="0.35">
      <c r="A2084" t="s">
        <v>2267</v>
      </c>
      <c r="B2084" s="10">
        <v>46036</v>
      </c>
      <c r="C2084" t="s">
        <v>94</v>
      </c>
      <c r="D2084" t="s">
        <v>29</v>
      </c>
      <c r="E2084" t="s">
        <v>95</v>
      </c>
      <c r="F2084" t="s">
        <v>14</v>
      </c>
      <c r="G2084">
        <v>55.83</v>
      </c>
      <c r="H2084" t="s">
        <v>21</v>
      </c>
      <c r="I2084" t="s">
        <v>22</v>
      </c>
      <c r="J2084" t="s">
        <v>96</v>
      </c>
    </row>
    <row r="2085" spans="1:10" x14ac:dyDescent="0.35">
      <c r="A2085" t="s">
        <v>2268</v>
      </c>
      <c r="B2085" s="10">
        <v>46036</v>
      </c>
      <c r="C2085" t="s">
        <v>272</v>
      </c>
      <c r="D2085" t="s">
        <v>54</v>
      </c>
      <c r="E2085" t="s">
        <v>55</v>
      </c>
      <c r="F2085" t="s">
        <v>54</v>
      </c>
      <c r="G2085">
        <v>730.76</v>
      </c>
      <c r="H2085" t="s">
        <v>15</v>
      </c>
      <c r="I2085" t="s">
        <v>22</v>
      </c>
      <c r="J2085" t="s">
        <v>65</v>
      </c>
    </row>
    <row r="2086" spans="1:10" x14ac:dyDescent="0.35">
      <c r="A2086" t="s">
        <v>2269</v>
      </c>
      <c r="B2086" s="10">
        <v>46037</v>
      </c>
      <c r="C2086" t="s">
        <v>184</v>
      </c>
      <c r="D2086" t="s">
        <v>59</v>
      </c>
      <c r="E2086" t="s">
        <v>185</v>
      </c>
      <c r="F2086" t="s">
        <v>14</v>
      </c>
      <c r="G2086">
        <v>125.65</v>
      </c>
      <c r="H2086" t="s">
        <v>15</v>
      </c>
      <c r="I2086" t="s">
        <v>47</v>
      </c>
      <c r="J2086" t="s">
        <v>61</v>
      </c>
    </row>
    <row r="2087" spans="1:10" x14ac:dyDescent="0.35">
      <c r="A2087" t="s">
        <v>2270</v>
      </c>
      <c r="B2087" s="10">
        <v>46037</v>
      </c>
      <c r="C2087" t="s">
        <v>172</v>
      </c>
      <c r="D2087" t="s">
        <v>101</v>
      </c>
      <c r="E2087" t="s">
        <v>102</v>
      </c>
      <c r="F2087" t="s">
        <v>14</v>
      </c>
      <c r="G2087">
        <v>66.599999999999994</v>
      </c>
      <c r="H2087" t="s">
        <v>15</v>
      </c>
      <c r="I2087" t="s">
        <v>47</v>
      </c>
      <c r="J2087" t="s">
        <v>102</v>
      </c>
    </row>
    <row r="2088" spans="1:10" x14ac:dyDescent="0.35">
      <c r="A2088" t="s">
        <v>2271</v>
      </c>
      <c r="B2088" s="10">
        <v>46037</v>
      </c>
      <c r="C2088" t="s">
        <v>464</v>
      </c>
      <c r="D2088" t="s">
        <v>34</v>
      </c>
      <c r="E2088" t="s">
        <v>122</v>
      </c>
      <c r="F2088" t="s">
        <v>14</v>
      </c>
      <c r="G2088">
        <v>127.45</v>
      </c>
      <c r="H2088" t="s">
        <v>21</v>
      </c>
      <c r="I2088" t="s">
        <v>22</v>
      </c>
      <c r="J2088" t="s">
        <v>239</v>
      </c>
    </row>
    <row r="2089" spans="1:10" x14ac:dyDescent="0.35">
      <c r="A2089" t="s">
        <v>2272</v>
      </c>
      <c r="B2089" s="10">
        <v>46037</v>
      </c>
      <c r="C2089" t="s">
        <v>424</v>
      </c>
      <c r="D2089" t="s">
        <v>101</v>
      </c>
      <c r="E2089" t="s">
        <v>136</v>
      </c>
      <c r="F2089" t="s">
        <v>14</v>
      </c>
      <c r="G2089">
        <v>42.25</v>
      </c>
      <c r="H2089" t="s">
        <v>98</v>
      </c>
      <c r="I2089" t="s">
        <v>84</v>
      </c>
      <c r="J2089" t="s">
        <v>102</v>
      </c>
    </row>
    <row r="2090" spans="1:10" x14ac:dyDescent="0.35">
      <c r="A2090" t="s">
        <v>2273</v>
      </c>
      <c r="B2090" s="10">
        <v>46037</v>
      </c>
      <c r="C2090" t="s">
        <v>121</v>
      </c>
      <c r="D2090" t="s">
        <v>34</v>
      </c>
      <c r="E2090" t="s">
        <v>122</v>
      </c>
      <c r="F2090" t="s">
        <v>14</v>
      </c>
      <c r="G2090">
        <v>113.39</v>
      </c>
      <c r="H2090" t="s">
        <v>15</v>
      </c>
      <c r="I2090" t="s">
        <v>47</v>
      </c>
      <c r="J2090" t="s">
        <v>123</v>
      </c>
    </row>
    <row r="2091" spans="1:10" x14ac:dyDescent="0.35">
      <c r="A2091" t="s">
        <v>2274</v>
      </c>
      <c r="B2091" s="10">
        <v>46037</v>
      </c>
      <c r="C2091" t="s">
        <v>63</v>
      </c>
      <c r="D2091" t="s">
        <v>54</v>
      </c>
      <c r="E2091" t="s">
        <v>64</v>
      </c>
      <c r="F2091" t="s">
        <v>54</v>
      </c>
      <c r="G2091">
        <v>387.36</v>
      </c>
      <c r="H2091" t="s">
        <v>15</v>
      </c>
      <c r="I2091" t="s">
        <v>16</v>
      </c>
      <c r="J2091" t="s">
        <v>65</v>
      </c>
    </row>
    <row r="2092" spans="1:10" x14ac:dyDescent="0.35">
      <c r="A2092" t="s">
        <v>2275</v>
      </c>
      <c r="B2092" s="10">
        <v>46037</v>
      </c>
      <c r="C2092" t="s">
        <v>272</v>
      </c>
      <c r="D2092" t="s">
        <v>54</v>
      </c>
      <c r="E2092" t="s">
        <v>55</v>
      </c>
      <c r="F2092" t="s">
        <v>54</v>
      </c>
      <c r="G2092">
        <v>833.43</v>
      </c>
      <c r="H2092" t="s">
        <v>21</v>
      </c>
      <c r="I2092" t="s">
        <v>16</v>
      </c>
      <c r="J2092" t="s">
        <v>65</v>
      </c>
    </row>
    <row r="2093" spans="1:10" x14ac:dyDescent="0.35">
      <c r="A2093" t="s">
        <v>2276</v>
      </c>
      <c r="B2093" s="10">
        <v>46037</v>
      </c>
      <c r="C2093" t="s">
        <v>267</v>
      </c>
      <c r="D2093" t="s">
        <v>29</v>
      </c>
      <c r="E2093" t="s">
        <v>30</v>
      </c>
      <c r="F2093" t="s">
        <v>14</v>
      </c>
      <c r="G2093">
        <v>107.33</v>
      </c>
      <c r="H2093" t="s">
        <v>15</v>
      </c>
      <c r="I2093" t="s">
        <v>36</v>
      </c>
      <c r="J2093" t="s">
        <v>96</v>
      </c>
    </row>
    <row r="2094" spans="1:10" x14ac:dyDescent="0.35">
      <c r="A2094" t="s">
        <v>2277</v>
      </c>
      <c r="B2094" s="10">
        <v>46038</v>
      </c>
      <c r="C2094" t="s">
        <v>184</v>
      </c>
      <c r="D2094" t="s">
        <v>59</v>
      </c>
      <c r="E2094" t="s">
        <v>185</v>
      </c>
      <c r="F2094" t="s">
        <v>14</v>
      </c>
      <c r="G2094">
        <v>224.11</v>
      </c>
      <c r="H2094" t="s">
        <v>15</v>
      </c>
      <c r="I2094" t="s">
        <v>36</v>
      </c>
      <c r="J2094" t="s">
        <v>61</v>
      </c>
    </row>
    <row r="2095" spans="1:10" x14ac:dyDescent="0.35">
      <c r="A2095" t="s">
        <v>2278</v>
      </c>
      <c r="B2095" s="10">
        <v>46038</v>
      </c>
      <c r="C2095" t="s">
        <v>272</v>
      </c>
      <c r="D2095" t="s">
        <v>54</v>
      </c>
      <c r="E2095" t="s">
        <v>55</v>
      </c>
      <c r="F2095" t="s">
        <v>54</v>
      </c>
      <c r="G2095">
        <v>631.87</v>
      </c>
      <c r="H2095" t="s">
        <v>21</v>
      </c>
      <c r="I2095" t="s">
        <v>22</v>
      </c>
      <c r="J2095" t="s">
        <v>65</v>
      </c>
    </row>
    <row r="2096" spans="1:10" x14ac:dyDescent="0.35">
      <c r="A2096" t="s">
        <v>2279</v>
      </c>
      <c r="B2096" s="10">
        <v>46038</v>
      </c>
      <c r="C2096" t="s">
        <v>113</v>
      </c>
      <c r="D2096" t="s">
        <v>34</v>
      </c>
      <c r="E2096" t="s">
        <v>40</v>
      </c>
      <c r="F2096" t="s">
        <v>14</v>
      </c>
      <c r="G2096">
        <v>320.24</v>
      </c>
      <c r="H2096" t="s">
        <v>21</v>
      </c>
      <c r="I2096" t="s">
        <v>47</v>
      </c>
      <c r="J2096" t="s">
        <v>37</v>
      </c>
    </row>
    <row r="2097" spans="1:10" x14ac:dyDescent="0.35">
      <c r="A2097" t="s">
        <v>2280</v>
      </c>
      <c r="B2097" s="10">
        <v>46038</v>
      </c>
      <c r="C2097" t="s">
        <v>50</v>
      </c>
      <c r="D2097" t="s">
        <v>12</v>
      </c>
      <c r="E2097" t="s">
        <v>51</v>
      </c>
      <c r="F2097" t="s">
        <v>14</v>
      </c>
      <c r="G2097">
        <v>26.45</v>
      </c>
      <c r="H2097" t="s">
        <v>15</v>
      </c>
      <c r="I2097" t="s">
        <v>22</v>
      </c>
      <c r="J2097" t="s">
        <v>44</v>
      </c>
    </row>
    <row r="2098" spans="1:10" x14ac:dyDescent="0.35">
      <c r="A2098" t="s">
        <v>2281</v>
      </c>
      <c r="B2098" s="10">
        <v>46038</v>
      </c>
      <c r="C2098" t="s">
        <v>138</v>
      </c>
      <c r="D2098" t="s">
        <v>12</v>
      </c>
      <c r="E2098" t="s">
        <v>26</v>
      </c>
      <c r="F2098" t="s">
        <v>14</v>
      </c>
      <c r="G2098">
        <v>122.79</v>
      </c>
      <c r="H2098" t="s">
        <v>21</v>
      </c>
      <c r="I2098" t="s">
        <v>47</v>
      </c>
      <c r="J2098" t="s">
        <v>77</v>
      </c>
    </row>
    <row r="2099" spans="1:10" x14ac:dyDescent="0.35">
      <c r="A2099" t="s">
        <v>2282</v>
      </c>
      <c r="B2099" s="10">
        <v>46038</v>
      </c>
      <c r="C2099" t="s">
        <v>415</v>
      </c>
      <c r="D2099" t="s">
        <v>12</v>
      </c>
      <c r="E2099" t="s">
        <v>51</v>
      </c>
      <c r="F2099" t="s">
        <v>14</v>
      </c>
      <c r="G2099">
        <v>53.07</v>
      </c>
      <c r="H2099" t="s">
        <v>15</v>
      </c>
      <c r="I2099" t="s">
        <v>47</v>
      </c>
      <c r="J2099" t="s">
        <v>77</v>
      </c>
    </row>
    <row r="2100" spans="1:10" x14ac:dyDescent="0.35">
      <c r="A2100" t="s">
        <v>2283</v>
      </c>
      <c r="B2100" s="10">
        <v>46038</v>
      </c>
      <c r="C2100" t="s">
        <v>227</v>
      </c>
      <c r="D2100" t="s">
        <v>12</v>
      </c>
      <c r="E2100" t="s">
        <v>51</v>
      </c>
      <c r="F2100" t="s">
        <v>14</v>
      </c>
      <c r="G2100">
        <v>50.9</v>
      </c>
      <c r="H2100" t="s">
        <v>15</v>
      </c>
      <c r="I2100" t="s">
        <v>22</v>
      </c>
      <c r="J2100" t="s">
        <v>17</v>
      </c>
    </row>
    <row r="2101" spans="1:10" x14ac:dyDescent="0.35">
      <c r="A2101" t="s">
        <v>2284</v>
      </c>
      <c r="B2101" s="10">
        <v>46038</v>
      </c>
      <c r="C2101" t="s">
        <v>253</v>
      </c>
      <c r="D2101" t="s">
        <v>29</v>
      </c>
      <c r="E2101" t="s">
        <v>30</v>
      </c>
      <c r="F2101" t="s">
        <v>14</v>
      </c>
      <c r="G2101">
        <v>36.69</v>
      </c>
      <c r="H2101" t="s">
        <v>98</v>
      </c>
      <c r="I2101" t="s">
        <v>47</v>
      </c>
      <c r="J2101" t="s">
        <v>158</v>
      </c>
    </row>
    <row r="2102" spans="1:10" x14ac:dyDescent="0.35">
      <c r="A2102" t="s">
        <v>2285</v>
      </c>
      <c r="B2102" s="10">
        <v>46039</v>
      </c>
      <c r="C2102" t="s">
        <v>19</v>
      </c>
      <c r="D2102" t="s">
        <v>12</v>
      </c>
      <c r="E2102" t="s">
        <v>13</v>
      </c>
      <c r="F2102" t="s">
        <v>14</v>
      </c>
      <c r="G2102">
        <v>37.090000000000003</v>
      </c>
      <c r="H2102" t="s">
        <v>15</v>
      </c>
      <c r="I2102" t="s">
        <v>36</v>
      </c>
      <c r="J2102" t="s">
        <v>23</v>
      </c>
    </row>
    <row r="2103" spans="1:10" x14ac:dyDescent="0.35">
      <c r="A2103" t="s">
        <v>2286</v>
      </c>
      <c r="B2103" s="10">
        <v>46039</v>
      </c>
      <c r="C2103" t="s">
        <v>63</v>
      </c>
      <c r="D2103" t="s">
        <v>54</v>
      </c>
      <c r="E2103" t="s">
        <v>64</v>
      </c>
      <c r="F2103" t="s">
        <v>54</v>
      </c>
      <c r="G2103">
        <v>306.25</v>
      </c>
      <c r="H2103" t="s">
        <v>15</v>
      </c>
      <c r="I2103" t="s">
        <v>16</v>
      </c>
      <c r="J2103" t="s">
        <v>65</v>
      </c>
    </row>
    <row r="2104" spans="1:10" x14ac:dyDescent="0.35">
      <c r="A2104" t="s">
        <v>2287</v>
      </c>
      <c r="B2104" s="10">
        <v>46039</v>
      </c>
      <c r="C2104" t="s">
        <v>88</v>
      </c>
      <c r="D2104" t="s">
        <v>54</v>
      </c>
      <c r="E2104" t="s">
        <v>74</v>
      </c>
      <c r="F2104" t="s">
        <v>54</v>
      </c>
      <c r="G2104">
        <v>2653.58</v>
      </c>
      <c r="H2104" t="s">
        <v>21</v>
      </c>
      <c r="I2104" t="s">
        <v>47</v>
      </c>
      <c r="J2104" t="s">
        <v>89</v>
      </c>
    </row>
    <row r="2105" spans="1:10" x14ac:dyDescent="0.35">
      <c r="A2105" t="s">
        <v>2288</v>
      </c>
      <c r="B2105" s="10">
        <v>46039</v>
      </c>
      <c r="C2105" t="s">
        <v>43</v>
      </c>
      <c r="D2105" t="s">
        <v>12</v>
      </c>
      <c r="E2105" t="s">
        <v>26</v>
      </c>
      <c r="F2105" t="s">
        <v>14</v>
      </c>
      <c r="G2105">
        <v>44.78</v>
      </c>
      <c r="H2105" t="s">
        <v>21</v>
      </c>
      <c r="I2105" t="s">
        <v>47</v>
      </c>
      <c r="J2105" t="s">
        <v>44</v>
      </c>
    </row>
    <row r="2106" spans="1:10" x14ac:dyDescent="0.35">
      <c r="A2106" t="s">
        <v>2289</v>
      </c>
      <c r="B2106" s="10">
        <v>46039</v>
      </c>
      <c r="C2106" t="s">
        <v>53</v>
      </c>
      <c r="D2106" t="s">
        <v>54</v>
      </c>
      <c r="E2106" t="s">
        <v>55</v>
      </c>
      <c r="F2106" t="s">
        <v>54</v>
      </c>
      <c r="G2106">
        <v>653.86</v>
      </c>
      <c r="H2106" t="s">
        <v>15</v>
      </c>
      <c r="I2106" t="s">
        <v>22</v>
      </c>
      <c r="J2106" t="s">
        <v>56</v>
      </c>
    </row>
    <row r="2107" spans="1:10" x14ac:dyDescent="0.35">
      <c r="A2107" t="s">
        <v>2290</v>
      </c>
      <c r="B2107" s="10">
        <v>46039</v>
      </c>
      <c r="C2107" t="s">
        <v>155</v>
      </c>
      <c r="D2107" t="s">
        <v>12</v>
      </c>
      <c r="E2107" t="s">
        <v>51</v>
      </c>
      <c r="F2107" t="s">
        <v>14</v>
      </c>
      <c r="G2107">
        <v>23.92</v>
      </c>
      <c r="H2107" t="s">
        <v>98</v>
      </c>
      <c r="I2107" t="s">
        <v>22</v>
      </c>
      <c r="J2107" t="s">
        <v>48</v>
      </c>
    </row>
    <row r="2108" spans="1:10" x14ac:dyDescent="0.35">
      <c r="A2108" t="s">
        <v>2291</v>
      </c>
      <c r="B2108" s="10">
        <v>46039</v>
      </c>
      <c r="C2108" t="s">
        <v>168</v>
      </c>
      <c r="D2108" t="s">
        <v>59</v>
      </c>
      <c r="E2108" t="s">
        <v>60</v>
      </c>
      <c r="F2108" t="s">
        <v>14</v>
      </c>
      <c r="G2108">
        <v>128.22999999999999</v>
      </c>
      <c r="H2108" t="s">
        <v>15</v>
      </c>
      <c r="I2108" t="s">
        <v>36</v>
      </c>
      <c r="J2108" t="s">
        <v>170</v>
      </c>
    </row>
    <row r="2109" spans="1:10" x14ac:dyDescent="0.35">
      <c r="A2109" t="s">
        <v>2292</v>
      </c>
      <c r="B2109" s="10">
        <v>46039</v>
      </c>
      <c r="C2109" t="s">
        <v>350</v>
      </c>
      <c r="D2109" t="s">
        <v>29</v>
      </c>
      <c r="E2109" t="s">
        <v>151</v>
      </c>
      <c r="F2109" t="s">
        <v>14</v>
      </c>
      <c r="G2109">
        <v>37.08</v>
      </c>
      <c r="H2109" t="s">
        <v>15</v>
      </c>
      <c r="I2109" t="s">
        <v>47</v>
      </c>
      <c r="J2109" t="s">
        <v>158</v>
      </c>
    </row>
    <row r="2110" spans="1:10" x14ac:dyDescent="0.35">
      <c r="A2110" t="s">
        <v>2293</v>
      </c>
      <c r="B2110" s="10">
        <v>46040</v>
      </c>
      <c r="C2110" t="s">
        <v>426</v>
      </c>
      <c r="D2110" t="s">
        <v>69</v>
      </c>
      <c r="E2110" t="s">
        <v>70</v>
      </c>
      <c r="F2110" t="s">
        <v>14</v>
      </c>
      <c r="G2110">
        <v>232.43</v>
      </c>
      <c r="H2110" t="s">
        <v>21</v>
      </c>
      <c r="I2110" t="s">
        <v>22</v>
      </c>
      <c r="J2110" t="s">
        <v>396</v>
      </c>
    </row>
    <row r="2111" spans="1:10" x14ac:dyDescent="0.35">
      <c r="A2111" t="s">
        <v>2294</v>
      </c>
      <c r="B2111" s="10">
        <v>46040</v>
      </c>
      <c r="C2111" t="s">
        <v>88</v>
      </c>
      <c r="D2111" t="s">
        <v>54</v>
      </c>
      <c r="E2111" t="s">
        <v>74</v>
      </c>
      <c r="F2111" t="s">
        <v>54</v>
      </c>
      <c r="G2111">
        <v>1962.65</v>
      </c>
      <c r="H2111" t="s">
        <v>15</v>
      </c>
      <c r="I2111" t="s">
        <v>84</v>
      </c>
      <c r="J2111" t="s">
        <v>89</v>
      </c>
    </row>
    <row r="2112" spans="1:10" x14ac:dyDescent="0.35">
      <c r="A2112" t="s">
        <v>2295</v>
      </c>
      <c r="B2112" s="10">
        <v>46040</v>
      </c>
      <c r="C2112" t="s">
        <v>155</v>
      </c>
      <c r="D2112" t="s">
        <v>12</v>
      </c>
      <c r="E2112" t="s">
        <v>51</v>
      </c>
      <c r="F2112" t="s">
        <v>14</v>
      </c>
      <c r="G2112">
        <v>11.91</v>
      </c>
      <c r="H2112" t="s">
        <v>15</v>
      </c>
      <c r="I2112" t="s">
        <v>84</v>
      </c>
      <c r="J2112" t="s">
        <v>48</v>
      </c>
    </row>
    <row r="2113" spans="1:10" x14ac:dyDescent="0.35">
      <c r="A2113" t="s">
        <v>2296</v>
      </c>
      <c r="B2113" s="10">
        <v>46041</v>
      </c>
      <c r="C2113" t="s">
        <v>28</v>
      </c>
      <c r="D2113" t="s">
        <v>29</v>
      </c>
      <c r="E2113" t="s">
        <v>30</v>
      </c>
      <c r="F2113" t="s">
        <v>14</v>
      </c>
      <c r="G2113">
        <v>65.16</v>
      </c>
      <c r="H2113" t="s">
        <v>15</v>
      </c>
      <c r="I2113" t="s">
        <v>36</v>
      </c>
      <c r="J2113" t="s">
        <v>31</v>
      </c>
    </row>
    <row r="2114" spans="1:10" x14ac:dyDescent="0.35">
      <c r="A2114" t="s">
        <v>2297</v>
      </c>
      <c r="B2114" s="10">
        <v>46041</v>
      </c>
      <c r="C2114" t="s">
        <v>296</v>
      </c>
      <c r="D2114" t="s">
        <v>101</v>
      </c>
      <c r="E2114" t="s">
        <v>136</v>
      </c>
      <c r="F2114" t="s">
        <v>14</v>
      </c>
      <c r="G2114">
        <v>20.36</v>
      </c>
      <c r="H2114" t="s">
        <v>15</v>
      </c>
      <c r="I2114" t="s">
        <v>22</v>
      </c>
      <c r="J2114" t="s">
        <v>136</v>
      </c>
    </row>
    <row r="2115" spans="1:10" x14ac:dyDescent="0.35">
      <c r="A2115" t="s">
        <v>2298</v>
      </c>
      <c r="B2115" s="10">
        <v>46041</v>
      </c>
      <c r="C2115" t="s">
        <v>175</v>
      </c>
      <c r="D2115" t="s">
        <v>80</v>
      </c>
      <c r="E2115" t="s">
        <v>92</v>
      </c>
      <c r="F2115" t="s">
        <v>14</v>
      </c>
      <c r="G2115">
        <v>37.979999999999997</v>
      </c>
      <c r="H2115" t="s">
        <v>15</v>
      </c>
      <c r="I2115" t="s">
        <v>47</v>
      </c>
      <c r="J2115" t="s">
        <v>141</v>
      </c>
    </row>
    <row r="2116" spans="1:10" x14ac:dyDescent="0.35">
      <c r="A2116" t="s">
        <v>2299</v>
      </c>
      <c r="B2116" s="10">
        <v>46041</v>
      </c>
      <c r="C2116" t="s">
        <v>269</v>
      </c>
      <c r="D2116" t="s">
        <v>34</v>
      </c>
      <c r="E2116" t="s">
        <v>35</v>
      </c>
      <c r="F2116" t="s">
        <v>14</v>
      </c>
      <c r="G2116">
        <v>85.47</v>
      </c>
      <c r="H2116" t="s">
        <v>15</v>
      </c>
      <c r="I2116" t="s">
        <v>47</v>
      </c>
      <c r="J2116" t="s">
        <v>123</v>
      </c>
    </row>
    <row r="2117" spans="1:10" x14ac:dyDescent="0.35">
      <c r="A2117" t="s">
        <v>2300</v>
      </c>
      <c r="B2117" s="10">
        <v>46042</v>
      </c>
      <c r="C2117" t="s">
        <v>184</v>
      </c>
      <c r="D2117" t="s">
        <v>59</v>
      </c>
      <c r="E2117" t="s">
        <v>185</v>
      </c>
      <c r="F2117" t="s">
        <v>14</v>
      </c>
      <c r="G2117">
        <v>485.8</v>
      </c>
      <c r="H2117" t="s">
        <v>15</v>
      </c>
      <c r="I2117" t="s">
        <v>22</v>
      </c>
      <c r="J2117" t="s">
        <v>61</v>
      </c>
    </row>
    <row r="2118" spans="1:10" x14ac:dyDescent="0.35">
      <c r="A2118" t="s">
        <v>2301</v>
      </c>
      <c r="B2118" s="10">
        <v>46042</v>
      </c>
      <c r="C2118" t="s">
        <v>229</v>
      </c>
      <c r="D2118" t="s">
        <v>54</v>
      </c>
      <c r="E2118" t="s">
        <v>64</v>
      </c>
      <c r="F2118" t="s">
        <v>54</v>
      </c>
      <c r="G2118">
        <v>325.20999999999998</v>
      </c>
      <c r="H2118" t="s">
        <v>21</v>
      </c>
      <c r="I2118" t="s">
        <v>16</v>
      </c>
      <c r="J2118" t="s">
        <v>56</v>
      </c>
    </row>
    <row r="2119" spans="1:10" x14ac:dyDescent="0.35">
      <c r="A2119" t="s">
        <v>2302</v>
      </c>
      <c r="B2119" s="10">
        <v>46042</v>
      </c>
      <c r="C2119" t="s">
        <v>163</v>
      </c>
      <c r="D2119" t="s">
        <v>80</v>
      </c>
      <c r="E2119" t="s">
        <v>92</v>
      </c>
      <c r="F2119" t="s">
        <v>14</v>
      </c>
      <c r="G2119">
        <v>15.93</v>
      </c>
      <c r="H2119" t="s">
        <v>15</v>
      </c>
      <c r="I2119" t="s">
        <v>47</v>
      </c>
      <c r="J2119" t="s">
        <v>118</v>
      </c>
    </row>
    <row r="2120" spans="1:10" x14ac:dyDescent="0.35">
      <c r="A2120" t="s">
        <v>2303</v>
      </c>
      <c r="B2120" s="10">
        <v>46042</v>
      </c>
      <c r="C2120" t="s">
        <v>824</v>
      </c>
      <c r="D2120" t="s">
        <v>69</v>
      </c>
      <c r="E2120" t="s">
        <v>233</v>
      </c>
      <c r="F2120" t="s">
        <v>14</v>
      </c>
      <c r="G2120">
        <v>125.83</v>
      </c>
      <c r="H2120" t="s">
        <v>15</v>
      </c>
      <c r="I2120" t="s">
        <v>22</v>
      </c>
      <c r="J2120" t="s">
        <v>133</v>
      </c>
    </row>
    <row r="2121" spans="1:10" x14ac:dyDescent="0.35">
      <c r="A2121" t="s">
        <v>2304</v>
      </c>
      <c r="B2121" s="10">
        <v>46042</v>
      </c>
      <c r="C2121" t="s">
        <v>168</v>
      </c>
      <c r="D2121" t="s">
        <v>59</v>
      </c>
      <c r="E2121" t="s">
        <v>60</v>
      </c>
      <c r="F2121" t="s">
        <v>14</v>
      </c>
      <c r="G2121">
        <v>393.56</v>
      </c>
      <c r="H2121" t="s">
        <v>15</v>
      </c>
      <c r="I2121" t="s">
        <v>36</v>
      </c>
      <c r="J2121" t="s">
        <v>170</v>
      </c>
    </row>
    <row r="2122" spans="1:10" x14ac:dyDescent="0.35">
      <c r="A2122" t="s">
        <v>2305</v>
      </c>
      <c r="B2122" s="10">
        <v>46043</v>
      </c>
      <c r="C2122" t="s">
        <v>73</v>
      </c>
      <c r="D2122" t="s">
        <v>54</v>
      </c>
      <c r="E2122" t="s">
        <v>74</v>
      </c>
      <c r="F2122" t="s">
        <v>54</v>
      </c>
      <c r="G2122">
        <v>2470.4699999999998</v>
      </c>
      <c r="H2122" t="s">
        <v>21</v>
      </c>
      <c r="I2122" t="s">
        <v>47</v>
      </c>
      <c r="J2122" t="s">
        <v>65</v>
      </c>
    </row>
    <row r="2123" spans="1:10" x14ac:dyDescent="0.35">
      <c r="A2123" t="s">
        <v>2306</v>
      </c>
      <c r="B2123" s="10">
        <v>46043</v>
      </c>
      <c r="C2123" t="s">
        <v>33</v>
      </c>
      <c r="D2123" t="s">
        <v>34</v>
      </c>
      <c r="E2123" t="s">
        <v>35</v>
      </c>
      <c r="F2123" t="s">
        <v>14</v>
      </c>
      <c r="G2123">
        <v>93.88</v>
      </c>
      <c r="H2123" t="s">
        <v>21</v>
      </c>
      <c r="I2123" t="s">
        <v>36</v>
      </c>
      <c r="J2123" t="s">
        <v>37</v>
      </c>
    </row>
    <row r="2124" spans="1:10" x14ac:dyDescent="0.35">
      <c r="A2124" t="s">
        <v>2307</v>
      </c>
      <c r="B2124" s="10">
        <v>46044</v>
      </c>
      <c r="C2124" t="s">
        <v>63</v>
      </c>
      <c r="D2124" t="s">
        <v>54</v>
      </c>
      <c r="E2124" t="s">
        <v>64</v>
      </c>
      <c r="F2124" t="s">
        <v>54</v>
      </c>
      <c r="G2124">
        <v>416.75</v>
      </c>
      <c r="H2124" t="s">
        <v>15</v>
      </c>
      <c r="I2124" t="s">
        <v>47</v>
      </c>
      <c r="J2124" t="s">
        <v>65</v>
      </c>
    </row>
    <row r="2125" spans="1:10" x14ac:dyDescent="0.35">
      <c r="A2125" t="s">
        <v>2308</v>
      </c>
      <c r="B2125" s="10">
        <v>46044</v>
      </c>
      <c r="C2125" t="s">
        <v>198</v>
      </c>
      <c r="D2125" t="s">
        <v>59</v>
      </c>
      <c r="E2125" t="s">
        <v>199</v>
      </c>
      <c r="F2125" t="s">
        <v>14</v>
      </c>
      <c r="G2125">
        <v>46.37</v>
      </c>
      <c r="H2125" t="s">
        <v>15</v>
      </c>
      <c r="I2125" t="s">
        <v>47</v>
      </c>
      <c r="J2125" t="s">
        <v>61</v>
      </c>
    </row>
    <row r="2126" spans="1:10" x14ac:dyDescent="0.35">
      <c r="A2126" t="s">
        <v>2309</v>
      </c>
      <c r="B2126" s="10">
        <v>46044</v>
      </c>
      <c r="C2126" t="s">
        <v>63</v>
      </c>
      <c r="D2126" t="s">
        <v>54</v>
      </c>
      <c r="E2126" t="s">
        <v>64</v>
      </c>
      <c r="F2126" t="s">
        <v>54</v>
      </c>
      <c r="G2126">
        <v>372.97</v>
      </c>
      <c r="H2126" t="s">
        <v>15</v>
      </c>
      <c r="I2126" t="s">
        <v>22</v>
      </c>
      <c r="J2126" t="s">
        <v>65</v>
      </c>
    </row>
    <row r="2127" spans="1:10" x14ac:dyDescent="0.35">
      <c r="A2127" t="s">
        <v>2310</v>
      </c>
      <c r="B2127" s="10">
        <v>46044</v>
      </c>
      <c r="C2127" t="s">
        <v>157</v>
      </c>
      <c r="D2127" t="s">
        <v>29</v>
      </c>
      <c r="E2127" t="s">
        <v>95</v>
      </c>
      <c r="F2127" t="s">
        <v>14</v>
      </c>
      <c r="G2127">
        <v>34.31</v>
      </c>
      <c r="H2127" t="s">
        <v>21</v>
      </c>
      <c r="I2127" t="s">
        <v>22</v>
      </c>
      <c r="J2127" t="s">
        <v>158</v>
      </c>
    </row>
    <row r="2128" spans="1:10" x14ac:dyDescent="0.35">
      <c r="A2128" t="s">
        <v>2311</v>
      </c>
      <c r="B2128" s="10">
        <v>46044</v>
      </c>
      <c r="C2128" t="s">
        <v>415</v>
      </c>
      <c r="D2128" t="s">
        <v>12</v>
      </c>
      <c r="E2128" t="s">
        <v>51</v>
      </c>
      <c r="F2128" t="s">
        <v>14</v>
      </c>
      <c r="G2128">
        <v>33.99</v>
      </c>
      <c r="H2128" t="s">
        <v>21</v>
      </c>
      <c r="I2128" t="s">
        <v>22</v>
      </c>
      <c r="J2128" t="s">
        <v>77</v>
      </c>
    </row>
    <row r="2129" spans="1:10" x14ac:dyDescent="0.35">
      <c r="A2129" t="s">
        <v>2312</v>
      </c>
      <c r="B2129" s="10">
        <v>46045</v>
      </c>
      <c r="C2129" t="s">
        <v>175</v>
      </c>
      <c r="D2129" t="s">
        <v>80</v>
      </c>
      <c r="E2129" t="s">
        <v>92</v>
      </c>
      <c r="F2129" t="s">
        <v>14</v>
      </c>
      <c r="G2129">
        <v>39.380000000000003</v>
      </c>
      <c r="H2129" t="s">
        <v>15</v>
      </c>
      <c r="I2129" t="s">
        <v>84</v>
      </c>
      <c r="J2129" t="s">
        <v>141</v>
      </c>
    </row>
    <row r="2130" spans="1:10" x14ac:dyDescent="0.35">
      <c r="A2130" t="s">
        <v>2313</v>
      </c>
      <c r="B2130" s="10">
        <v>46045</v>
      </c>
      <c r="C2130" t="s">
        <v>175</v>
      </c>
      <c r="D2130" t="s">
        <v>80</v>
      </c>
      <c r="E2130" t="s">
        <v>92</v>
      </c>
      <c r="F2130" t="s">
        <v>14</v>
      </c>
      <c r="G2130">
        <v>60.06</v>
      </c>
      <c r="H2130" t="s">
        <v>15</v>
      </c>
      <c r="I2130" t="s">
        <v>47</v>
      </c>
      <c r="J2130" t="s">
        <v>141</v>
      </c>
    </row>
    <row r="2131" spans="1:10" x14ac:dyDescent="0.35">
      <c r="A2131" t="s">
        <v>2314</v>
      </c>
      <c r="B2131" s="10">
        <v>46045</v>
      </c>
      <c r="C2131" t="s">
        <v>198</v>
      </c>
      <c r="D2131" t="s">
        <v>59</v>
      </c>
      <c r="E2131" t="s">
        <v>199</v>
      </c>
      <c r="F2131" t="s">
        <v>14</v>
      </c>
      <c r="G2131">
        <v>139.25</v>
      </c>
      <c r="H2131" t="s">
        <v>21</v>
      </c>
      <c r="I2131" t="s">
        <v>36</v>
      </c>
      <c r="J2131" t="s">
        <v>61</v>
      </c>
    </row>
    <row r="2132" spans="1:10" x14ac:dyDescent="0.35">
      <c r="A2132" t="s">
        <v>2315</v>
      </c>
      <c r="B2132" s="10">
        <v>46045</v>
      </c>
      <c r="C2132" t="s">
        <v>411</v>
      </c>
      <c r="D2132" t="s">
        <v>29</v>
      </c>
      <c r="E2132" t="s">
        <v>151</v>
      </c>
      <c r="F2132" t="s">
        <v>14</v>
      </c>
      <c r="G2132">
        <v>15.43</v>
      </c>
      <c r="H2132" t="s">
        <v>98</v>
      </c>
      <c r="I2132" t="s">
        <v>36</v>
      </c>
      <c r="J2132" t="s">
        <v>151</v>
      </c>
    </row>
    <row r="2133" spans="1:10" x14ac:dyDescent="0.35">
      <c r="A2133" t="s">
        <v>2316</v>
      </c>
      <c r="B2133" s="10">
        <v>46046</v>
      </c>
      <c r="C2133" t="s">
        <v>229</v>
      </c>
      <c r="D2133" t="s">
        <v>54</v>
      </c>
      <c r="E2133" t="s">
        <v>64</v>
      </c>
      <c r="F2133" t="s">
        <v>54</v>
      </c>
      <c r="G2133">
        <v>367.51</v>
      </c>
      <c r="H2133" t="s">
        <v>15</v>
      </c>
      <c r="I2133" t="s">
        <v>47</v>
      </c>
      <c r="J2133" t="s">
        <v>56</v>
      </c>
    </row>
    <row r="2134" spans="1:10" x14ac:dyDescent="0.35">
      <c r="A2134" t="s">
        <v>2317</v>
      </c>
      <c r="B2134" s="10">
        <v>46046</v>
      </c>
      <c r="C2134" t="s">
        <v>251</v>
      </c>
      <c r="D2134" t="s">
        <v>29</v>
      </c>
      <c r="E2134" t="s">
        <v>151</v>
      </c>
      <c r="F2134" t="s">
        <v>14</v>
      </c>
      <c r="G2134">
        <v>30.41</v>
      </c>
      <c r="H2134" t="s">
        <v>15</v>
      </c>
      <c r="I2134" t="s">
        <v>16</v>
      </c>
      <c r="J2134" t="s">
        <v>31</v>
      </c>
    </row>
    <row r="2135" spans="1:10" x14ac:dyDescent="0.35">
      <c r="A2135" t="s">
        <v>2318</v>
      </c>
      <c r="B2135" s="10">
        <v>46046</v>
      </c>
      <c r="C2135" t="s">
        <v>253</v>
      </c>
      <c r="D2135" t="s">
        <v>29</v>
      </c>
      <c r="E2135" t="s">
        <v>30</v>
      </c>
      <c r="F2135" t="s">
        <v>14</v>
      </c>
      <c r="G2135">
        <v>7.54</v>
      </c>
      <c r="H2135" t="s">
        <v>21</v>
      </c>
      <c r="I2135" t="s">
        <v>47</v>
      </c>
      <c r="J2135" t="s">
        <v>158</v>
      </c>
    </row>
    <row r="2136" spans="1:10" x14ac:dyDescent="0.35">
      <c r="A2136" t="s">
        <v>2319</v>
      </c>
      <c r="B2136" s="10">
        <v>46047</v>
      </c>
      <c r="C2136" t="s">
        <v>140</v>
      </c>
      <c r="D2136" t="s">
        <v>80</v>
      </c>
      <c r="E2136" t="s">
        <v>81</v>
      </c>
      <c r="F2136" t="s">
        <v>14</v>
      </c>
      <c r="G2136">
        <v>65.72</v>
      </c>
      <c r="H2136" t="s">
        <v>15</v>
      </c>
      <c r="I2136" t="s">
        <v>36</v>
      </c>
      <c r="J2136" t="s">
        <v>141</v>
      </c>
    </row>
    <row r="2137" spans="1:10" x14ac:dyDescent="0.35">
      <c r="A2137" t="s">
        <v>2320</v>
      </c>
      <c r="B2137" s="10">
        <v>46047</v>
      </c>
      <c r="C2137" t="s">
        <v>194</v>
      </c>
      <c r="D2137" t="s">
        <v>101</v>
      </c>
      <c r="E2137" t="s">
        <v>136</v>
      </c>
      <c r="F2137" t="s">
        <v>14</v>
      </c>
      <c r="G2137">
        <v>46.96</v>
      </c>
      <c r="H2137" t="s">
        <v>21</v>
      </c>
      <c r="I2137" t="s">
        <v>47</v>
      </c>
      <c r="J2137" t="s">
        <v>103</v>
      </c>
    </row>
    <row r="2138" spans="1:10" x14ac:dyDescent="0.35">
      <c r="A2138" t="s">
        <v>2321</v>
      </c>
      <c r="B2138" s="10">
        <v>46047</v>
      </c>
      <c r="C2138" t="s">
        <v>79</v>
      </c>
      <c r="D2138" t="s">
        <v>80</v>
      </c>
      <c r="E2138" t="s">
        <v>81</v>
      </c>
      <c r="F2138" t="s">
        <v>14</v>
      </c>
      <c r="G2138">
        <v>157.5</v>
      </c>
      <c r="H2138" t="s">
        <v>15</v>
      </c>
      <c r="I2138" t="s">
        <v>47</v>
      </c>
      <c r="J2138" t="s">
        <v>82</v>
      </c>
    </row>
    <row r="2139" spans="1:10" x14ac:dyDescent="0.35">
      <c r="A2139" t="s">
        <v>2322</v>
      </c>
      <c r="B2139" s="10">
        <v>46047</v>
      </c>
      <c r="C2139" t="s">
        <v>262</v>
      </c>
      <c r="D2139" t="s">
        <v>101</v>
      </c>
      <c r="E2139" t="s">
        <v>244</v>
      </c>
      <c r="F2139" t="s">
        <v>14</v>
      </c>
      <c r="G2139">
        <v>30.35</v>
      </c>
      <c r="H2139" t="s">
        <v>21</v>
      </c>
      <c r="I2139" t="s">
        <v>22</v>
      </c>
      <c r="J2139" t="s">
        <v>136</v>
      </c>
    </row>
    <row r="2140" spans="1:10" x14ac:dyDescent="0.35">
      <c r="A2140" t="s">
        <v>2323</v>
      </c>
      <c r="B2140" s="10">
        <v>46047</v>
      </c>
      <c r="C2140" t="s">
        <v>415</v>
      </c>
      <c r="D2140" t="s">
        <v>12</v>
      </c>
      <c r="E2140" t="s">
        <v>51</v>
      </c>
      <c r="F2140" t="s">
        <v>14</v>
      </c>
      <c r="G2140">
        <v>52.34</v>
      </c>
      <c r="H2140" t="s">
        <v>15</v>
      </c>
      <c r="I2140" t="s">
        <v>22</v>
      </c>
      <c r="J2140" t="s">
        <v>77</v>
      </c>
    </row>
    <row r="2141" spans="1:10" x14ac:dyDescent="0.35">
      <c r="A2141" t="s">
        <v>2324</v>
      </c>
      <c r="B2141" s="10">
        <v>46047</v>
      </c>
      <c r="C2141" t="s">
        <v>229</v>
      </c>
      <c r="D2141" t="s">
        <v>54</v>
      </c>
      <c r="E2141" t="s">
        <v>64</v>
      </c>
      <c r="F2141" t="s">
        <v>54</v>
      </c>
      <c r="G2141">
        <v>321.66000000000003</v>
      </c>
      <c r="H2141" t="s">
        <v>15</v>
      </c>
      <c r="I2141" t="s">
        <v>84</v>
      </c>
      <c r="J2141" t="s">
        <v>56</v>
      </c>
    </row>
    <row r="2142" spans="1:10" x14ac:dyDescent="0.35">
      <c r="A2142" t="s">
        <v>2325</v>
      </c>
      <c r="B2142" s="10">
        <v>46048</v>
      </c>
      <c r="C2142" t="s">
        <v>53</v>
      </c>
      <c r="D2142" t="s">
        <v>54</v>
      </c>
      <c r="E2142" t="s">
        <v>55</v>
      </c>
      <c r="F2142" t="s">
        <v>54</v>
      </c>
      <c r="G2142">
        <v>634.17999999999995</v>
      </c>
      <c r="H2142" t="s">
        <v>21</v>
      </c>
      <c r="I2142" t="s">
        <v>22</v>
      </c>
      <c r="J2142" t="s">
        <v>56</v>
      </c>
    </row>
    <row r="2143" spans="1:10" x14ac:dyDescent="0.35">
      <c r="A2143" t="s">
        <v>2326</v>
      </c>
      <c r="B2143" s="10">
        <v>46048</v>
      </c>
      <c r="C2143" t="s">
        <v>76</v>
      </c>
      <c r="D2143" t="s">
        <v>12</v>
      </c>
      <c r="E2143" t="s">
        <v>13</v>
      </c>
      <c r="F2143" t="s">
        <v>14</v>
      </c>
      <c r="G2143">
        <v>104.18</v>
      </c>
      <c r="H2143" t="s">
        <v>15</v>
      </c>
      <c r="I2143" t="s">
        <v>36</v>
      </c>
      <c r="J2143" t="s">
        <v>77</v>
      </c>
    </row>
    <row r="2144" spans="1:10" x14ac:dyDescent="0.35">
      <c r="A2144" t="s">
        <v>2327</v>
      </c>
      <c r="B2144" s="10">
        <v>46048</v>
      </c>
      <c r="C2144" t="s">
        <v>308</v>
      </c>
      <c r="D2144" t="s">
        <v>54</v>
      </c>
      <c r="E2144" t="s">
        <v>64</v>
      </c>
      <c r="F2144" t="s">
        <v>54</v>
      </c>
      <c r="G2144">
        <v>377.8</v>
      </c>
      <c r="H2144" t="s">
        <v>15</v>
      </c>
      <c r="I2144" t="s">
        <v>16</v>
      </c>
      <c r="J2144" t="s">
        <v>89</v>
      </c>
    </row>
    <row r="2145" spans="1:10" x14ac:dyDescent="0.35">
      <c r="A2145" t="s">
        <v>2328</v>
      </c>
      <c r="B2145" s="10">
        <v>46048</v>
      </c>
      <c r="C2145" t="s">
        <v>177</v>
      </c>
      <c r="D2145" t="s">
        <v>54</v>
      </c>
      <c r="E2145" t="s">
        <v>74</v>
      </c>
      <c r="F2145" t="s">
        <v>54</v>
      </c>
      <c r="G2145">
        <v>2656.54</v>
      </c>
      <c r="H2145" t="s">
        <v>15</v>
      </c>
      <c r="I2145" t="s">
        <v>16</v>
      </c>
      <c r="J2145" t="s">
        <v>56</v>
      </c>
    </row>
    <row r="2146" spans="1:10" x14ac:dyDescent="0.35">
      <c r="A2146" t="s">
        <v>2329</v>
      </c>
      <c r="B2146" s="10">
        <v>46048</v>
      </c>
      <c r="C2146" t="s">
        <v>238</v>
      </c>
      <c r="D2146" t="s">
        <v>34</v>
      </c>
      <c r="E2146" t="s">
        <v>35</v>
      </c>
      <c r="F2146" t="s">
        <v>14</v>
      </c>
      <c r="G2146">
        <v>59.54</v>
      </c>
      <c r="H2146" t="s">
        <v>15</v>
      </c>
      <c r="I2146" t="s">
        <v>16</v>
      </c>
      <c r="J2146" t="s">
        <v>239</v>
      </c>
    </row>
    <row r="2147" spans="1:10" x14ac:dyDescent="0.35">
      <c r="A2147" t="s">
        <v>2330</v>
      </c>
      <c r="B2147" s="10">
        <v>46048</v>
      </c>
      <c r="C2147" t="s">
        <v>76</v>
      </c>
      <c r="D2147" t="s">
        <v>12</v>
      </c>
      <c r="E2147" t="s">
        <v>13</v>
      </c>
      <c r="F2147" t="s">
        <v>14</v>
      </c>
      <c r="G2147">
        <v>45.69</v>
      </c>
      <c r="H2147" t="s">
        <v>21</v>
      </c>
      <c r="I2147" t="s">
        <v>22</v>
      </c>
      <c r="J2147" t="s">
        <v>77</v>
      </c>
    </row>
    <row r="2148" spans="1:10" x14ac:dyDescent="0.35">
      <c r="A2148" t="s">
        <v>2331</v>
      </c>
      <c r="B2148" s="10">
        <v>46048</v>
      </c>
      <c r="C2148" t="s">
        <v>184</v>
      </c>
      <c r="D2148" t="s">
        <v>59</v>
      </c>
      <c r="E2148" t="s">
        <v>185</v>
      </c>
      <c r="F2148" t="s">
        <v>14</v>
      </c>
      <c r="G2148">
        <v>234.72</v>
      </c>
      <c r="H2148" t="s">
        <v>15</v>
      </c>
      <c r="I2148" t="s">
        <v>22</v>
      </c>
      <c r="J2148" t="s">
        <v>61</v>
      </c>
    </row>
    <row r="2149" spans="1:10" x14ac:dyDescent="0.35">
      <c r="A2149" t="s">
        <v>2332</v>
      </c>
      <c r="B2149" s="10">
        <v>46048</v>
      </c>
      <c r="C2149" t="s">
        <v>269</v>
      </c>
      <c r="D2149" t="s">
        <v>34</v>
      </c>
      <c r="E2149" t="s">
        <v>35</v>
      </c>
      <c r="F2149" t="s">
        <v>14</v>
      </c>
      <c r="G2149">
        <v>124.74</v>
      </c>
      <c r="H2149" t="s">
        <v>15</v>
      </c>
      <c r="I2149" t="s">
        <v>22</v>
      </c>
      <c r="J2149" t="s">
        <v>123</v>
      </c>
    </row>
    <row r="2150" spans="1:10" x14ac:dyDescent="0.35">
      <c r="A2150" t="s">
        <v>2333</v>
      </c>
      <c r="B2150" s="10">
        <v>46048</v>
      </c>
      <c r="C2150" t="s">
        <v>267</v>
      </c>
      <c r="D2150" t="s">
        <v>29</v>
      </c>
      <c r="E2150" t="s">
        <v>30</v>
      </c>
      <c r="F2150" t="s">
        <v>14</v>
      </c>
      <c r="G2150">
        <v>14.08</v>
      </c>
      <c r="H2150" t="s">
        <v>15</v>
      </c>
      <c r="I2150" t="s">
        <v>36</v>
      </c>
      <c r="J2150" t="s">
        <v>96</v>
      </c>
    </row>
    <row r="2151" spans="1:10" x14ac:dyDescent="0.35">
      <c r="A2151" t="s">
        <v>2334</v>
      </c>
      <c r="B2151" s="10">
        <v>46049</v>
      </c>
      <c r="C2151" t="s">
        <v>73</v>
      </c>
      <c r="D2151" t="s">
        <v>54</v>
      </c>
      <c r="E2151" t="s">
        <v>74</v>
      </c>
      <c r="F2151" t="s">
        <v>54</v>
      </c>
      <c r="G2151">
        <v>2442.1999999999998</v>
      </c>
      <c r="H2151" t="s">
        <v>21</v>
      </c>
      <c r="I2151" t="s">
        <v>47</v>
      </c>
      <c r="J2151" t="s">
        <v>65</v>
      </c>
    </row>
    <row r="2152" spans="1:10" x14ac:dyDescent="0.35">
      <c r="A2152" t="s">
        <v>2335</v>
      </c>
      <c r="B2152" s="10">
        <v>46049</v>
      </c>
      <c r="C2152" t="s">
        <v>269</v>
      </c>
      <c r="D2152" t="s">
        <v>34</v>
      </c>
      <c r="E2152" t="s">
        <v>35</v>
      </c>
      <c r="F2152" t="s">
        <v>14</v>
      </c>
      <c r="G2152">
        <v>47.54</v>
      </c>
      <c r="H2152" t="s">
        <v>15</v>
      </c>
      <c r="I2152" t="s">
        <v>22</v>
      </c>
      <c r="J2152" t="s">
        <v>123</v>
      </c>
    </row>
    <row r="2153" spans="1:10" x14ac:dyDescent="0.35">
      <c r="A2153" t="s">
        <v>2336</v>
      </c>
      <c r="B2153" s="10">
        <v>46049</v>
      </c>
      <c r="C2153" t="s">
        <v>229</v>
      </c>
      <c r="D2153" t="s">
        <v>54</v>
      </c>
      <c r="E2153" t="s">
        <v>64</v>
      </c>
      <c r="F2153" t="s">
        <v>54</v>
      </c>
      <c r="G2153">
        <v>312.25</v>
      </c>
      <c r="H2153" t="s">
        <v>21</v>
      </c>
      <c r="I2153" t="s">
        <v>84</v>
      </c>
      <c r="J2153" t="s">
        <v>56</v>
      </c>
    </row>
    <row r="2154" spans="1:10" x14ac:dyDescent="0.35">
      <c r="A2154" t="s">
        <v>2337</v>
      </c>
      <c r="B2154" s="10">
        <v>46049</v>
      </c>
      <c r="C2154" t="s">
        <v>281</v>
      </c>
      <c r="D2154" t="s">
        <v>34</v>
      </c>
      <c r="E2154" t="s">
        <v>40</v>
      </c>
      <c r="F2154" t="s">
        <v>14</v>
      </c>
      <c r="G2154">
        <v>28.45</v>
      </c>
      <c r="H2154" t="s">
        <v>15</v>
      </c>
      <c r="I2154" t="s">
        <v>22</v>
      </c>
      <c r="J2154" t="s">
        <v>123</v>
      </c>
    </row>
    <row r="2155" spans="1:10" x14ac:dyDescent="0.35">
      <c r="A2155" t="s">
        <v>2338</v>
      </c>
      <c r="B2155" s="10">
        <v>46049</v>
      </c>
      <c r="C2155" t="s">
        <v>445</v>
      </c>
      <c r="D2155" t="s">
        <v>101</v>
      </c>
      <c r="E2155" t="s">
        <v>244</v>
      </c>
      <c r="F2155" t="s">
        <v>14</v>
      </c>
      <c r="G2155">
        <v>52.07</v>
      </c>
      <c r="H2155" t="s">
        <v>15</v>
      </c>
      <c r="I2155" t="s">
        <v>22</v>
      </c>
      <c r="J2155" t="s">
        <v>103</v>
      </c>
    </row>
    <row r="2156" spans="1:10" x14ac:dyDescent="0.35">
      <c r="A2156" t="s">
        <v>2339</v>
      </c>
      <c r="B2156" s="10">
        <v>46049</v>
      </c>
      <c r="C2156" t="s">
        <v>345</v>
      </c>
      <c r="D2156" t="s">
        <v>59</v>
      </c>
      <c r="E2156" t="s">
        <v>60</v>
      </c>
      <c r="F2156" t="s">
        <v>14</v>
      </c>
      <c r="G2156">
        <v>84.81</v>
      </c>
      <c r="H2156" t="s">
        <v>15</v>
      </c>
      <c r="I2156" t="s">
        <v>22</v>
      </c>
      <c r="J2156" t="s">
        <v>211</v>
      </c>
    </row>
    <row r="2157" spans="1:10" x14ac:dyDescent="0.35">
      <c r="A2157" t="s">
        <v>2340</v>
      </c>
      <c r="B2157" s="10">
        <v>46049</v>
      </c>
      <c r="C2157" t="s">
        <v>94</v>
      </c>
      <c r="D2157" t="s">
        <v>29</v>
      </c>
      <c r="E2157" t="s">
        <v>95</v>
      </c>
      <c r="F2157" t="s">
        <v>14</v>
      </c>
      <c r="G2157">
        <v>21.18</v>
      </c>
      <c r="H2157" t="s">
        <v>15</v>
      </c>
      <c r="I2157" t="s">
        <v>22</v>
      </c>
      <c r="J2157" t="s">
        <v>96</v>
      </c>
    </row>
    <row r="2158" spans="1:10" x14ac:dyDescent="0.35">
      <c r="A2158" t="s">
        <v>2341</v>
      </c>
      <c r="B2158" s="10">
        <v>46049</v>
      </c>
      <c r="C2158" t="s">
        <v>189</v>
      </c>
      <c r="D2158" t="s">
        <v>34</v>
      </c>
      <c r="E2158" t="s">
        <v>122</v>
      </c>
      <c r="F2158" t="s">
        <v>14</v>
      </c>
      <c r="G2158">
        <v>161.46</v>
      </c>
      <c r="H2158" t="s">
        <v>98</v>
      </c>
      <c r="I2158" t="s">
        <v>22</v>
      </c>
      <c r="J2158" t="s">
        <v>37</v>
      </c>
    </row>
    <row r="2159" spans="1:10" x14ac:dyDescent="0.35">
      <c r="A2159" t="s">
        <v>2342</v>
      </c>
      <c r="B2159" s="10">
        <v>46049</v>
      </c>
      <c r="C2159" t="s">
        <v>73</v>
      </c>
      <c r="D2159" t="s">
        <v>54</v>
      </c>
      <c r="E2159" t="s">
        <v>74</v>
      </c>
      <c r="F2159" t="s">
        <v>54</v>
      </c>
      <c r="G2159">
        <v>2781.19</v>
      </c>
      <c r="H2159" t="s">
        <v>15</v>
      </c>
      <c r="I2159" t="s">
        <v>16</v>
      </c>
      <c r="J2159" t="s">
        <v>65</v>
      </c>
    </row>
    <row r="2160" spans="1:10" x14ac:dyDescent="0.35">
      <c r="A2160" t="s">
        <v>2343</v>
      </c>
      <c r="B2160" s="10">
        <v>46049</v>
      </c>
      <c r="C2160" t="s">
        <v>94</v>
      </c>
      <c r="D2160" t="s">
        <v>29</v>
      </c>
      <c r="E2160" t="s">
        <v>95</v>
      </c>
      <c r="F2160" t="s">
        <v>14</v>
      </c>
      <c r="G2160">
        <v>18.14</v>
      </c>
      <c r="H2160" t="s">
        <v>21</v>
      </c>
      <c r="I2160" t="s">
        <v>36</v>
      </c>
      <c r="J2160" t="s">
        <v>96</v>
      </c>
    </row>
    <row r="2161" spans="1:10" x14ac:dyDescent="0.35">
      <c r="A2161" t="s">
        <v>2344</v>
      </c>
      <c r="B2161" s="10">
        <v>46050</v>
      </c>
      <c r="C2161" t="s">
        <v>168</v>
      </c>
      <c r="D2161" t="s">
        <v>59</v>
      </c>
      <c r="E2161" t="s">
        <v>60</v>
      </c>
      <c r="F2161" t="s">
        <v>14</v>
      </c>
      <c r="G2161">
        <v>496.58</v>
      </c>
      <c r="H2161" t="s">
        <v>15</v>
      </c>
      <c r="I2161" t="s">
        <v>84</v>
      </c>
      <c r="J2161" t="s">
        <v>170</v>
      </c>
    </row>
    <row r="2162" spans="1:10" x14ac:dyDescent="0.35">
      <c r="A2162" t="s">
        <v>2345</v>
      </c>
      <c r="B2162" s="10">
        <v>46050</v>
      </c>
      <c r="C2162" t="s">
        <v>253</v>
      </c>
      <c r="D2162" t="s">
        <v>29</v>
      </c>
      <c r="E2162" t="s">
        <v>30</v>
      </c>
      <c r="F2162" t="s">
        <v>14</v>
      </c>
      <c r="G2162">
        <v>34.11</v>
      </c>
      <c r="H2162" t="s">
        <v>15</v>
      </c>
      <c r="I2162" t="s">
        <v>22</v>
      </c>
      <c r="J2162" t="s">
        <v>158</v>
      </c>
    </row>
    <row r="2163" spans="1:10" x14ac:dyDescent="0.35">
      <c r="A2163" t="s">
        <v>2346</v>
      </c>
      <c r="B2163" s="10">
        <v>46050</v>
      </c>
      <c r="C2163" t="s">
        <v>198</v>
      </c>
      <c r="D2163" t="s">
        <v>59</v>
      </c>
      <c r="E2163" t="s">
        <v>199</v>
      </c>
      <c r="F2163" t="s">
        <v>14</v>
      </c>
      <c r="G2163">
        <v>265.45</v>
      </c>
      <c r="H2163" t="s">
        <v>98</v>
      </c>
      <c r="I2163" t="s">
        <v>36</v>
      </c>
      <c r="J2163" t="s">
        <v>61</v>
      </c>
    </row>
    <row r="2164" spans="1:10" x14ac:dyDescent="0.35">
      <c r="A2164" t="s">
        <v>2347</v>
      </c>
      <c r="B2164" s="10">
        <v>46050</v>
      </c>
      <c r="C2164" t="s">
        <v>121</v>
      </c>
      <c r="D2164" t="s">
        <v>34</v>
      </c>
      <c r="E2164" t="s">
        <v>122</v>
      </c>
      <c r="F2164" t="s">
        <v>14</v>
      </c>
      <c r="G2164">
        <v>39.65</v>
      </c>
      <c r="H2164" t="s">
        <v>15</v>
      </c>
      <c r="I2164" t="s">
        <v>22</v>
      </c>
      <c r="J2164" t="s">
        <v>123</v>
      </c>
    </row>
    <row r="2165" spans="1:10" x14ac:dyDescent="0.35">
      <c r="A2165" t="s">
        <v>2348</v>
      </c>
      <c r="B2165" s="10">
        <v>46050</v>
      </c>
      <c r="C2165" t="s">
        <v>172</v>
      </c>
      <c r="D2165" t="s">
        <v>101</v>
      </c>
      <c r="E2165" t="s">
        <v>102</v>
      </c>
      <c r="F2165" t="s">
        <v>14</v>
      </c>
      <c r="G2165">
        <v>28.63</v>
      </c>
      <c r="H2165" t="s">
        <v>98</v>
      </c>
      <c r="I2165" t="s">
        <v>22</v>
      </c>
      <c r="J2165" t="s">
        <v>102</v>
      </c>
    </row>
    <row r="2166" spans="1:10" x14ac:dyDescent="0.35">
      <c r="A2166" t="s">
        <v>2349</v>
      </c>
      <c r="B2166" s="10">
        <v>46051</v>
      </c>
      <c r="C2166" t="s">
        <v>76</v>
      </c>
      <c r="D2166" t="s">
        <v>12</v>
      </c>
      <c r="E2166" t="s">
        <v>13</v>
      </c>
      <c r="F2166" t="s">
        <v>14</v>
      </c>
      <c r="G2166">
        <v>89.97</v>
      </c>
      <c r="H2166" t="s">
        <v>15</v>
      </c>
      <c r="I2166" t="s">
        <v>47</v>
      </c>
      <c r="J2166" t="s">
        <v>77</v>
      </c>
    </row>
    <row r="2167" spans="1:10" x14ac:dyDescent="0.35">
      <c r="A2167" t="s">
        <v>2350</v>
      </c>
      <c r="B2167" s="10">
        <v>46051</v>
      </c>
      <c r="C2167" t="s">
        <v>376</v>
      </c>
      <c r="D2167" t="s">
        <v>80</v>
      </c>
      <c r="E2167" t="s">
        <v>117</v>
      </c>
      <c r="F2167" t="s">
        <v>14</v>
      </c>
      <c r="G2167">
        <v>91</v>
      </c>
      <c r="H2167" t="s">
        <v>21</v>
      </c>
      <c r="I2167" t="s">
        <v>22</v>
      </c>
      <c r="J2167" t="s">
        <v>82</v>
      </c>
    </row>
    <row r="2168" spans="1:10" x14ac:dyDescent="0.35">
      <c r="A2168" t="s">
        <v>2351</v>
      </c>
      <c r="B2168" s="10">
        <v>46051</v>
      </c>
      <c r="C2168" t="s">
        <v>298</v>
      </c>
      <c r="D2168" t="s">
        <v>59</v>
      </c>
      <c r="E2168" t="s">
        <v>185</v>
      </c>
      <c r="F2168" t="s">
        <v>14</v>
      </c>
      <c r="G2168">
        <v>329.83</v>
      </c>
      <c r="H2168" t="s">
        <v>21</v>
      </c>
      <c r="I2168" t="s">
        <v>22</v>
      </c>
      <c r="J2168" t="s">
        <v>170</v>
      </c>
    </row>
    <row r="2169" spans="1:10" x14ac:dyDescent="0.35">
      <c r="A2169" t="s">
        <v>2352</v>
      </c>
      <c r="B2169" s="10">
        <v>46051</v>
      </c>
      <c r="C2169" t="s">
        <v>132</v>
      </c>
      <c r="D2169" t="s">
        <v>69</v>
      </c>
      <c r="E2169" t="s">
        <v>70</v>
      </c>
      <c r="F2169" t="s">
        <v>14</v>
      </c>
      <c r="G2169">
        <v>749.34</v>
      </c>
      <c r="H2169" t="s">
        <v>21</v>
      </c>
      <c r="I2169" t="s">
        <v>22</v>
      </c>
      <c r="J2169" t="s">
        <v>133</v>
      </c>
    </row>
    <row r="2170" spans="1:10" x14ac:dyDescent="0.35">
      <c r="A2170" t="s">
        <v>2353</v>
      </c>
      <c r="B2170" s="10">
        <v>46051</v>
      </c>
      <c r="C2170" t="s">
        <v>125</v>
      </c>
      <c r="D2170" t="s">
        <v>12</v>
      </c>
      <c r="E2170" t="s">
        <v>13</v>
      </c>
      <c r="F2170" t="s">
        <v>14</v>
      </c>
      <c r="G2170">
        <v>21.75</v>
      </c>
      <c r="H2170" t="s">
        <v>21</v>
      </c>
      <c r="I2170" t="s">
        <v>22</v>
      </c>
      <c r="J2170" t="s">
        <v>44</v>
      </c>
    </row>
    <row r="2171" spans="1:10" x14ac:dyDescent="0.35">
      <c r="A2171" t="s">
        <v>2354</v>
      </c>
      <c r="B2171" s="10">
        <v>46052</v>
      </c>
      <c r="C2171" t="s">
        <v>132</v>
      </c>
      <c r="D2171" t="s">
        <v>69</v>
      </c>
      <c r="E2171" t="s">
        <v>70</v>
      </c>
      <c r="F2171" t="s">
        <v>14</v>
      </c>
      <c r="G2171">
        <v>477.03</v>
      </c>
      <c r="H2171" t="s">
        <v>15</v>
      </c>
      <c r="I2171" t="s">
        <v>36</v>
      </c>
      <c r="J2171" t="s">
        <v>133</v>
      </c>
    </row>
    <row r="2172" spans="1:10" x14ac:dyDescent="0.35">
      <c r="A2172" t="s">
        <v>2355</v>
      </c>
      <c r="B2172" s="10">
        <v>46052</v>
      </c>
      <c r="C2172" t="s">
        <v>100</v>
      </c>
      <c r="D2172" t="s">
        <v>101</v>
      </c>
      <c r="E2172" t="s">
        <v>102</v>
      </c>
      <c r="F2172" t="s">
        <v>14</v>
      </c>
      <c r="G2172">
        <v>204.91</v>
      </c>
      <c r="H2172" t="s">
        <v>15</v>
      </c>
      <c r="I2172" t="s">
        <v>36</v>
      </c>
      <c r="J2172" t="s">
        <v>103</v>
      </c>
    </row>
    <row r="2173" spans="1:10" x14ac:dyDescent="0.35">
      <c r="A2173" t="s">
        <v>2356</v>
      </c>
      <c r="B2173" s="10">
        <v>46052</v>
      </c>
      <c r="C2173" t="s">
        <v>135</v>
      </c>
      <c r="D2173" t="s">
        <v>101</v>
      </c>
      <c r="E2173" t="s">
        <v>102</v>
      </c>
      <c r="F2173" t="s">
        <v>14</v>
      </c>
      <c r="G2173">
        <v>26.89</v>
      </c>
      <c r="H2173" t="s">
        <v>98</v>
      </c>
      <c r="I2173" t="s">
        <v>22</v>
      </c>
      <c r="J2173" t="s">
        <v>136</v>
      </c>
    </row>
    <row r="2174" spans="1:10" x14ac:dyDescent="0.35">
      <c r="A2174" t="s">
        <v>2357</v>
      </c>
      <c r="B2174" s="10">
        <v>46053</v>
      </c>
      <c r="C2174" t="s">
        <v>204</v>
      </c>
      <c r="D2174" t="s">
        <v>12</v>
      </c>
      <c r="E2174" t="s">
        <v>51</v>
      </c>
      <c r="F2174" t="s">
        <v>14</v>
      </c>
      <c r="G2174">
        <v>66.319999999999993</v>
      </c>
      <c r="H2174" t="s">
        <v>15</v>
      </c>
      <c r="I2174" t="s">
        <v>22</v>
      </c>
      <c r="J2174" t="s">
        <v>23</v>
      </c>
    </row>
    <row r="2175" spans="1:10" x14ac:dyDescent="0.35">
      <c r="A2175" t="s">
        <v>2358</v>
      </c>
      <c r="B2175" s="10">
        <v>46053</v>
      </c>
      <c r="C2175" t="s">
        <v>19</v>
      </c>
      <c r="D2175" t="s">
        <v>12</v>
      </c>
      <c r="E2175" t="s">
        <v>13</v>
      </c>
      <c r="F2175" t="s">
        <v>14</v>
      </c>
      <c r="G2175">
        <v>35.61</v>
      </c>
      <c r="H2175" t="s">
        <v>15</v>
      </c>
      <c r="I2175" t="s">
        <v>22</v>
      </c>
      <c r="J2175" t="s">
        <v>23</v>
      </c>
    </row>
    <row r="2176" spans="1:10" x14ac:dyDescent="0.35">
      <c r="A2176" t="s">
        <v>2359</v>
      </c>
      <c r="B2176" s="10">
        <v>46053</v>
      </c>
      <c r="C2176" t="s">
        <v>262</v>
      </c>
      <c r="D2176" t="s">
        <v>101</v>
      </c>
      <c r="E2176" t="s">
        <v>244</v>
      </c>
      <c r="F2176" t="s">
        <v>14</v>
      </c>
      <c r="G2176">
        <v>24.27</v>
      </c>
      <c r="H2176" t="s">
        <v>15</v>
      </c>
      <c r="I2176" t="s">
        <v>22</v>
      </c>
      <c r="J2176" t="s">
        <v>136</v>
      </c>
    </row>
    <row r="2177" spans="1:10" x14ac:dyDescent="0.35">
      <c r="A2177" t="s">
        <v>2360</v>
      </c>
      <c r="B2177" s="10">
        <v>46053</v>
      </c>
      <c r="C2177" t="s">
        <v>73</v>
      </c>
      <c r="D2177" t="s">
        <v>54</v>
      </c>
      <c r="E2177" t="s">
        <v>74</v>
      </c>
      <c r="F2177" t="s">
        <v>54</v>
      </c>
      <c r="G2177">
        <v>2310.0500000000002</v>
      </c>
      <c r="H2177" t="s">
        <v>15</v>
      </c>
      <c r="I2177" t="s">
        <v>36</v>
      </c>
      <c r="J2177" t="s">
        <v>65</v>
      </c>
    </row>
    <row r="2178" spans="1:10" x14ac:dyDescent="0.35">
      <c r="A2178" t="s">
        <v>2361</v>
      </c>
      <c r="B2178" s="10">
        <v>46053</v>
      </c>
      <c r="C2178" t="s">
        <v>238</v>
      </c>
      <c r="D2178" t="s">
        <v>34</v>
      </c>
      <c r="E2178" t="s">
        <v>35</v>
      </c>
      <c r="F2178" t="s">
        <v>14</v>
      </c>
      <c r="G2178">
        <v>176.6</v>
      </c>
      <c r="H2178" t="s">
        <v>21</v>
      </c>
      <c r="I2178" t="s">
        <v>22</v>
      </c>
      <c r="J2178" t="s">
        <v>239</v>
      </c>
    </row>
    <row r="2179" spans="1:10" x14ac:dyDescent="0.35">
      <c r="A2179" t="s">
        <v>2362</v>
      </c>
      <c r="B2179" s="10">
        <v>46053</v>
      </c>
      <c r="C2179" t="s">
        <v>175</v>
      </c>
      <c r="D2179" t="s">
        <v>80</v>
      </c>
      <c r="E2179" t="s">
        <v>92</v>
      </c>
      <c r="F2179" t="s">
        <v>14</v>
      </c>
      <c r="G2179">
        <v>40.159999999999997</v>
      </c>
      <c r="H2179" t="s">
        <v>21</v>
      </c>
      <c r="I2179" t="s">
        <v>47</v>
      </c>
      <c r="J2179" t="s">
        <v>141</v>
      </c>
    </row>
    <row r="2180" spans="1:10" x14ac:dyDescent="0.35">
      <c r="A2180" t="s">
        <v>2363</v>
      </c>
      <c r="B2180" s="10">
        <v>46053</v>
      </c>
      <c r="C2180" t="s">
        <v>172</v>
      </c>
      <c r="D2180" t="s">
        <v>101</v>
      </c>
      <c r="E2180" t="s">
        <v>102</v>
      </c>
      <c r="F2180" t="s">
        <v>14</v>
      </c>
      <c r="G2180">
        <v>86.01</v>
      </c>
      <c r="H2180" t="s">
        <v>98</v>
      </c>
      <c r="I2180" t="s">
        <v>16</v>
      </c>
      <c r="J2180" t="s">
        <v>102</v>
      </c>
    </row>
    <row r="2181" spans="1:10" x14ac:dyDescent="0.35">
      <c r="A2181" t="s">
        <v>2364</v>
      </c>
      <c r="B2181" s="10">
        <v>46054</v>
      </c>
      <c r="C2181" t="s">
        <v>19</v>
      </c>
      <c r="D2181" t="s">
        <v>12</v>
      </c>
      <c r="E2181" t="s">
        <v>13</v>
      </c>
      <c r="F2181" t="s">
        <v>14</v>
      </c>
      <c r="G2181">
        <v>57.9</v>
      </c>
      <c r="H2181" t="s">
        <v>15</v>
      </c>
      <c r="I2181" t="s">
        <v>36</v>
      </c>
      <c r="J2181" t="s">
        <v>23</v>
      </c>
    </row>
    <row r="2182" spans="1:10" x14ac:dyDescent="0.35">
      <c r="A2182" t="s">
        <v>2365</v>
      </c>
      <c r="B2182" s="10">
        <v>46054</v>
      </c>
      <c r="C2182" t="s">
        <v>411</v>
      </c>
      <c r="D2182" t="s">
        <v>29</v>
      </c>
      <c r="E2182" t="s">
        <v>151</v>
      </c>
      <c r="F2182" t="s">
        <v>14</v>
      </c>
      <c r="G2182">
        <v>19.87</v>
      </c>
      <c r="H2182" t="s">
        <v>15</v>
      </c>
      <c r="I2182" t="s">
        <v>36</v>
      </c>
      <c r="J2182" t="s">
        <v>151</v>
      </c>
    </row>
    <row r="2183" spans="1:10" x14ac:dyDescent="0.35">
      <c r="A2183" t="s">
        <v>2366</v>
      </c>
      <c r="B2183" s="10">
        <v>46054</v>
      </c>
      <c r="C2183" t="s">
        <v>116</v>
      </c>
      <c r="D2183" t="s">
        <v>80</v>
      </c>
      <c r="E2183" t="s">
        <v>117</v>
      </c>
      <c r="F2183" t="s">
        <v>14</v>
      </c>
      <c r="G2183">
        <v>62.55</v>
      </c>
      <c r="H2183" t="s">
        <v>15</v>
      </c>
      <c r="I2183" t="s">
        <v>36</v>
      </c>
      <c r="J2183" t="s">
        <v>118</v>
      </c>
    </row>
    <row r="2184" spans="1:10" x14ac:dyDescent="0.35">
      <c r="A2184" t="s">
        <v>2367</v>
      </c>
      <c r="B2184" s="10">
        <v>46054</v>
      </c>
      <c r="C2184" t="s">
        <v>76</v>
      </c>
      <c r="D2184" t="s">
        <v>12</v>
      </c>
      <c r="E2184" t="s">
        <v>13</v>
      </c>
      <c r="F2184" t="s">
        <v>14</v>
      </c>
      <c r="G2184">
        <v>38.94</v>
      </c>
      <c r="H2184" t="s">
        <v>15</v>
      </c>
      <c r="I2184" t="s">
        <v>22</v>
      </c>
      <c r="J2184" t="s">
        <v>77</v>
      </c>
    </row>
    <row r="2185" spans="1:10" x14ac:dyDescent="0.35">
      <c r="A2185" t="s">
        <v>2368</v>
      </c>
      <c r="B2185" s="10">
        <v>46054</v>
      </c>
      <c r="C2185" t="s">
        <v>411</v>
      </c>
      <c r="D2185" t="s">
        <v>29</v>
      </c>
      <c r="E2185" t="s">
        <v>151</v>
      </c>
      <c r="F2185" t="s">
        <v>14</v>
      </c>
      <c r="G2185">
        <v>53.32</v>
      </c>
      <c r="H2185" t="s">
        <v>15</v>
      </c>
      <c r="I2185" t="s">
        <v>22</v>
      </c>
      <c r="J2185" t="s">
        <v>151</v>
      </c>
    </row>
    <row r="2186" spans="1:10" x14ac:dyDescent="0.35">
      <c r="A2186" t="s">
        <v>2369</v>
      </c>
      <c r="B2186" s="10">
        <v>46054</v>
      </c>
      <c r="C2186" t="s">
        <v>204</v>
      </c>
      <c r="D2186" t="s">
        <v>12</v>
      </c>
      <c r="E2186" t="s">
        <v>51</v>
      </c>
      <c r="F2186" t="s">
        <v>14</v>
      </c>
      <c r="G2186">
        <v>76.349999999999994</v>
      </c>
      <c r="H2186" t="s">
        <v>15</v>
      </c>
      <c r="I2186" t="s">
        <v>47</v>
      </c>
      <c r="J2186" t="s">
        <v>23</v>
      </c>
    </row>
    <row r="2187" spans="1:10" x14ac:dyDescent="0.35">
      <c r="A2187" t="s">
        <v>2370</v>
      </c>
      <c r="B2187" s="10">
        <v>46054</v>
      </c>
      <c r="C2187" t="s">
        <v>269</v>
      </c>
      <c r="D2187" t="s">
        <v>34</v>
      </c>
      <c r="E2187" t="s">
        <v>35</v>
      </c>
      <c r="F2187" t="s">
        <v>14</v>
      </c>
      <c r="G2187">
        <v>202.6</v>
      </c>
      <c r="H2187" t="s">
        <v>15</v>
      </c>
      <c r="I2187" t="s">
        <v>84</v>
      </c>
      <c r="J2187" t="s">
        <v>123</v>
      </c>
    </row>
    <row r="2188" spans="1:10" x14ac:dyDescent="0.35">
      <c r="A2188" t="s">
        <v>2371</v>
      </c>
      <c r="B2188" s="10">
        <v>46054</v>
      </c>
      <c r="C2188" t="s">
        <v>308</v>
      </c>
      <c r="D2188" t="s">
        <v>54</v>
      </c>
      <c r="E2188" t="s">
        <v>64</v>
      </c>
      <c r="F2188" t="s">
        <v>54</v>
      </c>
      <c r="G2188">
        <v>334.13</v>
      </c>
      <c r="H2188" t="s">
        <v>15</v>
      </c>
      <c r="I2188" t="s">
        <v>47</v>
      </c>
      <c r="J2188" t="s">
        <v>89</v>
      </c>
    </row>
    <row r="2189" spans="1:10" x14ac:dyDescent="0.35">
      <c r="A2189" t="s">
        <v>2372</v>
      </c>
      <c r="B2189" s="10">
        <v>46055</v>
      </c>
      <c r="C2189" t="s">
        <v>109</v>
      </c>
      <c r="D2189" t="s">
        <v>34</v>
      </c>
      <c r="E2189" t="s">
        <v>35</v>
      </c>
      <c r="F2189" t="s">
        <v>14</v>
      </c>
      <c r="G2189">
        <v>59.59</v>
      </c>
      <c r="H2189" t="s">
        <v>15</v>
      </c>
      <c r="I2189" t="s">
        <v>22</v>
      </c>
      <c r="J2189" t="s">
        <v>41</v>
      </c>
    </row>
    <row r="2190" spans="1:10" x14ac:dyDescent="0.35">
      <c r="A2190" t="s">
        <v>2373</v>
      </c>
      <c r="B2190" s="10">
        <v>46055</v>
      </c>
      <c r="C2190" t="s">
        <v>253</v>
      </c>
      <c r="D2190" t="s">
        <v>29</v>
      </c>
      <c r="E2190" t="s">
        <v>30</v>
      </c>
      <c r="F2190" t="s">
        <v>14</v>
      </c>
      <c r="G2190">
        <v>47.03</v>
      </c>
      <c r="H2190" t="s">
        <v>15</v>
      </c>
      <c r="I2190" t="s">
        <v>47</v>
      </c>
      <c r="J2190" t="s">
        <v>158</v>
      </c>
    </row>
    <row r="2191" spans="1:10" x14ac:dyDescent="0.35">
      <c r="A2191" t="s">
        <v>2374</v>
      </c>
      <c r="B2191" s="10">
        <v>46055</v>
      </c>
      <c r="C2191" t="s">
        <v>163</v>
      </c>
      <c r="D2191" t="s">
        <v>80</v>
      </c>
      <c r="E2191" t="s">
        <v>92</v>
      </c>
      <c r="F2191" t="s">
        <v>14</v>
      </c>
      <c r="G2191">
        <v>104.03</v>
      </c>
      <c r="H2191" t="s">
        <v>98</v>
      </c>
      <c r="I2191" t="s">
        <v>36</v>
      </c>
      <c r="J2191" t="s">
        <v>118</v>
      </c>
    </row>
    <row r="2192" spans="1:10" x14ac:dyDescent="0.35">
      <c r="A2192" t="s">
        <v>2375</v>
      </c>
      <c r="B2192" s="10">
        <v>46055</v>
      </c>
      <c r="C2192" t="s">
        <v>445</v>
      </c>
      <c r="D2192" t="s">
        <v>101</v>
      </c>
      <c r="E2192" t="s">
        <v>244</v>
      </c>
      <c r="F2192" t="s">
        <v>14</v>
      </c>
      <c r="G2192">
        <v>97.8</v>
      </c>
      <c r="H2192" t="s">
        <v>21</v>
      </c>
      <c r="I2192" t="s">
        <v>36</v>
      </c>
      <c r="J2192" t="s">
        <v>103</v>
      </c>
    </row>
    <row r="2193" spans="1:10" x14ac:dyDescent="0.35">
      <c r="A2193" t="s">
        <v>2376</v>
      </c>
      <c r="B2193" s="10">
        <v>46055</v>
      </c>
      <c r="C2193" t="s">
        <v>11</v>
      </c>
      <c r="D2193" t="s">
        <v>12</v>
      </c>
      <c r="E2193" t="s">
        <v>13</v>
      </c>
      <c r="F2193" t="s">
        <v>14</v>
      </c>
      <c r="G2193">
        <v>122.03</v>
      </c>
      <c r="H2193" t="s">
        <v>15</v>
      </c>
      <c r="I2193" t="s">
        <v>16</v>
      </c>
      <c r="J2193" t="s">
        <v>17</v>
      </c>
    </row>
    <row r="2194" spans="1:10" x14ac:dyDescent="0.35">
      <c r="A2194" t="s">
        <v>2377</v>
      </c>
      <c r="B2194" s="10">
        <v>46055</v>
      </c>
      <c r="C2194" t="s">
        <v>25</v>
      </c>
      <c r="D2194" t="s">
        <v>12</v>
      </c>
      <c r="E2194" t="s">
        <v>26</v>
      </c>
      <c r="F2194" t="s">
        <v>14</v>
      </c>
      <c r="G2194">
        <v>72.88</v>
      </c>
      <c r="H2194" t="s">
        <v>15</v>
      </c>
      <c r="I2194" t="s">
        <v>22</v>
      </c>
      <c r="J2194" t="s">
        <v>17</v>
      </c>
    </row>
    <row r="2195" spans="1:10" x14ac:dyDescent="0.35">
      <c r="A2195" t="s">
        <v>2378</v>
      </c>
      <c r="B2195" s="10">
        <v>46056</v>
      </c>
      <c r="C2195" t="s">
        <v>308</v>
      </c>
      <c r="D2195" t="s">
        <v>54</v>
      </c>
      <c r="E2195" t="s">
        <v>64</v>
      </c>
      <c r="F2195" t="s">
        <v>54</v>
      </c>
      <c r="G2195">
        <v>365.45</v>
      </c>
      <c r="H2195" t="s">
        <v>98</v>
      </c>
      <c r="I2195" t="s">
        <v>36</v>
      </c>
      <c r="J2195" t="s">
        <v>89</v>
      </c>
    </row>
    <row r="2196" spans="1:10" x14ac:dyDescent="0.35">
      <c r="A2196" t="s">
        <v>2379</v>
      </c>
      <c r="B2196" s="10">
        <v>46056</v>
      </c>
      <c r="C2196" t="s">
        <v>251</v>
      </c>
      <c r="D2196" t="s">
        <v>29</v>
      </c>
      <c r="E2196" t="s">
        <v>151</v>
      </c>
      <c r="F2196" t="s">
        <v>14</v>
      </c>
      <c r="G2196">
        <v>20.93</v>
      </c>
      <c r="H2196" t="s">
        <v>21</v>
      </c>
      <c r="I2196" t="s">
        <v>47</v>
      </c>
      <c r="J2196" t="s">
        <v>31</v>
      </c>
    </row>
    <row r="2197" spans="1:10" x14ac:dyDescent="0.35">
      <c r="A2197" t="s">
        <v>2380</v>
      </c>
      <c r="B2197" s="10">
        <v>46056</v>
      </c>
      <c r="C2197" t="s">
        <v>298</v>
      </c>
      <c r="D2197" t="s">
        <v>59</v>
      </c>
      <c r="E2197" t="s">
        <v>185</v>
      </c>
      <c r="F2197" t="s">
        <v>14</v>
      </c>
      <c r="G2197">
        <v>309.04000000000002</v>
      </c>
      <c r="H2197" t="s">
        <v>21</v>
      </c>
      <c r="I2197" t="s">
        <v>84</v>
      </c>
      <c r="J2197" t="s">
        <v>170</v>
      </c>
    </row>
    <row r="2198" spans="1:10" x14ac:dyDescent="0.35">
      <c r="A2198" t="s">
        <v>2381</v>
      </c>
      <c r="B2198" s="10">
        <v>46056</v>
      </c>
      <c r="C2198" t="s">
        <v>94</v>
      </c>
      <c r="D2198" t="s">
        <v>29</v>
      </c>
      <c r="E2198" t="s">
        <v>95</v>
      </c>
      <c r="F2198" t="s">
        <v>14</v>
      </c>
      <c r="G2198">
        <v>40.130000000000003</v>
      </c>
      <c r="H2198" t="s">
        <v>21</v>
      </c>
      <c r="I2198" t="s">
        <v>36</v>
      </c>
      <c r="J2198" t="s">
        <v>96</v>
      </c>
    </row>
    <row r="2199" spans="1:10" x14ac:dyDescent="0.35">
      <c r="A2199" t="s">
        <v>2382</v>
      </c>
      <c r="B2199" s="10">
        <v>46056</v>
      </c>
      <c r="C2199" t="s">
        <v>192</v>
      </c>
      <c r="D2199" t="s">
        <v>80</v>
      </c>
      <c r="E2199" t="s">
        <v>92</v>
      </c>
      <c r="F2199" t="s">
        <v>14</v>
      </c>
      <c r="G2199">
        <v>94.32</v>
      </c>
      <c r="H2199" t="s">
        <v>21</v>
      </c>
      <c r="I2199" t="s">
        <v>22</v>
      </c>
      <c r="J2199" t="s">
        <v>180</v>
      </c>
    </row>
    <row r="2200" spans="1:10" x14ac:dyDescent="0.35">
      <c r="A2200" t="s">
        <v>2383</v>
      </c>
      <c r="B2200" s="10">
        <v>46056</v>
      </c>
      <c r="C2200" t="s">
        <v>281</v>
      </c>
      <c r="D2200" t="s">
        <v>34</v>
      </c>
      <c r="E2200" t="s">
        <v>40</v>
      </c>
      <c r="F2200" t="s">
        <v>14</v>
      </c>
      <c r="G2200">
        <v>232.1</v>
      </c>
      <c r="H2200" t="s">
        <v>21</v>
      </c>
      <c r="I2200" t="s">
        <v>22</v>
      </c>
      <c r="J2200" t="s">
        <v>123</v>
      </c>
    </row>
    <row r="2201" spans="1:10" x14ac:dyDescent="0.35">
      <c r="A2201" t="s">
        <v>2384</v>
      </c>
      <c r="B2201" s="10">
        <v>46056</v>
      </c>
      <c r="C2201" t="s">
        <v>73</v>
      </c>
      <c r="D2201" t="s">
        <v>54</v>
      </c>
      <c r="E2201" t="s">
        <v>74</v>
      </c>
      <c r="F2201" t="s">
        <v>54</v>
      </c>
      <c r="G2201">
        <v>2274.85</v>
      </c>
      <c r="H2201" t="s">
        <v>21</v>
      </c>
      <c r="I2201" t="s">
        <v>36</v>
      </c>
      <c r="J2201" t="s">
        <v>65</v>
      </c>
    </row>
    <row r="2202" spans="1:10" x14ac:dyDescent="0.35">
      <c r="A2202" t="s">
        <v>2385</v>
      </c>
      <c r="B2202" s="10">
        <v>46056</v>
      </c>
      <c r="C2202" t="s">
        <v>572</v>
      </c>
      <c r="D2202" t="s">
        <v>69</v>
      </c>
      <c r="E2202" t="s">
        <v>233</v>
      </c>
      <c r="F2202" t="s">
        <v>14</v>
      </c>
      <c r="G2202">
        <v>235.04</v>
      </c>
      <c r="H2202" t="s">
        <v>15</v>
      </c>
      <c r="I2202" t="s">
        <v>36</v>
      </c>
      <c r="J2202" t="s">
        <v>292</v>
      </c>
    </row>
    <row r="2203" spans="1:10" x14ac:dyDescent="0.35">
      <c r="A2203" t="s">
        <v>2387</v>
      </c>
      <c r="B2203" s="10">
        <v>46057</v>
      </c>
      <c r="C2203" t="s">
        <v>172</v>
      </c>
      <c r="D2203" t="s">
        <v>101</v>
      </c>
      <c r="E2203" t="s">
        <v>102</v>
      </c>
      <c r="F2203" t="s">
        <v>14</v>
      </c>
      <c r="G2203">
        <v>70.290000000000006</v>
      </c>
      <c r="H2203" t="s">
        <v>15</v>
      </c>
      <c r="I2203" t="s">
        <v>22</v>
      </c>
      <c r="J2203" t="s">
        <v>102</v>
      </c>
    </row>
    <row r="2204" spans="1:10" x14ac:dyDescent="0.35">
      <c r="A2204" t="s">
        <v>2388</v>
      </c>
      <c r="B2204" s="10">
        <v>46057</v>
      </c>
      <c r="C2204" t="s">
        <v>189</v>
      </c>
      <c r="D2204" t="s">
        <v>34</v>
      </c>
      <c r="E2204" t="s">
        <v>122</v>
      </c>
      <c r="F2204" t="s">
        <v>14</v>
      </c>
      <c r="G2204">
        <v>347.91</v>
      </c>
      <c r="H2204" t="s">
        <v>15</v>
      </c>
      <c r="I2204" t="s">
        <v>36</v>
      </c>
      <c r="J2204" t="s">
        <v>37</v>
      </c>
    </row>
    <row r="2205" spans="1:10" x14ac:dyDescent="0.35">
      <c r="A2205" t="s">
        <v>2389</v>
      </c>
      <c r="B2205" s="10">
        <v>46057</v>
      </c>
      <c r="C2205" t="s">
        <v>331</v>
      </c>
      <c r="D2205" t="s">
        <v>29</v>
      </c>
      <c r="E2205" t="s">
        <v>95</v>
      </c>
      <c r="F2205" t="s">
        <v>14</v>
      </c>
      <c r="G2205">
        <v>10.93</v>
      </c>
      <c r="H2205" t="s">
        <v>21</v>
      </c>
      <c r="I2205" t="s">
        <v>16</v>
      </c>
      <c r="J2205" t="s">
        <v>151</v>
      </c>
    </row>
    <row r="2206" spans="1:10" x14ac:dyDescent="0.35">
      <c r="A2206" t="s">
        <v>2390</v>
      </c>
      <c r="B2206" s="10">
        <v>46057</v>
      </c>
      <c r="C2206" t="s">
        <v>350</v>
      </c>
      <c r="D2206" t="s">
        <v>29</v>
      </c>
      <c r="E2206" t="s">
        <v>151</v>
      </c>
      <c r="F2206" t="s">
        <v>14</v>
      </c>
      <c r="G2206">
        <v>25.81</v>
      </c>
      <c r="H2206" t="s">
        <v>98</v>
      </c>
      <c r="I2206" t="s">
        <v>36</v>
      </c>
      <c r="J2206" t="s">
        <v>158</v>
      </c>
    </row>
    <row r="2207" spans="1:10" x14ac:dyDescent="0.35">
      <c r="A2207" t="s">
        <v>2391</v>
      </c>
      <c r="B2207" s="10">
        <v>46057</v>
      </c>
      <c r="C2207" t="s">
        <v>73</v>
      </c>
      <c r="D2207" t="s">
        <v>54</v>
      </c>
      <c r="E2207" t="s">
        <v>74</v>
      </c>
      <c r="F2207" t="s">
        <v>54</v>
      </c>
      <c r="G2207">
        <v>2527.29</v>
      </c>
      <c r="H2207" t="s">
        <v>21</v>
      </c>
      <c r="I2207" t="s">
        <v>47</v>
      </c>
      <c r="J2207" t="s">
        <v>65</v>
      </c>
    </row>
    <row r="2208" spans="1:10" x14ac:dyDescent="0.35">
      <c r="A2208" t="s">
        <v>2392</v>
      </c>
      <c r="B2208" s="10">
        <v>46057</v>
      </c>
      <c r="C2208" t="s">
        <v>376</v>
      </c>
      <c r="D2208" t="s">
        <v>80</v>
      </c>
      <c r="E2208" t="s">
        <v>117</v>
      </c>
      <c r="F2208" t="s">
        <v>14</v>
      </c>
      <c r="G2208">
        <v>33.01</v>
      </c>
      <c r="H2208" t="s">
        <v>15</v>
      </c>
      <c r="I2208" t="s">
        <v>36</v>
      </c>
      <c r="J2208" t="s">
        <v>82</v>
      </c>
    </row>
    <row r="2209" spans="1:10" x14ac:dyDescent="0.35">
      <c r="A2209" t="s">
        <v>2393</v>
      </c>
      <c r="B2209" s="10">
        <v>46058</v>
      </c>
      <c r="C2209" t="s">
        <v>308</v>
      </c>
      <c r="D2209" t="s">
        <v>54</v>
      </c>
      <c r="E2209" t="s">
        <v>64</v>
      </c>
      <c r="F2209" t="s">
        <v>54</v>
      </c>
      <c r="G2209">
        <v>299.08999999999997</v>
      </c>
      <c r="H2209" t="s">
        <v>98</v>
      </c>
      <c r="I2209" t="s">
        <v>16</v>
      </c>
      <c r="J2209" t="s">
        <v>89</v>
      </c>
    </row>
    <row r="2210" spans="1:10" x14ac:dyDescent="0.35">
      <c r="A2210" t="s">
        <v>2394</v>
      </c>
      <c r="B2210" s="10">
        <v>46058</v>
      </c>
      <c r="C2210" t="s">
        <v>210</v>
      </c>
      <c r="D2210" t="s">
        <v>59</v>
      </c>
      <c r="E2210" t="s">
        <v>185</v>
      </c>
      <c r="F2210" t="s">
        <v>14</v>
      </c>
      <c r="G2210">
        <v>137.04</v>
      </c>
      <c r="H2210" t="s">
        <v>21</v>
      </c>
      <c r="I2210" t="s">
        <v>36</v>
      </c>
      <c r="J2210" t="s">
        <v>211</v>
      </c>
    </row>
    <row r="2211" spans="1:10" x14ac:dyDescent="0.35">
      <c r="A2211" t="s">
        <v>2395</v>
      </c>
      <c r="B2211" s="10">
        <v>46058</v>
      </c>
      <c r="C2211" t="s">
        <v>73</v>
      </c>
      <c r="D2211" t="s">
        <v>54</v>
      </c>
      <c r="E2211" t="s">
        <v>74</v>
      </c>
      <c r="F2211" t="s">
        <v>54</v>
      </c>
      <c r="G2211">
        <v>2225.81</v>
      </c>
      <c r="H2211" t="s">
        <v>98</v>
      </c>
      <c r="I2211" t="s">
        <v>36</v>
      </c>
      <c r="J2211" t="s">
        <v>65</v>
      </c>
    </row>
    <row r="2212" spans="1:10" x14ac:dyDescent="0.35">
      <c r="A2212" t="s">
        <v>2396</v>
      </c>
      <c r="B2212" s="10">
        <v>46058</v>
      </c>
      <c r="C2212" t="s">
        <v>259</v>
      </c>
      <c r="D2212" t="s">
        <v>59</v>
      </c>
      <c r="E2212" t="s">
        <v>199</v>
      </c>
      <c r="F2212" t="s">
        <v>14</v>
      </c>
      <c r="G2212">
        <v>112.92</v>
      </c>
      <c r="H2212" t="s">
        <v>21</v>
      </c>
      <c r="I2212" t="s">
        <v>84</v>
      </c>
      <c r="J2212" t="s">
        <v>170</v>
      </c>
    </row>
    <row r="2213" spans="1:10" x14ac:dyDescent="0.35">
      <c r="A2213" t="s">
        <v>2397</v>
      </c>
      <c r="B2213" s="10">
        <v>46058</v>
      </c>
      <c r="C2213" t="s">
        <v>308</v>
      </c>
      <c r="D2213" t="s">
        <v>54</v>
      </c>
      <c r="E2213" t="s">
        <v>64</v>
      </c>
      <c r="F2213" t="s">
        <v>54</v>
      </c>
      <c r="G2213">
        <v>297.99</v>
      </c>
      <c r="H2213" t="s">
        <v>15</v>
      </c>
      <c r="I2213" t="s">
        <v>36</v>
      </c>
      <c r="J2213" t="s">
        <v>89</v>
      </c>
    </row>
    <row r="2214" spans="1:10" x14ac:dyDescent="0.35">
      <c r="A2214" t="s">
        <v>2398</v>
      </c>
      <c r="B2214" s="10">
        <v>46058</v>
      </c>
      <c r="C2214" t="s">
        <v>140</v>
      </c>
      <c r="D2214" t="s">
        <v>80</v>
      </c>
      <c r="E2214" t="s">
        <v>81</v>
      </c>
      <c r="F2214" t="s">
        <v>14</v>
      </c>
      <c r="G2214">
        <v>161.83000000000001</v>
      </c>
      <c r="H2214" t="s">
        <v>15</v>
      </c>
      <c r="I2214" t="s">
        <v>22</v>
      </c>
      <c r="J2214" t="s">
        <v>141</v>
      </c>
    </row>
    <row r="2215" spans="1:10" x14ac:dyDescent="0.35">
      <c r="A2215" t="s">
        <v>2399</v>
      </c>
      <c r="B2215" s="10">
        <v>46058</v>
      </c>
      <c r="C2215" t="s">
        <v>73</v>
      </c>
      <c r="D2215" t="s">
        <v>54</v>
      </c>
      <c r="E2215" t="s">
        <v>74</v>
      </c>
      <c r="F2215" t="s">
        <v>54</v>
      </c>
      <c r="G2215">
        <v>2319.4499999999998</v>
      </c>
      <c r="H2215" t="s">
        <v>21</v>
      </c>
      <c r="I2215" t="s">
        <v>22</v>
      </c>
      <c r="J2215" t="s">
        <v>65</v>
      </c>
    </row>
    <row r="2216" spans="1:10" x14ac:dyDescent="0.35">
      <c r="A2216" t="s">
        <v>2400</v>
      </c>
      <c r="B2216" s="10">
        <v>46058</v>
      </c>
      <c r="C2216" t="s">
        <v>424</v>
      </c>
      <c r="D2216" t="s">
        <v>101</v>
      </c>
      <c r="E2216" t="s">
        <v>136</v>
      </c>
      <c r="F2216" t="s">
        <v>14</v>
      </c>
      <c r="G2216">
        <v>78.709999999999994</v>
      </c>
      <c r="H2216" t="s">
        <v>15</v>
      </c>
      <c r="I2216" t="s">
        <v>36</v>
      </c>
      <c r="J2216" t="s">
        <v>102</v>
      </c>
    </row>
    <row r="2217" spans="1:10" x14ac:dyDescent="0.35">
      <c r="A2217" t="s">
        <v>2401</v>
      </c>
      <c r="B2217" s="10">
        <v>46058</v>
      </c>
      <c r="C2217" t="s">
        <v>168</v>
      </c>
      <c r="D2217" t="s">
        <v>59</v>
      </c>
      <c r="E2217" t="s">
        <v>60</v>
      </c>
      <c r="F2217" t="s">
        <v>14</v>
      </c>
      <c r="G2217">
        <v>781.54</v>
      </c>
      <c r="H2217" t="s">
        <v>21</v>
      </c>
      <c r="I2217" t="s">
        <v>22</v>
      </c>
      <c r="J2217" t="s">
        <v>170</v>
      </c>
    </row>
    <row r="2218" spans="1:10" x14ac:dyDescent="0.35">
      <c r="A2218" t="s">
        <v>2402</v>
      </c>
      <c r="B2218" s="10">
        <v>46059</v>
      </c>
      <c r="C2218" t="s">
        <v>76</v>
      </c>
      <c r="D2218" t="s">
        <v>12</v>
      </c>
      <c r="E2218" t="s">
        <v>13</v>
      </c>
      <c r="F2218" t="s">
        <v>14</v>
      </c>
      <c r="G2218">
        <v>33.67</v>
      </c>
      <c r="H2218" t="s">
        <v>21</v>
      </c>
      <c r="I2218" t="s">
        <v>36</v>
      </c>
      <c r="J2218" t="s">
        <v>77</v>
      </c>
    </row>
    <row r="2219" spans="1:10" x14ac:dyDescent="0.35">
      <c r="A2219" t="s">
        <v>2403</v>
      </c>
      <c r="B2219" s="10">
        <v>46059</v>
      </c>
      <c r="C2219" t="s">
        <v>19</v>
      </c>
      <c r="D2219" t="s">
        <v>12</v>
      </c>
      <c r="E2219" t="s">
        <v>13</v>
      </c>
      <c r="F2219" t="s">
        <v>14</v>
      </c>
      <c r="G2219">
        <v>74.59</v>
      </c>
      <c r="H2219" t="s">
        <v>15</v>
      </c>
      <c r="I2219" t="s">
        <v>36</v>
      </c>
      <c r="J2219" t="s">
        <v>23</v>
      </c>
    </row>
    <row r="2220" spans="1:10" x14ac:dyDescent="0.35">
      <c r="A2220" t="s">
        <v>2404</v>
      </c>
      <c r="B2220" s="10">
        <v>46059</v>
      </c>
      <c r="C2220" t="s">
        <v>163</v>
      </c>
      <c r="D2220" t="s">
        <v>80</v>
      </c>
      <c r="E2220" t="s">
        <v>92</v>
      </c>
      <c r="F2220" t="s">
        <v>14</v>
      </c>
      <c r="G2220">
        <v>123.91</v>
      </c>
      <c r="H2220" t="s">
        <v>15</v>
      </c>
      <c r="I2220" t="s">
        <v>36</v>
      </c>
      <c r="J2220" t="s">
        <v>118</v>
      </c>
    </row>
    <row r="2221" spans="1:10" x14ac:dyDescent="0.35">
      <c r="A2221" t="s">
        <v>2405</v>
      </c>
      <c r="B2221" s="10">
        <v>46060</v>
      </c>
      <c r="C2221" t="s">
        <v>272</v>
      </c>
      <c r="D2221" t="s">
        <v>54</v>
      </c>
      <c r="E2221" t="s">
        <v>55</v>
      </c>
      <c r="F2221" t="s">
        <v>54</v>
      </c>
      <c r="G2221">
        <v>820.26</v>
      </c>
      <c r="H2221" t="s">
        <v>15</v>
      </c>
      <c r="I2221" t="s">
        <v>47</v>
      </c>
      <c r="J2221" t="s">
        <v>65</v>
      </c>
    </row>
    <row r="2222" spans="1:10" x14ac:dyDescent="0.35">
      <c r="A2222" t="s">
        <v>2406</v>
      </c>
      <c r="B2222" s="10">
        <v>46060</v>
      </c>
      <c r="C2222" t="s">
        <v>269</v>
      </c>
      <c r="D2222" t="s">
        <v>34</v>
      </c>
      <c r="E2222" t="s">
        <v>35</v>
      </c>
      <c r="F2222" t="s">
        <v>14</v>
      </c>
      <c r="G2222">
        <v>209.81</v>
      </c>
      <c r="H2222" t="s">
        <v>21</v>
      </c>
      <c r="I2222" t="s">
        <v>22</v>
      </c>
      <c r="J2222" t="s">
        <v>123</v>
      </c>
    </row>
    <row r="2223" spans="1:10" x14ac:dyDescent="0.35">
      <c r="A2223" t="s">
        <v>2407</v>
      </c>
      <c r="B2223" s="10">
        <v>46060</v>
      </c>
      <c r="C2223" t="s">
        <v>33</v>
      </c>
      <c r="D2223" t="s">
        <v>34</v>
      </c>
      <c r="E2223" t="s">
        <v>35</v>
      </c>
      <c r="F2223" t="s">
        <v>14</v>
      </c>
      <c r="G2223">
        <v>313.08</v>
      </c>
      <c r="H2223" t="s">
        <v>15</v>
      </c>
      <c r="I2223" t="s">
        <v>84</v>
      </c>
      <c r="J2223" t="s">
        <v>37</v>
      </c>
    </row>
    <row r="2224" spans="1:10" x14ac:dyDescent="0.35">
      <c r="A2224" t="s">
        <v>2408</v>
      </c>
      <c r="B2224" s="10">
        <v>46060</v>
      </c>
      <c r="C2224" t="s">
        <v>175</v>
      </c>
      <c r="D2224" t="s">
        <v>80</v>
      </c>
      <c r="E2224" t="s">
        <v>92</v>
      </c>
      <c r="F2224" t="s">
        <v>14</v>
      </c>
      <c r="G2224">
        <v>65.58</v>
      </c>
      <c r="H2224" t="s">
        <v>98</v>
      </c>
      <c r="I2224" t="s">
        <v>47</v>
      </c>
      <c r="J2224" t="s">
        <v>141</v>
      </c>
    </row>
    <row r="2225" spans="1:10" x14ac:dyDescent="0.35">
      <c r="A2225" t="s">
        <v>2409</v>
      </c>
      <c r="B2225" s="10">
        <v>46060</v>
      </c>
      <c r="C2225" t="s">
        <v>324</v>
      </c>
      <c r="D2225" t="s">
        <v>80</v>
      </c>
      <c r="E2225" t="s">
        <v>92</v>
      </c>
      <c r="F2225" t="s">
        <v>14</v>
      </c>
      <c r="G2225">
        <v>27.49</v>
      </c>
      <c r="H2225" t="s">
        <v>15</v>
      </c>
      <c r="I2225" t="s">
        <v>22</v>
      </c>
      <c r="J2225" t="s">
        <v>161</v>
      </c>
    </row>
    <row r="2226" spans="1:10" x14ac:dyDescent="0.35">
      <c r="A2226" t="s">
        <v>2410</v>
      </c>
      <c r="B2226" s="10">
        <v>46060</v>
      </c>
      <c r="C2226" t="s">
        <v>94</v>
      </c>
      <c r="D2226" t="s">
        <v>29</v>
      </c>
      <c r="E2226" t="s">
        <v>95</v>
      </c>
      <c r="F2226" t="s">
        <v>14</v>
      </c>
      <c r="G2226">
        <v>21.65</v>
      </c>
      <c r="H2226" t="s">
        <v>15</v>
      </c>
      <c r="I2226" t="s">
        <v>22</v>
      </c>
      <c r="J2226" t="s">
        <v>96</v>
      </c>
    </row>
    <row r="2227" spans="1:10" x14ac:dyDescent="0.35">
      <c r="A2227" t="s">
        <v>2411</v>
      </c>
      <c r="B2227" s="10">
        <v>46061</v>
      </c>
      <c r="C2227" t="s">
        <v>116</v>
      </c>
      <c r="D2227" t="s">
        <v>80</v>
      </c>
      <c r="E2227" t="s">
        <v>117</v>
      </c>
      <c r="F2227" t="s">
        <v>14</v>
      </c>
      <c r="G2227">
        <v>250</v>
      </c>
      <c r="H2227" t="s">
        <v>21</v>
      </c>
      <c r="I2227" t="s">
        <v>22</v>
      </c>
      <c r="J2227" t="s">
        <v>118</v>
      </c>
    </row>
    <row r="2228" spans="1:10" x14ac:dyDescent="0.35">
      <c r="A2228" t="s">
        <v>2412</v>
      </c>
      <c r="B2228" s="10">
        <v>46061</v>
      </c>
      <c r="C2228" t="s">
        <v>135</v>
      </c>
      <c r="D2228" t="s">
        <v>101</v>
      </c>
      <c r="E2228" t="s">
        <v>102</v>
      </c>
      <c r="F2228" t="s">
        <v>14</v>
      </c>
      <c r="G2228">
        <v>63.16</v>
      </c>
      <c r="H2228" t="s">
        <v>15</v>
      </c>
      <c r="I2228" t="s">
        <v>47</v>
      </c>
      <c r="J2228" t="s">
        <v>136</v>
      </c>
    </row>
    <row r="2229" spans="1:10" x14ac:dyDescent="0.35">
      <c r="A2229" t="s">
        <v>2413</v>
      </c>
      <c r="B2229" s="10">
        <v>46061</v>
      </c>
      <c r="C2229" t="s">
        <v>63</v>
      </c>
      <c r="D2229" t="s">
        <v>54</v>
      </c>
      <c r="E2229" t="s">
        <v>64</v>
      </c>
      <c r="F2229" t="s">
        <v>54</v>
      </c>
      <c r="G2229">
        <v>323.14999999999998</v>
      </c>
      <c r="H2229" t="s">
        <v>21</v>
      </c>
      <c r="I2229" t="s">
        <v>47</v>
      </c>
      <c r="J2229" t="s">
        <v>65</v>
      </c>
    </row>
    <row r="2230" spans="1:10" x14ac:dyDescent="0.35">
      <c r="A2230" t="s">
        <v>2414</v>
      </c>
      <c r="B2230" s="10">
        <v>46061</v>
      </c>
      <c r="C2230" t="s">
        <v>94</v>
      </c>
      <c r="D2230" t="s">
        <v>29</v>
      </c>
      <c r="E2230" t="s">
        <v>95</v>
      </c>
      <c r="F2230" t="s">
        <v>14</v>
      </c>
      <c r="G2230">
        <v>67.209999999999994</v>
      </c>
      <c r="H2230" t="s">
        <v>15</v>
      </c>
      <c r="I2230" t="s">
        <v>22</v>
      </c>
      <c r="J2230" t="s">
        <v>96</v>
      </c>
    </row>
    <row r="2231" spans="1:10" x14ac:dyDescent="0.35">
      <c r="A2231" t="s">
        <v>2415</v>
      </c>
      <c r="B2231" s="10">
        <v>46061</v>
      </c>
      <c r="C2231" t="s">
        <v>227</v>
      </c>
      <c r="D2231" t="s">
        <v>12</v>
      </c>
      <c r="E2231" t="s">
        <v>51</v>
      </c>
      <c r="F2231" t="s">
        <v>14</v>
      </c>
      <c r="G2231">
        <v>44.2</v>
      </c>
      <c r="H2231" t="s">
        <v>21</v>
      </c>
      <c r="I2231" t="s">
        <v>36</v>
      </c>
      <c r="J2231" t="s">
        <v>17</v>
      </c>
    </row>
    <row r="2232" spans="1:10" x14ac:dyDescent="0.35">
      <c r="A2232" t="s">
        <v>2416</v>
      </c>
      <c r="B2232" s="10">
        <v>46061</v>
      </c>
      <c r="C2232" t="s">
        <v>206</v>
      </c>
      <c r="D2232" t="s">
        <v>29</v>
      </c>
      <c r="E2232" t="s">
        <v>95</v>
      </c>
      <c r="F2232" t="s">
        <v>14</v>
      </c>
      <c r="G2232">
        <v>78.94</v>
      </c>
      <c r="H2232" t="s">
        <v>15</v>
      </c>
      <c r="I2232" t="s">
        <v>22</v>
      </c>
      <c r="J2232" t="s">
        <v>31</v>
      </c>
    </row>
    <row r="2233" spans="1:10" x14ac:dyDescent="0.35">
      <c r="A2233" t="s">
        <v>2417</v>
      </c>
      <c r="B2233" s="10">
        <v>46061</v>
      </c>
      <c r="C2233" t="s">
        <v>109</v>
      </c>
      <c r="D2233" t="s">
        <v>34</v>
      </c>
      <c r="E2233" t="s">
        <v>35</v>
      </c>
      <c r="F2233" t="s">
        <v>14</v>
      </c>
      <c r="G2233">
        <v>214.76</v>
      </c>
      <c r="H2233" t="s">
        <v>15</v>
      </c>
      <c r="I2233" t="s">
        <v>36</v>
      </c>
      <c r="J2233" t="s">
        <v>41</v>
      </c>
    </row>
    <row r="2234" spans="1:10" x14ac:dyDescent="0.35">
      <c r="A2234" t="s">
        <v>2418</v>
      </c>
      <c r="B2234" s="10">
        <v>46061</v>
      </c>
      <c r="C2234" t="s">
        <v>125</v>
      </c>
      <c r="D2234" t="s">
        <v>12</v>
      </c>
      <c r="E2234" t="s">
        <v>13</v>
      </c>
      <c r="F2234" t="s">
        <v>14</v>
      </c>
      <c r="G2234">
        <v>97.59</v>
      </c>
      <c r="H2234" t="s">
        <v>98</v>
      </c>
      <c r="I2234" t="s">
        <v>22</v>
      </c>
      <c r="J2234" t="s">
        <v>44</v>
      </c>
    </row>
    <row r="2235" spans="1:10" x14ac:dyDescent="0.35">
      <c r="A2235" t="s">
        <v>2419</v>
      </c>
      <c r="B2235" s="10">
        <v>46062</v>
      </c>
      <c r="C2235" t="s">
        <v>150</v>
      </c>
      <c r="D2235" t="s">
        <v>29</v>
      </c>
      <c r="E2235" t="s">
        <v>30</v>
      </c>
      <c r="F2235" t="s">
        <v>14</v>
      </c>
      <c r="G2235">
        <v>11.57</v>
      </c>
      <c r="H2235" t="s">
        <v>15</v>
      </c>
      <c r="I2235" t="s">
        <v>22</v>
      </c>
      <c r="J2235" t="s">
        <v>151</v>
      </c>
    </row>
    <row r="2236" spans="1:10" x14ac:dyDescent="0.35">
      <c r="A2236" t="s">
        <v>2420</v>
      </c>
      <c r="B2236" s="10">
        <v>46062</v>
      </c>
      <c r="C2236" t="s">
        <v>238</v>
      </c>
      <c r="D2236" t="s">
        <v>34</v>
      </c>
      <c r="E2236" t="s">
        <v>35</v>
      </c>
      <c r="F2236" t="s">
        <v>14</v>
      </c>
      <c r="G2236">
        <v>177.43</v>
      </c>
      <c r="H2236" t="s">
        <v>21</v>
      </c>
      <c r="I2236" t="s">
        <v>47</v>
      </c>
      <c r="J2236" t="s">
        <v>239</v>
      </c>
    </row>
    <row r="2237" spans="1:10" x14ac:dyDescent="0.35">
      <c r="A2237" t="s">
        <v>2421</v>
      </c>
      <c r="B2237" s="10">
        <v>46062</v>
      </c>
      <c r="C2237" t="s">
        <v>135</v>
      </c>
      <c r="D2237" t="s">
        <v>101</v>
      </c>
      <c r="E2237" t="s">
        <v>102</v>
      </c>
      <c r="F2237" t="s">
        <v>14</v>
      </c>
      <c r="G2237">
        <v>159.41999999999999</v>
      </c>
      <c r="H2237" t="s">
        <v>98</v>
      </c>
      <c r="I2237" t="s">
        <v>16</v>
      </c>
      <c r="J2237" t="s">
        <v>136</v>
      </c>
    </row>
    <row r="2238" spans="1:10" x14ac:dyDescent="0.35">
      <c r="A2238" t="s">
        <v>2422</v>
      </c>
      <c r="B2238" s="10">
        <v>46062</v>
      </c>
      <c r="C2238" t="s">
        <v>91</v>
      </c>
      <c r="D2238" t="s">
        <v>80</v>
      </c>
      <c r="E2238" t="s">
        <v>92</v>
      </c>
      <c r="F2238" t="s">
        <v>14</v>
      </c>
      <c r="G2238">
        <v>48.79</v>
      </c>
      <c r="H2238" t="s">
        <v>15</v>
      </c>
      <c r="I2238" t="s">
        <v>36</v>
      </c>
      <c r="J2238" t="s">
        <v>82</v>
      </c>
    </row>
    <row r="2239" spans="1:10" x14ac:dyDescent="0.35">
      <c r="A2239" t="s">
        <v>2423</v>
      </c>
      <c r="B2239" s="10">
        <v>46062</v>
      </c>
      <c r="C2239" t="s">
        <v>43</v>
      </c>
      <c r="D2239" t="s">
        <v>12</v>
      </c>
      <c r="E2239" t="s">
        <v>26</v>
      </c>
      <c r="F2239" t="s">
        <v>14</v>
      </c>
      <c r="G2239">
        <v>103.66</v>
      </c>
      <c r="H2239" t="s">
        <v>21</v>
      </c>
      <c r="I2239" t="s">
        <v>84</v>
      </c>
      <c r="J2239" t="s">
        <v>44</v>
      </c>
    </row>
    <row r="2240" spans="1:10" x14ac:dyDescent="0.35">
      <c r="A2240" t="s">
        <v>2424</v>
      </c>
      <c r="B2240" s="10">
        <v>46062</v>
      </c>
      <c r="C2240" t="s">
        <v>155</v>
      </c>
      <c r="D2240" t="s">
        <v>12</v>
      </c>
      <c r="E2240" t="s">
        <v>51</v>
      </c>
      <c r="F2240" t="s">
        <v>14</v>
      </c>
      <c r="G2240">
        <v>33.44</v>
      </c>
      <c r="H2240" t="s">
        <v>21</v>
      </c>
      <c r="I2240" t="s">
        <v>84</v>
      </c>
      <c r="J2240" t="s">
        <v>48</v>
      </c>
    </row>
    <row r="2241" spans="1:10" x14ac:dyDescent="0.35">
      <c r="A2241" t="s">
        <v>2425</v>
      </c>
      <c r="B2241" s="10">
        <v>46062</v>
      </c>
      <c r="C2241" t="s">
        <v>33</v>
      </c>
      <c r="D2241" t="s">
        <v>34</v>
      </c>
      <c r="E2241" t="s">
        <v>35</v>
      </c>
      <c r="F2241" t="s">
        <v>14</v>
      </c>
      <c r="G2241">
        <v>93.63</v>
      </c>
      <c r="H2241" t="s">
        <v>15</v>
      </c>
      <c r="I2241" t="s">
        <v>22</v>
      </c>
      <c r="J2241" t="s">
        <v>37</v>
      </c>
    </row>
    <row r="2242" spans="1:10" x14ac:dyDescent="0.35">
      <c r="A2242" t="s">
        <v>2426</v>
      </c>
      <c r="B2242" s="10">
        <v>46062</v>
      </c>
      <c r="C2242" t="s">
        <v>298</v>
      </c>
      <c r="D2242" t="s">
        <v>59</v>
      </c>
      <c r="E2242" t="s">
        <v>185</v>
      </c>
      <c r="F2242" t="s">
        <v>14</v>
      </c>
      <c r="G2242">
        <v>72.23</v>
      </c>
      <c r="H2242" t="s">
        <v>15</v>
      </c>
      <c r="I2242" t="s">
        <v>16</v>
      </c>
      <c r="J2242" t="s">
        <v>170</v>
      </c>
    </row>
    <row r="2243" spans="1:10" x14ac:dyDescent="0.35">
      <c r="A2243" t="s">
        <v>2427</v>
      </c>
      <c r="B2243" s="10">
        <v>46063</v>
      </c>
      <c r="C2243" t="s">
        <v>543</v>
      </c>
      <c r="D2243" t="s">
        <v>69</v>
      </c>
      <c r="E2243" t="s">
        <v>70</v>
      </c>
      <c r="F2243" t="s">
        <v>14</v>
      </c>
      <c r="G2243">
        <v>167.44</v>
      </c>
      <c r="H2243" t="s">
        <v>15</v>
      </c>
      <c r="I2243" t="s">
        <v>16</v>
      </c>
      <c r="J2243" t="s">
        <v>292</v>
      </c>
    </row>
    <row r="2244" spans="1:10" x14ac:dyDescent="0.35">
      <c r="A2244" t="s">
        <v>2428</v>
      </c>
      <c r="B2244" s="10">
        <v>46063</v>
      </c>
      <c r="C2244" t="s">
        <v>100</v>
      </c>
      <c r="D2244" t="s">
        <v>101</v>
      </c>
      <c r="E2244" t="s">
        <v>102</v>
      </c>
      <c r="F2244" t="s">
        <v>14</v>
      </c>
      <c r="G2244">
        <v>102.11</v>
      </c>
      <c r="H2244" t="s">
        <v>21</v>
      </c>
      <c r="I2244" t="s">
        <v>16</v>
      </c>
      <c r="J2244" t="s">
        <v>103</v>
      </c>
    </row>
    <row r="2245" spans="1:10" x14ac:dyDescent="0.35">
      <c r="A2245" t="s">
        <v>2429</v>
      </c>
      <c r="B2245" s="10">
        <v>46063</v>
      </c>
      <c r="C2245" t="s">
        <v>160</v>
      </c>
      <c r="D2245" t="s">
        <v>80</v>
      </c>
      <c r="E2245" t="s">
        <v>117</v>
      </c>
      <c r="F2245" t="s">
        <v>14</v>
      </c>
      <c r="G2245">
        <v>44.38</v>
      </c>
      <c r="H2245" t="s">
        <v>98</v>
      </c>
      <c r="I2245" t="s">
        <v>22</v>
      </c>
      <c r="J2245" t="s">
        <v>161</v>
      </c>
    </row>
    <row r="2246" spans="1:10" x14ac:dyDescent="0.35">
      <c r="A2246" t="s">
        <v>2430</v>
      </c>
      <c r="B2246" s="10">
        <v>46063</v>
      </c>
      <c r="C2246" t="s">
        <v>58</v>
      </c>
      <c r="D2246" t="s">
        <v>59</v>
      </c>
      <c r="E2246" t="s">
        <v>60</v>
      </c>
      <c r="F2246" t="s">
        <v>14</v>
      </c>
      <c r="G2246">
        <v>277.17</v>
      </c>
      <c r="H2246" t="s">
        <v>15</v>
      </c>
      <c r="I2246" t="s">
        <v>36</v>
      </c>
      <c r="J2246" t="s">
        <v>61</v>
      </c>
    </row>
    <row r="2247" spans="1:10" x14ac:dyDescent="0.35">
      <c r="A2247" t="s">
        <v>2431</v>
      </c>
      <c r="B2247" s="10">
        <v>46063</v>
      </c>
      <c r="C2247" t="s">
        <v>215</v>
      </c>
      <c r="D2247" t="s">
        <v>80</v>
      </c>
      <c r="E2247" t="s">
        <v>117</v>
      </c>
      <c r="F2247" t="s">
        <v>14</v>
      </c>
      <c r="G2247">
        <v>107.35</v>
      </c>
      <c r="H2247" t="s">
        <v>15</v>
      </c>
      <c r="I2247" t="s">
        <v>47</v>
      </c>
      <c r="J2247" t="s">
        <v>141</v>
      </c>
    </row>
    <row r="2248" spans="1:10" x14ac:dyDescent="0.35">
      <c r="A2248" t="s">
        <v>2432</v>
      </c>
      <c r="B2248" s="10">
        <v>46064</v>
      </c>
      <c r="C2248" t="s">
        <v>411</v>
      </c>
      <c r="D2248" t="s">
        <v>29</v>
      </c>
      <c r="E2248" t="s">
        <v>151</v>
      </c>
      <c r="F2248" t="s">
        <v>14</v>
      </c>
      <c r="G2248">
        <v>57.65</v>
      </c>
      <c r="H2248" t="s">
        <v>15</v>
      </c>
      <c r="I2248" t="s">
        <v>47</v>
      </c>
      <c r="J2248" t="s">
        <v>151</v>
      </c>
    </row>
    <row r="2249" spans="1:10" x14ac:dyDescent="0.35">
      <c r="A2249" t="s">
        <v>2433</v>
      </c>
      <c r="B2249" s="10">
        <v>46064</v>
      </c>
      <c r="C2249" t="s">
        <v>259</v>
      </c>
      <c r="D2249" t="s">
        <v>59</v>
      </c>
      <c r="E2249" t="s">
        <v>199</v>
      </c>
      <c r="F2249" t="s">
        <v>14</v>
      </c>
      <c r="G2249">
        <v>467.88</v>
      </c>
      <c r="H2249" t="s">
        <v>15</v>
      </c>
      <c r="I2249" t="s">
        <v>36</v>
      </c>
      <c r="J2249" t="s">
        <v>170</v>
      </c>
    </row>
    <row r="2250" spans="1:10" x14ac:dyDescent="0.35">
      <c r="A2250" t="s">
        <v>2434</v>
      </c>
      <c r="B2250" s="10">
        <v>46064</v>
      </c>
      <c r="C2250" t="s">
        <v>269</v>
      </c>
      <c r="D2250" t="s">
        <v>34</v>
      </c>
      <c r="E2250" t="s">
        <v>35</v>
      </c>
      <c r="F2250" t="s">
        <v>14</v>
      </c>
      <c r="G2250">
        <v>73.88</v>
      </c>
      <c r="H2250" t="s">
        <v>15</v>
      </c>
      <c r="I2250" t="s">
        <v>22</v>
      </c>
      <c r="J2250" t="s">
        <v>123</v>
      </c>
    </row>
    <row r="2251" spans="1:10" x14ac:dyDescent="0.35">
      <c r="A2251" t="s">
        <v>2435</v>
      </c>
      <c r="B2251" s="10">
        <v>46064</v>
      </c>
      <c r="C2251" t="s">
        <v>76</v>
      </c>
      <c r="D2251" t="s">
        <v>12</v>
      </c>
      <c r="E2251" t="s">
        <v>13</v>
      </c>
      <c r="F2251" t="s">
        <v>14</v>
      </c>
      <c r="G2251">
        <v>11.91</v>
      </c>
      <c r="H2251" t="s">
        <v>98</v>
      </c>
      <c r="I2251" t="s">
        <v>16</v>
      </c>
      <c r="J2251" t="s">
        <v>77</v>
      </c>
    </row>
    <row r="2252" spans="1:10" x14ac:dyDescent="0.35">
      <c r="A2252" t="s">
        <v>2436</v>
      </c>
      <c r="B2252" s="10">
        <v>46064</v>
      </c>
      <c r="C2252" t="s">
        <v>168</v>
      </c>
      <c r="D2252" t="s">
        <v>59</v>
      </c>
      <c r="E2252" t="s">
        <v>60</v>
      </c>
      <c r="F2252" t="s">
        <v>14</v>
      </c>
      <c r="G2252">
        <v>806.01</v>
      </c>
      <c r="H2252" t="s">
        <v>21</v>
      </c>
      <c r="I2252" t="s">
        <v>36</v>
      </c>
      <c r="J2252" t="s">
        <v>170</v>
      </c>
    </row>
    <row r="2253" spans="1:10" x14ac:dyDescent="0.35">
      <c r="A2253" t="s">
        <v>2437</v>
      </c>
      <c r="B2253" s="10">
        <v>46064</v>
      </c>
      <c r="C2253" t="s">
        <v>125</v>
      </c>
      <c r="D2253" t="s">
        <v>12</v>
      </c>
      <c r="E2253" t="s">
        <v>13</v>
      </c>
      <c r="F2253" t="s">
        <v>14</v>
      </c>
      <c r="G2253">
        <v>149.46</v>
      </c>
      <c r="H2253" t="s">
        <v>21</v>
      </c>
      <c r="I2253" t="s">
        <v>36</v>
      </c>
      <c r="J2253" t="s">
        <v>44</v>
      </c>
    </row>
    <row r="2254" spans="1:10" x14ac:dyDescent="0.35">
      <c r="A2254" t="s">
        <v>2438</v>
      </c>
      <c r="B2254" s="10">
        <v>46065</v>
      </c>
      <c r="C2254" t="s">
        <v>121</v>
      </c>
      <c r="D2254" t="s">
        <v>34</v>
      </c>
      <c r="E2254" t="s">
        <v>122</v>
      </c>
      <c r="F2254" t="s">
        <v>14</v>
      </c>
      <c r="G2254">
        <v>142.15</v>
      </c>
      <c r="H2254" t="s">
        <v>15</v>
      </c>
      <c r="I2254" t="s">
        <v>22</v>
      </c>
      <c r="J2254" t="s">
        <v>123</v>
      </c>
    </row>
    <row r="2255" spans="1:10" x14ac:dyDescent="0.35">
      <c r="A2255" t="s">
        <v>2439</v>
      </c>
      <c r="B2255" s="10">
        <v>46065</v>
      </c>
      <c r="C2255" t="s">
        <v>272</v>
      </c>
      <c r="D2255" t="s">
        <v>54</v>
      </c>
      <c r="E2255" t="s">
        <v>55</v>
      </c>
      <c r="F2255" t="s">
        <v>54</v>
      </c>
      <c r="G2255">
        <v>604.53</v>
      </c>
      <c r="H2255" t="s">
        <v>98</v>
      </c>
      <c r="I2255" t="s">
        <v>22</v>
      </c>
      <c r="J2255" t="s">
        <v>65</v>
      </c>
    </row>
    <row r="2256" spans="1:10" x14ac:dyDescent="0.35">
      <c r="A2256" t="s">
        <v>2440</v>
      </c>
      <c r="B2256" s="10">
        <v>46065</v>
      </c>
      <c r="C2256" t="s">
        <v>248</v>
      </c>
      <c r="D2256" t="s">
        <v>80</v>
      </c>
      <c r="E2256" t="s">
        <v>81</v>
      </c>
      <c r="F2256" t="s">
        <v>14</v>
      </c>
      <c r="G2256">
        <v>123.32</v>
      </c>
      <c r="H2256" t="s">
        <v>15</v>
      </c>
      <c r="I2256" t="s">
        <v>22</v>
      </c>
      <c r="J2256" t="s">
        <v>161</v>
      </c>
    </row>
    <row r="2257" spans="1:10" x14ac:dyDescent="0.35">
      <c r="A2257" t="s">
        <v>2441</v>
      </c>
      <c r="B2257" s="10">
        <v>46065</v>
      </c>
      <c r="C2257" t="s">
        <v>153</v>
      </c>
      <c r="D2257" t="s">
        <v>34</v>
      </c>
      <c r="E2257" t="s">
        <v>122</v>
      </c>
      <c r="F2257" t="s">
        <v>14</v>
      </c>
      <c r="G2257">
        <v>178.42</v>
      </c>
      <c r="H2257" t="s">
        <v>21</v>
      </c>
      <c r="I2257" t="s">
        <v>22</v>
      </c>
      <c r="J2257" t="s">
        <v>41</v>
      </c>
    </row>
    <row r="2258" spans="1:10" x14ac:dyDescent="0.35">
      <c r="A2258" t="s">
        <v>2442</v>
      </c>
      <c r="B2258" s="10">
        <v>46065</v>
      </c>
      <c r="C2258" t="s">
        <v>88</v>
      </c>
      <c r="D2258" t="s">
        <v>54</v>
      </c>
      <c r="E2258" t="s">
        <v>74</v>
      </c>
      <c r="F2258" t="s">
        <v>54</v>
      </c>
      <c r="G2258">
        <v>2491.1799999999998</v>
      </c>
      <c r="H2258" t="s">
        <v>98</v>
      </c>
      <c r="I2258" t="s">
        <v>22</v>
      </c>
      <c r="J2258" t="s">
        <v>89</v>
      </c>
    </row>
    <row r="2259" spans="1:10" x14ac:dyDescent="0.35">
      <c r="A2259" t="s">
        <v>2443</v>
      </c>
      <c r="B2259" s="10">
        <v>46065</v>
      </c>
      <c r="C2259" t="s">
        <v>153</v>
      </c>
      <c r="D2259" t="s">
        <v>34</v>
      </c>
      <c r="E2259" t="s">
        <v>122</v>
      </c>
      <c r="F2259" t="s">
        <v>14</v>
      </c>
      <c r="G2259">
        <v>119.77</v>
      </c>
      <c r="H2259" t="s">
        <v>21</v>
      </c>
      <c r="I2259" t="s">
        <v>22</v>
      </c>
      <c r="J2259" t="s">
        <v>41</v>
      </c>
    </row>
    <row r="2260" spans="1:10" x14ac:dyDescent="0.35">
      <c r="A2260" t="s">
        <v>2444</v>
      </c>
      <c r="B2260" s="10">
        <v>46065</v>
      </c>
      <c r="C2260" t="s">
        <v>259</v>
      </c>
      <c r="D2260" t="s">
        <v>59</v>
      </c>
      <c r="E2260" t="s">
        <v>199</v>
      </c>
      <c r="F2260" t="s">
        <v>14</v>
      </c>
      <c r="G2260">
        <v>489.13</v>
      </c>
      <c r="H2260" t="s">
        <v>15</v>
      </c>
      <c r="I2260" t="s">
        <v>47</v>
      </c>
      <c r="J2260" t="s">
        <v>170</v>
      </c>
    </row>
    <row r="2261" spans="1:10" x14ac:dyDescent="0.35">
      <c r="A2261" t="s">
        <v>2445</v>
      </c>
      <c r="B2261" s="10">
        <v>46066</v>
      </c>
      <c r="C2261" t="s">
        <v>63</v>
      </c>
      <c r="D2261" t="s">
        <v>54</v>
      </c>
      <c r="E2261" t="s">
        <v>64</v>
      </c>
      <c r="F2261" t="s">
        <v>54</v>
      </c>
      <c r="G2261">
        <v>364.01</v>
      </c>
      <c r="H2261" t="s">
        <v>15</v>
      </c>
      <c r="I2261" t="s">
        <v>22</v>
      </c>
      <c r="J2261" t="s">
        <v>65</v>
      </c>
    </row>
    <row r="2262" spans="1:10" x14ac:dyDescent="0.35">
      <c r="A2262" t="s">
        <v>2446</v>
      </c>
      <c r="B2262" s="10">
        <v>46066</v>
      </c>
      <c r="C2262" t="s">
        <v>345</v>
      </c>
      <c r="D2262" t="s">
        <v>59</v>
      </c>
      <c r="E2262" t="s">
        <v>60</v>
      </c>
      <c r="F2262" t="s">
        <v>14</v>
      </c>
      <c r="G2262">
        <v>398.44</v>
      </c>
      <c r="H2262" t="s">
        <v>15</v>
      </c>
      <c r="I2262" t="s">
        <v>22</v>
      </c>
      <c r="J2262" t="s">
        <v>211</v>
      </c>
    </row>
    <row r="2263" spans="1:10" x14ac:dyDescent="0.35">
      <c r="A2263" t="s">
        <v>2447</v>
      </c>
      <c r="B2263" s="10">
        <v>46067</v>
      </c>
      <c r="C2263" t="s">
        <v>256</v>
      </c>
      <c r="D2263" t="s">
        <v>34</v>
      </c>
      <c r="E2263" t="s">
        <v>40</v>
      </c>
      <c r="F2263" t="s">
        <v>14</v>
      </c>
      <c r="G2263">
        <v>110.84</v>
      </c>
      <c r="H2263" t="s">
        <v>21</v>
      </c>
      <c r="I2263" t="s">
        <v>47</v>
      </c>
      <c r="J2263" t="s">
        <v>239</v>
      </c>
    </row>
    <row r="2264" spans="1:10" x14ac:dyDescent="0.35">
      <c r="A2264" t="s">
        <v>2448</v>
      </c>
      <c r="B2264" s="10">
        <v>46067</v>
      </c>
      <c r="C2264" t="s">
        <v>73</v>
      </c>
      <c r="D2264" t="s">
        <v>54</v>
      </c>
      <c r="E2264" t="s">
        <v>74</v>
      </c>
      <c r="F2264" t="s">
        <v>54</v>
      </c>
      <c r="G2264">
        <v>2721.92</v>
      </c>
      <c r="H2264" t="s">
        <v>15</v>
      </c>
      <c r="I2264" t="s">
        <v>36</v>
      </c>
      <c r="J2264" t="s">
        <v>65</v>
      </c>
    </row>
    <row r="2265" spans="1:10" x14ac:dyDescent="0.35">
      <c r="A2265" t="s">
        <v>2449</v>
      </c>
      <c r="B2265" s="10">
        <v>46067</v>
      </c>
      <c r="C2265" t="s">
        <v>350</v>
      </c>
      <c r="D2265" t="s">
        <v>29</v>
      </c>
      <c r="E2265" t="s">
        <v>151</v>
      </c>
      <c r="F2265" t="s">
        <v>14</v>
      </c>
      <c r="G2265">
        <v>17.059999999999999</v>
      </c>
      <c r="H2265" t="s">
        <v>21</v>
      </c>
      <c r="I2265" t="s">
        <v>36</v>
      </c>
      <c r="J2265" t="s">
        <v>158</v>
      </c>
    </row>
    <row r="2266" spans="1:10" x14ac:dyDescent="0.35">
      <c r="A2266" t="s">
        <v>2450</v>
      </c>
      <c r="B2266" s="10">
        <v>46067</v>
      </c>
      <c r="C2266" t="s">
        <v>281</v>
      </c>
      <c r="D2266" t="s">
        <v>34</v>
      </c>
      <c r="E2266" t="s">
        <v>40</v>
      </c>
      <c r="F2266" t="s">
        <v>14</v>
      </c>
      <c r="G2266">
        <v>182.14</v>
      </c>
      <c r="H2266" t="s">
        <v>15</v>
      </c>
      <c r="I2266" t="s">
        <v>22</v>
      </c>
      <c r="J2266" t="s">
        <v>123</v>
      </c>
    </row>
    <row r="2267" spans="1:10" x14ac:dyDescent="0.35">
      <c r="A2267" t="s">
        <v>2451</v>
      </c>
      <c r="B2267" s="10">
        <v>46068</v>
      </c>
      <c r="C2267" t="s">
        <v>168</v>
      </c>
      <c r="D2267" t="s">
        <v>59</v>
      </c>
      <c r="E2267" t="s">
        <v>60</v>
      </c>
      <c r="F2267" t="s">
        <v>14</v>
      </c>
      <c r="G2267">
        <v>342.26</v>
      </c>
      <c r="H2267" t="s">
        <v>15</v>
      </c>
      <c r="I2267" t="s">
        <v>22</v>
      </c>
      <c r="J2267" t="s">
        <v>170</v>
      </c>
    </row>
    <row r="2268" spans="1:10" x14ac:dyDescent="0.35">
      <c r="A2268" t="s">
        <v>2452</v>
      </c>
      <c r="B2268" s="10">
        <v>46068</v>
      </c>
      <c r="C2268" t="s">
        <v>121</v>
      </c>
      <c r="D2268" t="s">
        <v>34</v>
      </c>
      <c r="E2268" t="s">
        <v>122</v>
      </c>
      <c r="F2268" t="s">
        <v>14</v>
      </c>
      <c r="G2268">
        <v>194.81</v>
      </c>
      <c r="H2268" t="s">
        <v>15</v>
      </c>
      <c r="I2268" t="s">
        <v>84</v>
      </c>
      <c r="J2268" t="s">
        <v>123</v>
      </c>
    </row>
    <row r="2269" spans="1:10" x14ac:dyDescent="0.35">
      <c r="A2269" t="s">
        <v>2453</v>
      </c>
      <c r="B2269" s="10">
        <v>46068</v>
      </c>
      <c r="C2269" t="s">
        <v>308</v>
      </c>
      <c r="D2269" t="s">
        <v>54</v>
      </c>
      <c r="E2269" t="s">
        <v>64</v>
      </c>
      <c r="F2269" t="s">
        <v>54</v>
      </c>
      <c r="G2269">
        <v>365.91</v>
      </c>
      <c r="H2269" t="s">
        <v>21</v>
      </c>
      <c r="I2269" t="s">
        <v>22</v>
      </c>
      <c r="J2269" t="s">
        <v>89</v>
      </c>
    </row>
    <row r="2270" spans="1:10" x14ac:dyDescent="0.35">
      <c r="A2270" t="s">
        <v>2454</v>
      </c>
      <c r="B2270" s="10">
        <v>46068</v>
      </c>
      <c r="C2270" t="s">
        <v>572</v>
      </c>
      <c r="D2270" t="s">
        <v>69</v>
      </c>
      <c r="E2270" t="s">
        <v>233</v>
      </c>
      <c r="F2270" t="s">
        <v>14</v>
      </c>
      <c r="G2270">
        <v>303.89999999999998</v>
      </c>
      <c r="H2270" t="s">
        <v>15</v>
      </c>
      <c r="I2270" t="s">
        <v>47</v>
      </c>
      <c r="J2270" t="s">
        <v>292</v>
      </c>
    </row>
    <row r="2271" spans="1:10" x14ac:dyDescent="0.35">
      <c r="A2271" t="s">
        <v>2455</v>
      </c>
      <c r="B2271" s="10">
        <v>46069</v>
      </c>
      <c r="C2271" t="s">
        <v>198</v>
      </c>
      <c r="D2271" t="s">
        <v>59</v>
      </c>
      <c r="E2271" t="s">
        <v>199</v>
      </c>
      <c r="F2271" t="s">
        <v>14</v>
      </c>
      <c r="G2271">
        <v>142.34</v>
      </c>
      <c r="H2271" t="s">
        <v>15</v>
      </c>
      <c r="I2271" t="s">
        <v>47</v>
      </c>
      <c r="J2271" t="s">
        <v>61</v>
      </c>
    </row>
    <row r="2272" spans="1:10" x14ac:dyDescent="0.35">
      <c r="A2272" t="s">
        <v>2456</v>
      </c>
      <c r="B2272" s="10">
        <v>46069</v>
      </c>
      <c r="C2272" t="s">
        <v>347</v>
      </c>
      <c r="D2272" t="s">
        <v>29</v>
      </c>
      <c r="E2272" t="s">
        <v>151</v>
      </c>
      <c r="F2272" t="s">
        <v>14</v>
      </c>
      <c r="G2272">
        <v>28.3</v>
      </c>
      <c r="H2272" t="s">
        <v>21</v>
      </c>
      <c r="I2272" t="s">
        <v>36</v>
      </c>
      <c r="J2272" t="s">
        <v>96</v>
      </c>
    </row>
    <row r="2273" spans="1:10" x14ac:dyDescent="0.35">
      <c r="A2273" t="s">
        <v>2457</v>
      </c>
      <c r="B2273" s="10">
        <v>46069</v>
      </c>
      <c r="C2273" t="s">
        <v>179</v>
      </c>
      <c r="D2273" t="s">
        <v>80</v>
      </c>
      <c r="E2273" t="s">
        <v>117</v>
      </c>
      <c r="F2273" t="s">
        <v>14</v>
      </c>
      <c r="G2273">
        <v>76.55</v>
      </c>
      <c r="H2273" t="s">
        <v>21</v>
      </c>
      <c r="I2273" t="s">
        <v>22</v>
      </c>
      <c r="J2273" t="s">
        <v>180</v>
      </c>
    </row>
    <row r="2274" spans="1:10" x14ac:dyDescent="0.35">
      <c r="A2274" t="s">
        <v>2458</v>
      </c>
      <c r="B2274" s="10">
        <v>46069</v>
      </c>
      <c r="C2274" t="s">
        <v>125</v>
      </c>
      <c r="D2274" t="s">
        <v>12</v>
      </c>
      <c r="E2274" t="s">
        <v>13</v>
      </c>
      <c r="F2274" t="s">
        <v>14</v>
      </c>
      <c r="G2274">
        <v>32.67</v>
      </c>
      <c r="H2274" t="s">
        <v>21</v>
      </c>
      <c r="I2274" t="s">
        <v>22</v>
      </c>
      <c r="J2274" t="s">
        <v>44</v>
      </c>
    </row>
    <row r="2275" spans="1:10" x14ac:dyDescent="0.35">
      <c r="A2275" t="s">
        <v>2459</v>
      </c>
      <c r="B2275" s="10">
        <v>46070</v>
      </c>
      <c r="C2275" t="s">
        <v>46</v>
      </c>
      <c r="D2275" t="s">
        <v>12</v>
      </c>
      <c r="E2275" t="s">
        <v>13</v>
      </c>
      <c r="F2275" t="s">
        <v>14</v>
      </c>
      <c r="G2275">
        <v>42.76</v>
      </c>
      <c r="H2275" t="s">
        <v>15</v>
      </c>
      <c r="I2275" t="s">
        <v>16</v>
      </c>
      <c r="J2275" t="s">
        <v>48</v>
      </c>
    </row>
    <row r="2276" spans="1:10" x14ac:dyDescent="0.35">
      <c r="A2276" t="s">
        <v>2460</v>
      </c>
      <c r="B2276" s="10">
        <v>46070</v>
      </c>
      <c r="C2276" t="s">
        <v>125</v>
      </c>
      <c r="D2276" t="s">
        <v>12</v>
      </c>
      <c r="E2276" t="s">
        <v>13</v>
      </c>
      <c r="F2276" t="s">
        <v>14</v>
      </c>
      <c r="G2276">
        <v>8.06</v>
      </c>
      <c r="H2276" t="s">
        <v>15</v>
      </c>
      <c r="I2276" t="s">
        <v>47</v>
      </c>
      <c r="J2276" t="s">
        <v>44</v>
      </c>
    </row>
    <row r="2277" spans="1:10" x14ac:dyDescent="0.35">
      <c r="A2277" t="s">
        <v>2461</v>
      </c>
      <c r="B2277" s="10">
        <v>46070</v>
      </c>
      <c r="C2277" t="s">
        <v>68</v>
      </c>
      <c r="D2277" t="s">
        <v>69</v>
      </c>
      <c r="E2277" t="s">
        <v>70</v>
      </c>
      <c r="F2277" t="s">
        <v>14</v>
      </c>
      <c r="G2277">
        <v>470.57</v>
      </c>
      <c r="H2277" t="s">
        <v>15</v>
      </c>
      <c r="I2277" t="s">
        <v>22</v>
      </c>
      <c r="J2277" t="s">
        <v>71</v>
      </c>
    </row>
    <row r="2278" spans="1:10" x14ac:dyDescent="0.35">
      <c r="A2278" t="s">
        <v>2462</v>
      </c>
      <c r="B2278" s="10">
        <v>46070</v>
      </c>
      <c r="C2278" t="s">
        <v>175</v>
      </c>
      <c r="D2278" t="s">
        <v>80</v>
      </c>
      <c r="E2278" t="s">
        <v>92</v>
      </c>
      <c r="F2278" t="s">
        <v>14</v>
      </c>
      <c r="G2278">
        <v>55</v>
      </c>
      <c r="H2278" t="s">
        <v>15</v>
      </c>
      <c r="I2278" t="s">
        <v>47</v>
      </c>
      <c r="J2278" t="s">
        <v>141</v>
      </c>
    </row>
    <row r="2279" spans="1:10" x14ac:dyDescent="0.35">
      <c r="A2279" t="s">
        <v>2463</v>
      </c>
      <c r="B2279" s="10">
        <v>46071</v>
      </c>
      <c r="C2279" t="s">
        <v>143</v>
      </c>
      <c r="D2279" t="s">
        <v>54</v>
      </c>
      <c r="E2279" t="s">
        <v>55</v>
      </c>
      <c r="F2279" t="s">
        <v>54</v>
      </c>
      <c r="G2279">
        <v>679.12</v>
      </c>
      <c r="H2279" t="s">
        <v>21</v>
      </c>
      <c r="I2279" t="s">
        <v>16</v>
      </c>
      <c r="J2279" t="s">
        <v>89</v>
      </c>
    </row>
    <row r="2280" spans="1:10" x14ac:dyDescent="0.35">
      <c r="A2280" t="s">
        <v>2464</v>
      </c>
      <c r="B2280" s="10">
        <v>46071</v>
      </c>
      <c r="C2280" t="s">
        <v>262</v>
      </c>
      <c r="D2280" t="s">
        <v>101</v>
      </c>
      <c r="E2280" t="s">
        <v>244</v>
      </c>
      <c r="F2280" t="s">
        <v>14</v>
      </c>
      <c r="G2280">
        <v>75.069999999999993</v>
      </c>
      <c r="H2280" t="s">
        <v>15</v>
      </c>
      <c r="I2280" t="s">
        <v>22</v>
      </c>
      <c r="J2280" t="s">
        <v>136</v>
      </c>
    </row>
    <row r="2281" spans="1:10" x14ac:dyDescent="0.35">
      <c r="A2281" t="s">
        <v>2465</v>
      </c>
      <c r="B2281" s="10">
        <v>46071</v>
      </c>
      <c r="C2281" t="s">
        <v>281</v>
      </c>
      <c r="D2281" t="s">
        <v>34</v>
      </c>
      <c r="E2281" t="s">
        <v>40</v>
      </c>
      <c r="F2281" t="s">
        <v>14</v>
      </c>
      <c r="G2281">
        <v>192.04</v>
      </c>
      <c r="H2281" t="s">
        <v>21</v>
      </c>
      <c r="I2281" t="s">
        <v>84</v>
      </c>
      <c r="J2281" t="s">
        <v>123</v>
      </c>
    </row>
    <row r="2282" spans="1:10" x14ac:dyDescent="0.35">
      <c r="A2282" t="s">
        <v>2466</v>
      </c>
      <c r="B2282" s="10">
        <v>46071</v>
      </c>
      <c r="C2282" t="s">
        <v>331</v>
      </c>
      <c r="D2282" t="s">
        <v>29</v>
      </c>
      <c r="E2282" t="s">
        <v>95</v>
      </c>
      <c r="F2282" t="s">
        <v>14</v>
      </c>
      <c r="G2282">
        <v>24.39</v>
      </c>
      <c r="H2282" t="s">
        <v>15</v>
      </c>
      <c r="I2282" t="s">
        <v>22</v>
      </c>
      <c r="J2282" t="s">
        <v>151</v>
      </c>
    </row>
    <row r="2283" spans="1:10" x14ac:dyDescent="0.35">
      <c r="A2283" t="s">
        <v>2467</v>
      </c>
      <c r="B2283" s="10">
        <v>46071</v>
      </c>
      <c r="C2283" t="s">
        <v>109</v>
      </c>
      <c r="D2283" t="s">
        <v>34</v>
      </c>
      <c r="E2283" t="s">
        <v>35</v>
      </c>
      <c r="F2283" t="s">
        <v>14</v>
      </c>
      <c r="G2283">
        <v>176.64</v>
      </c>
      <c r="H2283" t="s">
        <v>15</v>
      </c>
      <c r="I2283" t="s">
        <v>36</v>
      </c>
      <c r="J2283" t="s">
        <v>41</v>
      </c>
    </row>
    <row r="2284" spans="1:10" x14ac:dyDescent="0.35">
      <c r="A2284" t="s">
        <v>2468</v>
      </c>
      <c r="B2284" s="10">
        <v>46072</v>
      </c>
      <c r="C2284" t="s">
        <v>63</v>
      </c>
      <c r="D2284" t="s">
        <v>54</v>
      </c>
      <c r="E2284" t="s">
        <v>64</v>
      </c>
      <c r="F2284" t="s">
        <v>54</v>
      </c>
      <c r="G2284">
        <v>352.47</v>
      </c>
      <c r="H2284" t="s">
        <v>15</v>
      </c>
      <c r="I2284" t="s">
        <v>16</v>
      </c>
      <c r="J2284" t="s">
        <v>65</v>
      </c>
    </row>
    <row r="2285" spans="1:10" x14ac:dyDescent="0.35">
      <c r="A2285" t="s">
        <v>2469</v>
      </c>
      <c r="B2285" s="10">
        <v>46072</v>
      </c>
      <c r="C2285" t="s">
        <v>411</v>
      </c>
      <c r="D2285" t="s">
        <v>29</v>
      </c>
      <c r="E2285" t="s">
        <v>151</v>
      </c>
      <c r="F2285" t="s">
        <v>14</v>
      </c>
      <c r="G2285">
        <v>13.26</v>
      </c>
      <c r="H2285" t="s">
        <v>15</v>
      </c>
      <c r="I2285" t="s">
        <v>47</v>
      </c>
      <c r="J2285" t="s">
        <v>151</v>
      </c>
    </row>
    <row r="2286" spans="1:10" x14ac:dyDescent="0.35">
      <c r="A2286" t="s">
        <v>2470</v>
      </c>
      <c r="B2286" s="10">
        <v>46072</v>
      </c>
      <c r="C2286" t="s">
        <v>324</v>
      </c>
      <c r="D2286" t="s">
        <v>80</v>
      </c>
      <c r="E2286" t="s">
        <v>92</v>
      </c>
      <c r="F2286" t="s">
        <v>14</v>
      </c>
      <c r="G2286">
        <v>66.44</v>
      </c>
      <c r="H2286" t="s">
        <v>15</v>
      </c>
      <c r="I2286" t="s">
        <v>22</v>
      </c>
      <c r="J2286" t="s">
        <v>161</v>
      </c>
    </row>
    <row r="2287" spans="1:10" x14ac:dyDescent="0.35">
      <c r="A2287" t="s">
        <v>2471</v>
      </c>
      <c r="B2287" s="10">
        <v>46072</v>
      </c>
      <c r="C2287" t="s">
        <v>11</v>
      </c>
      <c r="D2287" t="s">
        <v>12</v>
      </c>
      <c r="E2287" t="s">
        <v>13</v>
      </c>
      <c r="F2287" t="s">
        <v>14</v>
      </c>
      <c r="G2287">
        <v>65.66</v>
      </c>
      <c r="H2287" t="s">
        <v>21</v>
      </c>
      <c r="I2287" t="s">
        <v>22</v>
      </c>
      <c r="J2287" t="s">
        <v>17</v>
      </c>
    </row>
    <row r="2288" spans="1:10" x14ac:dyDescent="0.35">
      <c r="A2288" t="s">
        <v>2472</v>
      </c>
      <c r="B2288" s="10">
        <v>46072</v>
      </c>
      <c r="C2288" t="s">
        <v>296</v>
      </c>
      <c r="D2288" t="s">
        <v>101</v>
      </c>
      <c r="E2288" t="s">
        <v>136</v>
      </c>
      <c r="F2288" t="s">
        <v>14</v>
      </c>
      <c r="G2288">
        <v>80.540000000000006</v>
      </c>
      <c r="H2288" t="s">
        <v>21</v>
      </c>
      <c r="I2288" t="s">
        <v>22</v>
      </c>
      <c r="J2288" t="s">
        <v>136</v>
      </c>
    </row>
    <row r="2289" spans="1:10" x14ac:dyDescent="0.35">
      <c r="A2289" t="s">
        <v>2473</v>
      </c>
      <c r="B2289" s="10">
        <v>46072</v>
      </c>
      <c r="C2289" t="s">
        <v>411</v>
      </c>
      <c r="D2289" t="s">
        <v>29</v>
      </c>
      <c r="E2289" t="s">
        <v>151</v>
      </c>
      <c r="F2289" t="s">
        <v>14</v>
      </c>
      <c r="G2289">
        <v>17.79</v>
      </c>
      <c r="H2289" t="s">
        <v>15</v>
      </c>
      <c r="I2289" t="s">
        <v>36</v>
      </c>
      <c r="J2289" t="s">
        <v>151</v>
      </c>
    </row>
    <row r="2290" spans="1:10" x14ac:dyDescent="0.35">
      <c r="A2290" t="s">
        <v>2474</v>
      </c>
      <c r="B2290" s="10">
        <v>46072</v>
      </c>
      <c r="C2290" t="s">
        <v>11</v>
      </c>
      <c r="D2290" t="s">
        <v>12</v>
      </c>
      <c r="E2290" t="s">
        <v>13</v>
      </c>
      <c r="F2290" t="s">
        <v>14</v>
      </c>
      <c r="G2290">
        <v>49.95</v>
      </c>
      <c r="H2290" t="s">
        <v>15</v>
      </c>
      <c r="I2290" t="s">
        <v>16</v>
      </c>
      <c r="J2290" t="s">
        <v>17</v>
      </c>
    </row>
    <row r="2291" spans="1:10" x14ac:dyDescent="0.35">
      <c r="A2291" t="s">
        <v>2475</v>
      </c>
      <c r="B2291" s="10">
        <v>46073</v>
      </c>
      <c r="C2291" t="s">
        <v>73</v>
      </c>
      <c r="D2291" t="s">
        <v>54</v>
      </c>
      <c r="E2291" t="s">
        <v>74</v>
      </c>
      <c r="F2291" t="s">
        <v>54</v>
      </c>
      <c r="G2291">
        <v>3001.12</v>
      </c>
      <c r="H2291" t="s">
        <v>21</v>
      </c>
      <c r="I2291" t="s">
        <v>22</v>
      </c>
      <c r="J2291" t="s">
        <v>65</v>
      </c>
    </row>
    <row r="2292" spans="1:10" x14ac:dyDescent="0.35">
      <c r="A2292" t="s">
        <v>2476</v>
      </c>
      <c r="B2292" s="10">
        <v>46073</v>
      </c>
      <c r="C2292" t="s">
        <v>179</v>
      </c>
      <c r="D2292" t="s">
        <v>80</v>
      </c>
      <c r="E2292" t="s">
        <v>117</v>
      </c>
      <c r="F2292" t="s">
        <v>14</v>
      </c>
      <c r="G2292">
        <v>62.25</v>
      </c>
      <c r="H2292" t="s">
        <v>15</v>
      </c>
      <c r="I2292" t="s">
        <v>47</v>
      </c>
      <c r="J2292" t="s">
        <v>180</v>
      </c>
    </row>
    <row r="2293" spans="1:10" x14ac:dyDescent="0.35">
      <c r="A2293" t="s">
        <v>2477</v>
      </c>
      <c r="B2293" s="10">
        <v>46073</v>
      </c>
      <c r="C2293" t="s">
        <v>290</v>
      </c>
      <c r="D2293" t="s">
        <v>69</v>
      </c>
      <c r="E2293" t="s">
        <v>291</v>
      </c>
      <c r="F2293" t="s">
        <v>14</v>
      </c>
      <c r="G2293">
        <v>361.24</v>
      </c>
      <c r="H2293" t="s">
        <v>15</v>
      </c>
      <c r="I2293" t="s">
        <v>84</v>
      </c>
      <c r="J2293" t="s">
        <v>292</v>
      </c>
    </row>
    <row r="2294" spans="1:10" x14ac:dyDescent="0.35">
      <c r="A2294" t="s">
        <v>2478</v>
      </c>
      <c r="B2294" s="10">
        <v>46073</v>
      </c>
      <c r="C2294" t="s">
        <v>215</v>
      </c>
      <c r="D2294" t="s">
        <v>80</v>
      </c>
      <c r="E2294" t="s">
        <v>117</v>
      </c>
      <c r="F2294" t="s">
        <v>14</v>
      </c>
      <c r="G2294">
        <v>82.25</v>
      </c>
      <c r="H2294" t="s">
        <v>21</v>
      </c>
      <c r="I2294" t="s">
        <v>22</v>
      </c>
      <c r="J2294" t="s">
        <v>141</v>
      </c>
    </row>
    <row r="2295" spans="1:10" x14ac:dyDescent="0.35">
      <c r="A2295" t="s">
        <v>2479</v>
      </c>
      <c r="B2295" s="10">
        <v>46073</v>
      </c>
      <c r="C2295" t="s">
        <v>143</v>
      </c>
      <c r="D2295" t="s">
        <v>54</v>
      </c>
      <c r="E2295" t="s">
        <v>55</v>
      </c>
      <c r="F2295" t="s">
        <v>54</v>
      </c>
      <c r="G2295">
        <v>582.22</v>
      </c>
      <c r="H2295" t="s">
        <v>15</v>
      </c>
      <c r="I2295" t="s">
        <v>22</v>
      </c>
      <c r="J2295" t="s">
        <v>89</v>
      </c>
    </row>
    <row r="2296" spans="1:10" x14ac:dyDescent="0.35">
      <c r="A2296" t="s">
        <v>2480</v>
      </c>
      <c r="B2296" s="10">
        <v>46073</v>
      </c>
      <c r="C2296" t="s">
        <v>140</v>
      </c>
      <c r="D2296" t="s">
        <v>80</v>
      </c>
      <c r="E2296" t="s">
        <v>81</v>
      </c>
      <c r="F2296" t="s">
        <v>14</v>
      </c>
      <c r="G2296">
        <v>16.07</v>
      </c>
      <c r="H2296" t="s">
        <v>21</v>
      </c>
      <c r="I2296" t="s">
        <v>22</v>
      </c>
      <c r="J2296" t="s">
        <v>141</v>
      </c>
    </row>
    <row r="2297" spans="1:10" x14ac:dyDescent="0.35">
      <c r="A2297" t="s">
        <v>2481</v>
      </c>
      <c r="B2297" s="10">
        <v>46073</v>
      </c>
      <c r="C2297" t="s">
        <v>308</v>
      </c>
      <c r="D2297" t="s">
        <v>54</v>
      </c>
      <c r="E2297" t="s">
        <v>64</v>
      </c>
      <c r="F2297" t="s">
        <v>54</v>
      </c>
      <c r="G2297">
        <v>351.64</v>
      </c>
      <c r="H2297" t="s">
        <v>15</v>
      </c>
      <c r="I2297" t="s">
        <v>47</v>
      </c>
      <c r="J2297" t="s">
        <v>89</v>
      </c>
    </row>
    <row r="2298" spans="1:10" x14ac:dyDescent="0.35">
      <c r="A2298" t="s">
        <v>2482</v>
      </c>
      <c r="B2298" s="10">
        <v>46074</v>
      </c>
      <c r="C2298" t="s">
        <v>88</v>
      </c>
      <c r="D2298" t="s">
        <v>54</v>
      </c>
      <c r="E2298" t="s">
        <v>74</v>
      </c>
      <c r="F2298" t="s">
        <v>54</v>
      </c>
      <c r="G2298">
        <v>2921.28</v>
      </c>
      <c r="H2298" t="s">
        <v>21</v>
      </c>
      <c r="I2298" t="s">
        <v>36</v>
      </c>
      <c r="J2298" t="s">
        <v>89</v>
      </c>
    </row>
    <row r="2299" spans="1:10" x14ac:dyDescent="0.35">
      <c r="A2299" t="s">
        <v>2483</v>
      </c>
      <c r="B2299" s="10">
        <v>46074</v>
      </c>
      <c r="C2299" t="s">
        <v>125</v>
      </c>
      <c r="D2299" t="s">
        <v>12</v>
      </c>
      <c r="E2299" t="s">
        <v>13</v>
      </c>
      <c r="F2299" t="s">
        <v>14</v>
      </c>
      <c r="G2299">
        <v>31.42</v>
      </c>
      <c r="H2299" t="s">
        <v>15</v>
      </c>
      <c r="I2299" t="s">
        <v>16</v>
      </c>
      <c r="J2299" t="s">
        <v>44</v>
      </c>
    </row>
    <row r="2300" spans="1:10" x14ac:dyDescent="0.35">
      <c r="A2300" t="s">
        <v>2484</v>
      </c>
      <c r="B2300" s="10">
        <v>46074</v>
      </c>
      <c r="C2300" t="s">
        <v>135</v>
      </c>
      <c r="D2300" t="s">
        <v>101</v>
      </c>
      <c r="E2300" t="s">
        <v>102</v>
      </c>
      <c r="F2300" t="s">
        <v>14</v>
      </c>
      <c r="G2300">
        <v>45.28</v>
      </c>
      <c r="H2300" t="s">
        <v>15</v>
      </c>
      <c r="I2300" t="s">
        <v>36</v>
      </c>
      <c r="J2300" t="s">
        <v>136</v>
      </c>
    </row>
    <row r="2301" spans="1:10" x14ac:dyDescent="0.35">
      <c r="A2301" t="s">
        <v>2485</v>
      </c>
      <c r="B2301" s="10">
        <v>46074</v>
      </c>
      <c r="C2301" t="s">
        <v>113</v>
      </c>
      <c r="D2301" t="s">
        <v>34</v>
      </c>
      <c r="E2301" t="s">
        <v>40</v>
      </c>
      <c r="F2301" t="s">
        <v>14</v>
      </c>
      <c r="G2301">
        <v>116.56</v>
      </c>
      <c r="H2301" t="s">
        <v>98</v>
      </c>
      <c r="I2301" t="s">
        <v>22</v>
      </c>
      <c r="J2301" t="s">
        <v>37</v>
      </c>
    </row>
    <row r="2302" spans="1:10" x14ac:dyDescent="0.35">
      <c r="A2302" t="s">
        <v>2486</v>
      </c>
      <c r="B2302" s="10">
        <v>46074</v>
      </c>
      <c r="C2302" t="s">
        <v>229</v>
      </c>
      <c r="D2302" t="s">
        <v>54</v>
      </c>
      <c r="E2302" t="s">
        <v>64</v>
      </c>
      <c r="F2302" t="s">
        <v>54</v>
      </c>
      <c r="G2302">
        <v>403.88</v>
      </c>
      <c r="H2302" t="s">
        <v>15</v>
      </c>
      <c r="I2302" t="s">
        <v>36</v>
      </c>
      <c r="J2302" t="s">
        <v>56</v>
      </c>
    </row>
    <row r="2303" spans="1:10" x14ac:dyDescent="0.35">
      <c r="A2303" t="s">
        <v>2487</v>
      </c>
      <c r="B2303" s="10">
        <v>46074</v>
      </c>
      <c r="C2303" t="s">
        <v>376</v>
      </c>
      <c r="D2303" t="s">
        <v>80</v>
      </c>
      <c r="E2303" t="s">
        <v>117</v>
      </c>
      <c r="F2303" t="s">
        <v>14</v>
      </c>
      <c r="G2303">
        <v>63.94</v>
      </c>
      <c r="H2303" t="s">
        <v>15</v>
      </c>
      <c r="I2303" t="s">
        <v>22</v>
      </c>
      <c r="J2303" t="s">
        <v>82</v>
      </c>
    </row>
    <row r="2304" spans="1:10" x14ac:dyDescent="0.35">
      <c r="A2304" t="s">
        <v>2488</v>
      </c>
      <c r="B2304" s="10">
        <v>46075</v>
      </c>
      <c r="C2304" t="s">
        <v>298</v>
      </c>
      <c r="D2304" t="s">
        <v>59</v>
      </c>
      <c r="E2304" t="s">
        <v>185</v>
      </c>
      <c r="F2304" t="s">
        <v>14</v>
      </c>
      <c r="G2304">
        <v>338.04</v>
      </c>
      <c r="H2304" t="s">
        <v>15</v>
      </c>
      <c r="I2304" t="s">
        <v>36</v>
      </c>
      <c r="J2304" t="s">
        <v>170</v>
      </c>
    </row>
    <row r="2305" spans="1:10" x14ac:dyDescent="0.35">
      <c r="A2305" t="s">
        <v>2489</v>
      </c>
      <c r="B2305" s="10">
        <v>46075</v>
      </c>
      <c r="C2305" t="s">
        <v>238</v>
      </c>
      <c r="D2305" t="s">
        <v>34</v>
      </c>
      <c r="E2305" t="s">
        <v>35</v>
      </c>
      <c r="F2305" t="s">
        <v>14</v>
      </c>
      <c r="G2305">
        <v>30.62</v>
      </c>
      <c r="H2305" t="s">
        <v>15</v>
      </c>
      <c r="I2305" t="s">
        <v>22</v>
      </c>
      <c r="J2305" t="s">
        <v>239</v>
      </c>
    </row>
    <row r="2306" spans="1:10" x14ac:dyDescent="0.35">
      <c r="A2306" t="s">
        <v>2490</v>
      </c>
      <c r="B2306" s="10">
        <v>46075</v>
      </c>
      <c r="C2306" t="s">
        <v>204</v>
      </c>
      <c r="D2306" t="s">
        <v>12</v>
      </c>
      <c r="E2306" t="s">
        <v>51</v>
      </c>
      <c r="F2306" t="s">
        <v>14</v>
      </c>
      <c r="G2306">
        <v>65.5</v>
      </c>
      <c r="H2306" t="s">
        <v>15</v>
      </c>
      <c r="I2306" t="s">
        <v>22</v>
      </c>
      <c r="J2306" t="s">
        <v>23</v>
      </c>
    </row>
    <row r="2307" spans="1:10" x14ac:dyDescent="0.35">
      <c r="A2307" t="s">
        <v>2491</v>
      </c>
      <c r="B2307" s="10">
        <v>46075</v>
      </c>
      <c r="C2307" t="s">
        <v>11</v>
      </c>
      <c r="D2307" t="s">
        <v>12</v>
      </c>
      <c r="E2307" t="s">
        <v>13</v>
      </c>
      <c r="F2307" t="s">
        <v>14</v>
      </c>
      <c r="G2307">
        <v>39.33</v>
      </c>
      <c r="H2307" t="s">
        <v>98</v>
      </c>
      <c r="I2307" t="s">
        <v>36</v>
      </c>
      <c r="J2307" t="s">
        <v>17</v>
      </c>
    </row>
    <row r="2308" spans="1:10" x14ac:dyDescent="0.35">
      <c r="A2308" t="s">
        <v>2492</v>
      </c>
      <c r="B2308" s="10">
        <v>46075</v>
      </c>
      <c r="C2308" t="s">
        <v>58</v>
      </c>
      <c r="D2308" t="s">
        <v>59</v>
      </c>
      <c r="E2308" t="s">
        <v>60</v>
      </c>
      <c r="F2308" t="s">
        <v>14</v>
      </c>
      <c r="G2308">
        <v>279.98</v>
      </c>
      <c r="H2308" t="s">
        <v>15</v>
      </c>
      <c r="I2308" t="s">
        <v>22</v>
      </c>
      <c r="J2308" t="s">
        <v>61</v>
      </c>
    </row>
    <row r="2309" spans="1:10" x14ac:dyDescent="0.35">
      <c r="A2309" t="s">
        <v>2493</v>
      </c>
      <c r="B2309" s="10">
        <v>46076</v>
      </c>
      <c r="C2309" t="s">
        <v>238</v>
      </c>
      <c r="D2309" t="s">
        <v>34</v>
      </c>
      <c r="E2309" t="s">
        <v>35</v>
      </c>
      <c r="F2309" t="s">
        <v>14</v>
      </c>
      <c r="G2309">
        <v>99.14</v>
      </c>
      <c r="H2309" t="s">
        <v>15</v>
      </c>
      <c r="I2309" t="s">
        <v>22</v>
      </c>
      <c r="J2309" t="s">
        <v>239</v>
      </c>
    </row>
    <row r="2310" spans="1:10" x14ac:dyDescent="0.35">
      <c r="A2310" t="s">
        <v>2494</v>
      </c>
      <c r="B2310" s="10">
        <v>46076</v>
      </c>
      <c r="C2310" t="s">
        <v>175</v>
      </c>
      <c r="D2310" t="s">
        <v>80</v>
      </c>
      <c r="E2310" t="s">
        <v>92</v>
      </c>
      <c r="F2310" t="s">
        <v>14</v>
      </c>
      <c r="G2310">
        <v>25.37</v>
      </c>
      <c r="H2310" t="s">
        <v>15</v>
      </c>
      <c r="I2310" t="s">
        <v>36</v>
      </c>
      <c r="J2310" t="s">
        <v>141</v>
      </c>
    </row>
    <row r="2311" spans="1:10" x14ac:dyDescent="0.35">
      <c r="A2311" t="s">
        <v>2495</v>
      </c>
      <c r="B2311" s="10">
        <v>46076</v>
      </c>
      <c r="C2311" t="s">
        <v>184</v>
      </c>
      <c r="D2311" t="s">
        <v>59</v>
      </c>
      <c r="E2311" t="s">
        <v>185</v>
      </c>
      <c r="F2311" t="s">
        <v>14</v>
      </c>
      <c r="G2311">
        <v>554.57000000000005</v>
      </c>
      <c r="H2311" t="s">
        <v>15</v>
      </c>
      <c r="I2311" t="s">
        <v>36</v>
      </c>
      <c r="J2311" t="s">
        <v>61</v>
      </c>
    </row>
    <row r="2312" spans="1:10" x14ac:dyDescent="0.35">
      <c r="A2312" t="s">
        <v>2496</v>
      </c>
      <c r="B2312" s="10">
        <v>46076</v>
      </c>
      <c r="C2312" t="s">
        <v>269</v>
      </c>
      <c r="D2312" t="s">
        <v>34</v>
      </c>
      <c r="E2312" t="s">
        <v>35</v>
      </c>
      <c r="F2312" t="s">
        <v>14</v>
      </c>
      <c r="G2312">
        <v>54.01</v>
      </c>
      <c r="H2312" t="s">
        <v>21</v>
      </c>
      <c r="I2312" t="s">
        <v>22</v>
      </c>
      <c r="J2312" t="s">
        <v>123</v>
      </c>
    </row>
    <row r="2313" spans="1:10" x14ac:dyDescent="0.35">
      <c r="A2313" t="s">
        <v>2497</v>
      </c>
      <c r="B2313" s="10">
        <v>46076</v>
      </c>
      <c r="C2313" t="s">
        <v>272</v>
      </c>
      <c r="D2313" t="s">
        <v>54</v>
      </c>
      <c r="E2313" t="s">
        <v>55</v>
      </c>
      <c r="F2313" t="s">
        <v>54</v>
      </c>
      <c r="G2313">
        <v>680.76</v>
      </c>
      <c r="H2313" t="s">
        <v>15</v>
      </c>
      <c r="I2313" t="s">
        <v>22</v>
      </c>
      <c r="J2313" t="s">
        <v>65</v>
      </c>
    </row>
    <row r="2314" spans="1:10" x14ac:dyDescent="0.35">
      <c r="A2314" t="s">
        <v>2498</v>
      </c>
      <c r="B2314" s="10">
        <v>46077</v>
      </c>
      <c r="C2314" t="s">
        <v>79</v>
      </c>
      <c r="D2314" t="s">
        <v>80</v>
      </c>
      <c r="E2314" t="s">
        <v>81</v>
      </c>
      <c r="F2314" t="s">
        <v>14</v>
      </c>
      <c r="G2314">
        <v>44.83</v>
      </c>
      <c r="H2314" t="s">
        <v>15</v>
      </c>
      <c r="I2314" t="s">
        <v>22</v>
      </c>
      <c r="J2314" t="s">
        <v>82</v>
      </c>
    </row>
    <row r="2315" spans="1:10" x14ac:dyDescent="0.35">
      <c r="A2315" t="s">
        <v>2499</v>
      </c>
      <c r="B2315" s="10">
        <v>46077</v>
      </c>
      <c r="C2315" t="s">
        <v>11</v>
      </c>
      <c r="D2315" t="s">
        <v>12</v>
      </c>
      <c r="E2315" t="s">
        <v>13</v>
      </c>
      <c r="F2315" t="s">
        <v>14</v>
      </c>
      <c r="G2315">
        <v>46.89</v>
      </c>
      <c r="H2315" t="s">
        <v>98</v>
      </c>
      <c r="I2315" t="s">
        <v>22</v>
      </c>
      <c r="J2315" t="s">
        <v>17</v>
      </c>
    </row>
    <row r="2316" spans="1:10" x14ac:dyDescent="0.35">
      <c r="A2316" t="s">
        <v>2500</v>
      </c>
      <c r="B2316" s="10">
        <v>46077</v>
      </c>
      <c r="C2316" t="s">
        <v>281</v>
      </c>
      <c r="D2316" t="s">
        <v>34</v>
      </c>
      <c r="E2316" t="s">
        <v>40</v>
      </c>
      <c r="F2316" t="s">
        <v>14</v>
      </c>
      <c r="G2316">
        <v>132.09</v>
      </c>
      <c r="H2316" t="s">
        <v>21</v>
      </c>
      <c r="I2316" t="s">
        <v>36</v>
      </c>
      <c r="J2316" t="s">
        <v>123</v>
      </c>
    </row>
    <row r="2317" spans="1:10" x14ac:dyDescent="0.35">
      <c r="A2317" t="s">
        <v>2501</v>
      </c>
      <c r="B2317" s="10">
        <v>46077</v>
      </c>
      <c r="C2317" t="s">
        <v>58</v>
      </c>
      <c r="D2317" t="s">
        <v>59</v>
      </c>
      <c r="E2317" t="s">
        <v>60</v>
      </c>
      <c r="F2317" t="s">
        <v>14</v>
      </c>
      <c r="G2317">
        <v>492.83</v>
      </c>
      <c r="H2317" t="s">
        <v>21</v>
      </c>
      <c r="I2317" t="s">
        <v>16</v>
      </c>
      <c r="J2317" t="s">
        <v>61</v>
      </c>
    </row>
    <row r="2318" spans="1:10" x14ac:dyDescent="0.35">
      <c r="A2318" t="s">
        <v>2502</v>
      </c>
      <c r="B2318" s="10">
        <v>46077</v>
      </c>
      <c r="C2318" t="s">
        <v>267</v>
      </c>
      <c r="D2318" t="s">
        <v>29</v>
      </c>
      <c r="E2318" t="s">
        <v>30</v>
      </c>
      <c r="F2318" t="s">
        <v>14</v>
      </c>
      <c r="G2318">
        <v>26.94</v>
      </c>
      <c r="H2318" t="s">
        <v>15</v>
      </c>
      <c r="I2318" t="s">
        <v>36</v>
      </c>
      <c r="J2318" t="s">
        <v>96</v>
      </c>
    </row>
    <row r="2319" spans="1:10" x14ac:dyDescent="0.35">
      <c r="A2319" t="s">
        <v>2503</v>
      </c>
      <c r="B2319" s="10">
        <v>46077</v>
      </c>
      <c r="C2319" t="s">
        <v>160</v>
      </c>
      <c r="D2319" t="s">
        <v>80</v>
      </c>
      <c r="E2319" t="s">
        <v>117</v>
      </c>
      <c r="F2319" t="s">
        <v>14</v>
      </c>
      <c r="G2319">
        <v>250</v>
      </c>
      <c r="H2319" t="s">
        <v>21</v>
      </c>
      <c r="I2319" t="s">
        <v>16</v>
      </c>
      <c r="J2319" t="s">
        <v>161</v>
      </c>
    </row>
    <row r="2320" spans="1:10" x14ac:dyDescent="0.35">
      <c r="A2320" t="s">
        <v>2504</v>
      </c>
      <c r="B2320" s="10">
        <v>46077</v>
      </c>
      <c r="C2320" t="s">
        <v>204</v>
      </c>
      <c r="D2320" t="s">
        <v>12</v>
      </c>
      <c r="E2320" t="s">
        <v>51</v>
      </c>
      <c r="F2320" t="s">
        <v>14</v>
      </c>
      <c r="G2320">
        <v>50.62</v>
      </c>
      <c r="H2320" t="s">
        <v>15</v>
      </c>
      <c r="I2320" t="s">
        <v>22</v>
      </c>
      <c r="J2320" t="s">
        <v>23</v>
      </c>
    </row>
    <row r="2321" spans="1:10" x14ac:dyDescent="0.35">
      <c r="A2321" t="s">
        <v>2505</v>
      </c>
      <c r="B2321" s="10">
        <v>46077</v>
      </c>
      <c r="C2321" t="s">
        <v>204</v>
      </c>
      <c r="D2321" t="s">
        <v>12</v>
      </c>
      <c r="E2321" t="s">
        <v>51</v>
      </c>
      <c r="F2321" t="s">
        <v>14</v>
      </c>
      <c r="G2321">
        <v>48.22</v>
      </c>
      <c r="H2321" t="s">
        <v>15</v>
      </c>
      <c r="I2321" t="s">
        <v>22</v>
      </c>
      <c r="J2321" t="s">
        <v>23</v>
      </c>
    </row>
    <row r="2322" spans="1:10" x14ac:dyDescent="0.35">
      <c r="A2322" t="s">
        <v>2506</v>
      </c>
      <c r="B2322" s="10">
        <v>46077</v>
      </c>
      <c r="C2322" t="s">
        <v>227</v>
      </c>
      <c r="D2322" t="s">
        <v>12</v>
      </c>
      <c r="E2322" t="s">
        <v>51</v>
      </c>
      <c r="F2322" t="s">
        <v>14</v>
      </c>
      <c r="G2322">
        <v>66.709999999999994</v>
      </c>
      <c r="H2322" t="s">
        <v>21</v>
      </c>
      <c r="I2322" t="s">
        <v>36</v>
      </c>
      <c r="J2322" t="s">
        <v>17</v>
      </c>
    </row>
    <row r="2323" spans="1:10" x14ac:dyDescent="0.35">
      <c r="A2323" t="s">
        <v>2507</v>
      </c>
      <c r="B2323" s="10">
        <v>46078</v>
      </c>
      <c r="C2323" t="s">
        <v>143</v>
      </c>
      <c r="D2323" t="s">
        <v>54</v>
      </c>
      <c r="E2323" t="s">
        <v>55</v>
      </c>
      <c r="F2323" t="s">
        <v>54</v>
      </c>
      <c r="G2323">
        <v>701.29</v>
      </c>
      <c r="H2323" t="s">
        <v>98</v>
      </c>
      <c r="I2323" t="s">
        <v>47</v>
      </c>
      <c r="J2323" t="s">
        <v>89</v>
      </c>
    </row>
    <row r="2324" spans="1:10" x14ac:dyDescent="0.35">
      <c r="A2324" t="s">
        <v>2508</v>
      </c>
      <c r="B2324" s="10">
        <v>46078</v>
      </c>
      <c r="C2324" t="s">
        <v>281</v>
      </c>
      <c r="D2324" t="s">
        <v>34</v>
      </c>
      <c r="E2324" t="s">
        <v>40</v>
      </c>
      <c r="F2324" t="s">
        <v>14</v>
      </c>
      <c r="G2324">
        <v>163.62</v>
      </c>
      <c r="H2324" t="s">
        <v>21</v>
      </c>
      <c r="I2324" t="s">
        <v>36</v>
      </c>
      <c r="J2324" t="s">
        <v>123</v>
      </c>
    </row>
    <row r="2325" spans="1:10" x14ac:dyDescent="0.35">
      <c r="A2325" t="s">
        <v>2509</v>
      </c>
      <c r="B2325" s="10">
        <v>46078</v>
      </c>
      <c r="C2325" t="s">
        <v>11</v>
      </c>
      <c r="D2325" t="s">
        <v>12</v>
      </c>
      <c r="E2325" t="s">
        <v>13</v>
      </c>
      <c r="F2325" t="s">
        <v>14</v>
      </c>
      <c r="G2325">
        <v>180</v>
      </c>
      <c r="H2325" t="s">
        <v>15</v>
      </c>
      <c r="I2325" t="s">
        <v>22</v>
      </c>
      <c r="J2325" t="s">
        <v>17</v>
      </c>
    </row>
    <row r="2326" spans="1:10" x14ac:dyDescent="0.35">
      <c r="A2326" t="s">
        <v>2510</v>
      </c>
      <c r="B2326" s="10">
        <v>46078</v>
      </c>
      <c r="C2326" t="s">
        <v>345</v>
      </c>
      <c r="D2326" t="s">
        <v>59</v>
      </c>
      <c r="E2326" t="s">
        <v>60</v>
      </c>
      <c r="F2326" t="s">
        <v>14</v>
      </c>
      <c r="G2326">
        <v>91.55</v>
      </c>
      <c r="H2326" t="s">
        <v>21</v>
      </c>
      <c r="I2326" t="s">
        <v>22</v>
      </c>
      <c r="J2326" t="s">
        <v>211</v>
      </c>
    </row>
    <row r="2327" spans="1:10" x14ac:dyDescent="0.35">
      <c r="A2327" t="s">
        <v>2511</v>
      </c>
      <c r="B2327" s="10">
        <v>46078</v>
      </c>
      <c r="C2327" t="s">
        <v>43</v>
      </c>
      <c r="D2327" t="s">
        <v>12</v>
      </c>
      <c r="E2327" t="s">
        <v>26</v>
      </c>
      <c r="F2327" t="s">
        <v>14</v>
      </c>
      <c r="G2327">
        <v>12.19</v>
      </c>
      <c r="H2327" t="s">
        <v>15</v>
      </c>
      <c r="I2327" t="s">
        <v>84</v>
      </c>
      <c r="J2327" t="s">
        <v>44</v>
      </c>
    </row>
    <row r="2328" spans="1:10" x14ac:dyDescent="0.35">
      <c r="A2328" t="s">
        <v>2512</v>
      </c>
      <c r="B2328" s="10">
        <v>46078</v>
      </c>
      <c r="C2328" t="s">
        <v>91</v>
      </c>
      <c r="D2328" t="s">
        <v>80</v>
      </c>
      <c r="E2328" t="s">
        <v>92</v>
      </c>
      <c r="F2328" t="s">
        <v>14</v>
      </c>
      <c r="G2328">
        <v>90.47</v>
      </c>
      <c r="H2328" t="s">
        <v>15</v>
      </c>
      <c r="I2328" t="s">
        <v>22</v>
      </c>
      <c r="J2328" t="s">
        <v>82</v>
      </c>
    </row>
    <row r="2329" spans="1:10" x14ac:dyDescent="0.35">
      <c r="A2329" t="s">
        <v>2513</v>
      </c>
      <c r="B2329" s="10">
        <v>46079</v>
      </c>
      <c r="C2329" t="s">
        <v>875</v>
      </c>
      <c r="D2329" t="s">
        <v>69</v>
      </c>
      <c r="E2329" t="s">
        <v>291</v>
      </c>
      <c r="F2329" t="s">
        <v>14</v>
      </c>
      <c r="G2329">
        <v>192.78</v>
      </c>
      <c r="H2329" t="s">
        <v>15</v>
      </c>
      <c r="I2329" t="s">
        <v>16</v>
      </c>
      <c r="J2329" t="s">
        <v>133</v>
      </c>
    </row>
    <row r="2330" spans="1:10" x14ac:dyDescent="0.35">
      <c r="A2330" t="s">
        <v>2514</v>
      </c>
      <c r="B2330" s="10">
        <v>46079</v>
      </c>
      <c r="C2330" t="s">
        <v>424</v>
      </c>
      <c r="D2330" t="s">
        <v>101</v>
      </c>
      <c r="E2330" t="s">
        <v>136</v>
      </c>
      <c r="F2330" t="s">
        <v>14</v>
      </c>
      <c r="G2330">
        <v>23</v>
      </c>
      <c r="H2330" t="s">
        <v>21</v>
      </c>
      <c r="I2330" t="s">
        <v>22</v>
      </c>
      <c r="J2330" t="s">
        <v>102</v>
      </c>
    </row>
    <row r="2331" spans="1:10" x14ac:dyDescent="0.35">
      <c r="A2331" t="s">
        <v>2515</v>
      </c>
      <c r="B2331" s="10">
        <v>46079</v>
      </c>
      <c r="C2331" t="s">
        <v>11</v>
      </c>
      <c r="D2331" t="s">
        <v>12</v>
      </c>
      <c r="E2331" t="s">
        <v>13</v>
      </c>
      <c r="F2331" t="s">
        <v>14</v>
      </c>
      <c r="G2331">
        <v>74.150000000000006</v>
      </c>
      <c r="H2331" t="s">
        <v>21</v>
      </c>
      <c r="I2331" t="s">
        <v>22</v>
      </c>
      <c r="J2331" t="s">
        <v>17</v>
      </c>
    </row>
    <row r="2332" spans="1:10" x14ac:dyDescent="0.35">
      <c r="A2332" t="s">
        <v>2516</v>
      </c>
      <c r="B2332" s="10">
        <v>46080</v>
      </c>
      <c r="C2332" t="s">
        <v>298</v>
      </c>
      <c r="D2332" t="s">
        <v>59</v>
      </c>
      <c r="E2332" t="s">
        <v>185</v>
      </c>
      <c r="F2332" t="s">
        <v>14</v>
      </c>
      <c r="G2332">
        <v>145.03</v>
      </c>
      <c r="H2332" t="s">
        <v>15</v>
      </c>
      <c r="I2332" t="s">
        <v>47</v>
      </c>
      <c r="J2332" t="s">
        <v>170</v>
      </c>
    </row>
    <row r="2333" spans="1:10" x14ac:dyDescent="0.35">
      <c r="A2333" t="s">
        <v>2517</v>
      </c>
      <c r="B2333" s="10">
        <v>46080</v>
      </c>
      <c r="C2333" t="s">
        <v>168</v>
      </c>
      <c r="D2333" t="s">
        <v>59</v>
      </c>
      <c r="E2333" t="s">
        <v>60</v>
      </c>
      <c r="F2333" t="s">
        <v>14</v>
      </c>
      <c r="G2333">
        <v>197.92</v>
      </c>
      <c r="H2333" t="s">
        <v>21</v>
      </c>
      <c r="I2333" t="s">
        <v>47</v>
      </c>
      <c r="J2333" t="s">
        <v>170</v>
      </c>
    </row>
    <row r="2334" spans="1:10" x14ac:dyDescent="0.35">
      <c r="A2334" t="s">
        <v>2518</v>
      </c>
      <c r="B2334" s="10">
        <v>46080</v>
      </c>
      <c r="C2334" t="s">
        <v>94</v>
      </c>
      <c r="D2334" t="s">
        <v>29</v>
      </c>
      <c r="E2334" t="s">
        <v>95</v>
      </c>
      <c r="F2334" t="s">
        <v>14</v>
      </c>
      <c r="G2334">
        <v>53.13</v>
      </c>
      <c r="H2334" t="s">
        <v>21</v>
      </c>
      <c r="I2334" t="s">
        <v>84</v>
      </c>
      <c r="J2334" t="s">
        <v>96</v>
      </c>
    </row>
    <row r="2335" spans="1:10" x14ac:dyDescent="0.35">
      <c r="A2335" t="s">
        <v>2519</v>
      </c>
      <c r="B2335" s="10">
        <v>46080</v>
      </c>
      <c r="C2335" t="s">
        <v>445</v>
      </c>
      <c r="D2335" t="s">
        <v>101</v>
      </c>
      <c r="E2335" t="s">
        <v>244</v>
      </c>
      <c r="F2335" t="s">
        <v>14</v>
      </c>
      <c r="G2335">
        <v>190.3</v>
      </c>
      <c r="H2335" t="s">
        <v>15</v>
      </c>
      <c r="I2335" t="s">
        <v>16</v>
      </c>
      <c r="J2335" t="s">
        <v>103</v>
      </c>
    </row>
    <row r="2336" spans="1:10" x14ac:dyDescent="0.35">
      <c r="A2336" t="s">
        <v>2520</v>
      </c>
      <c r="B2336" s="10">
        <v>46080</v>
      </c>
      <c r="C2336" t="s">
        <v>272</v>
      </c>
      <c r="D2336" t="s">
        <v>54</v>
      </c>
      <c r="E2336" t="s">
        <v>55</v>
      </c>
      <c r="F2336" t="s">
        <v>54</v>
      </c>
      <c r="G2336">
        <v>769.3</v>
      </c>
      <c r="H2336" t="s">
        <v>15</v>
      </c>
      <c r="I2336" t="s">
        <v>47</v>
      </c>
      <c r="J2336" t="s">
        <v>65</v>
      </c>
    </row>
    <row r="2337" spans="1:10" x14ac:dyDescent="0.35">
      <c r="A2337" t="s">
        <v>2521</v>
      </c>
      <c r="B2337" s="10">
        <v>46080</v>
      </c>
      <c r="C2337" t="s">
        <v>143</v>
      </c>
      <c r="D2337" t="s">
        <v>54</v>
      </c>
      <c r="E2337" t="s">
        <v>55</v>
      </c>
      <c r="F2337" t="s">
        <v>54</v>
      </c>
      <c r="G2337">
        <v>753.23</v>
      </c>
      <c r="H2337" t="s">
        <v>15</v>
      </c>
      <c r="I2337" t="s">
        <v>22</v>
      </c>
      <c r="J2337" t="s">
        <v>89</v>
      </c>
    </row>
    <row r="2338" spans="1:10" x14ac:dyDescent="0.35">
      <c r="A2338" t="s">
        <v>2522</v>
      </c>
      <c r="B2338" s="10">
        <v>46080</v>
      </c>
      <c r="C2338" t="s">
        <v>138</v>
      </c>
      <c r="D2338" t="s">
        <v>12</v>
      </c>
      <c r="E2338" t="s">
        <v>26</v>
      </c>
      <c r="F2338" t="s">
        <v>14</v>
      </c>
      <c r="G2338">
        <v>33.520000000000003</v>
      </c>
      <c r="H2338" t="s">
        <v>15</v>
      </c>
      <c r="I2338" t="s">
        <v>22</v>
      </c>
      <c r="J2338" t="s">
        <v>77</v>
      </c>
    </row>
    <row r="2339" spans="1:10" x14ac:dyDescent="0.35">
      <c r="A2339" t="s">
        <v>2523</v>
      </c>
      <c r="B2339" s="10">
        <v>46081</v>
      </c>
      <c r="C2339" t="s">
        <v>73</v>
      </c>
      <c r="D2339" t="s">
        <v>54</v>
      </c>
      <c r="E2339" t="s">
        <v>74</v>
      </c>
      <c r="F2339" t="s">
        <v>54</v>
      </c>
      <c r="G2339">
        <v>2654.55</v>
      </c>
      <c r="H2339" t="s">
        <v>15</v>
      </c>
      <c r="I2339" t="s">
        <v>47</v>
      </c>
      <c r="J2339" t="s">
        <v>65</v>
      </c>
    </row>
    <row r="2340" spans="1:10" x14ac:dyDescent="0.35">
      <c r="A2340" t="s">
        <v>2524</v>
      </c>
      <c r="B2340" s="10">
        <v>46081</v>
      </c>
      <c r="C2340" t="s">
        <v>215</v>
      </c>
      <c r="D2340" t="s">
        <v>80</v>
      </c>
      <c r="E2340" t="s">
        <v>117</v>
      </c>
      <c r="F2340" t="s">
        <v>14</v>
      </c>
      <c r="G2340">
        <v>22.05</v>
      </c>
      <c r="H2340" t="s">
        <v>15</v>
      </c>
      <c r="I2340" t="s">
        <v>22</v>
      </c>
      <c r="J2340" t="s">
        <v>141</v>
      </c>
    </row>
    <row r="2341" spans="1:10" x14ac:dyDescent="0.35">
      <c r="A2341" t="s">
        <v>2525</v>
      </c>
      <c r="B2341" s="10">
        <v>46081</v>
      </c>
      <c r="C2341" t="s">
        <v>168</v>
      </c>
      <c r="D2341" t="s">
        <v>59</v>
      </c>
      <c r="E2341" t="s">
        <v>60</v>
      </c>
      <c r="F2341" t="s">
        <v>14</v>
      </c>
      <c r="G2341">
        <v>249.36</v>
      </c>
      <c r="H2341" t="s">
        <v>21</v>
      </c>
      <c r="I2341" t="s">
        <v>22</v>
      </c>
      <c r="J2341" t="s">
        <v>170</v>
      </c>
    </row>
    <row r="2342" spans="1:10" x14ac:dyDescent="0.35">
      <c r="A2342" t="s">
        <v>2526</v>
      </c>
      <c r="B2342" s="10">
        <v>46081</v>
      </c>
      <c r="C2342" t="s">
        <v>259</v>
      </c>
      <c r="D2342" t="s">
        <v>59</v>
      </c>
      <c r="E2342" t="s">
        <v>199</v>
      </c>
      <c r="F2342" t="s">
        <v>14</v>
      </c>
      <c r="G2342">
        <v>59.14</v>
      </c>
      <c r="H2342" t="s">
        <v>15</v>
      </c>
      <c r="I2342" t="s">
        <v>47</v>
      </c>
      <c r="J2342" t="s">
        <v>170</v>
      </c>
    </row>
    <row r="2343" spans="1:10" x14ac:dyDescent="0.35">
      <c r="A2343" t="s">
        <v>2527</v>
      </c>
      <c r="B2343" s="10">
        <v>46081</v>
      </c>
      <c r="C2343" t="s">
        <v>53</v>
      </c>
      <c r="D2343" t="s">
        <v>54</v>
      </c>
      <c r="E2343" t="s">
        <v>55</v>
      </c>
      <c r="F2343" t="s">
        <v>54</v>
      </c>
      <c r="G2343">
        <v>819.81</v>
      </c>
      <c r="H2343" t="s">
        <v>21</v>
      </c>
      <c r="I2343" t="s">
        <v>22</v>
      </c>
      <c r="J2343" t="s">
        <v>56</v>
      </c>
    </row>
    <row r="2344" spans="1:10" x14ac:dyDescent="0.35">
      <c r="A2344" t="s">
        <v>2528</v>
      </c>
      <c r="B2344" s="10">
        <v>46081</v>
      </c>
      <c r="C2344" t="s">
        <v>63</v>
      </c>
      <c r="D2344" t="s">
        <v>54</v>
      </c>
      <c r="E2344" t="s">
        <v>64</v>
      </c>
      <c r="F2344" t="s">
        <v>54</v>
      </c>
      <c r="G2344">
        <v>301.14</v>
      </c>
      <c r="H2344" t="s">
        <v>21</v>
      </c>
      <c r="I2344" t="s">
        <v>36</v>
      </c>
      <c r="J2344" t="s">
        <v>65</v>
      </c>
    </row>
    <row r="2345" spans="1:10" x14ac:dyDescent="0.35">
      <c r="A2345" t="s">
        <v>2529</v>
      </c>
      <c r="B2345" s="10">
        <v>46082</v>
      </c>
      <c r="C2345" t="s">
        <v>153</v>
      </c>
      <c r="D2345" t="s">
        <v>34</v>
      </c>
      <c r="E2345" t="s">
        <v>122</v>
      </c>
      <c r="F2345" t="s">
        <v>14</v>
      </c>
      <c r="G2345">
        <v>116.23</v>
      </c>
      <c r="H2345" t="s">
        <v>21</v>
      </c>
      <c r="I2345" t="s">
        <v>22</v>
      </c>
      <c r="J2345" t="s">
        <v>41</v>
      </c>
    </row>
    <row r="2346" spans="1:10" x14ac:dyDescent="0.35">
      <c r="A2346" t="s">
        <v>2530</v>
      </c>
      <c r="B2346" s="10">
        <v>46082</v>
      </c>
      <c r="C2346" t="s">
        <v>184</v>
      </c>
      <c r="D2346" t="s">
        <v>59</v>
      </c>
      <c r="E2346" t="s">
        <v>185</v>
      </c>
      <c r="F2346" t="s">
        <v>14</v>
      </c>
      <c r="G2346">
        <v>97.43</v>
      </c>
      <c r="H2346" t="s">
        <v>21</v>
      </c>
      <c r="I2346" t="s">
        <v>22</v>
      </c>
      <c r="J2346" t="s">
        <v>61</v>
      </c>
    </row>
    <row r="2347" spans="1:10" x14ac:dyDescent="0.35">
      <c r="A2347" t="s">
        <v>2531</v>
      </c>
      <c r="B2347" s="10">
        <v>46082</v>
      </c>
      <c r="C2347" t="s">
        <v>46</v>
      </c>
      <c r="D2347" t="s">
        <v>12</v>
      </c>
      <c r="E2347" t="s">
        <v>13</v>
      </c>
      <c r="F2347" t="s">
        <v>14</v>
      </c>
      <c r="G2347">
        <v>123.34</v>
      </c>
      <c r="H2347" t="s">
        <v>21</v>
      </c>
      <c r="I2347" t="s">
        <v>22</v>
      </c>
      <c r="J2347" t="s">
        <v>48</v>
      </c>
    </row>
    <row r="2348" spans="1:10" x14ac:dyDescent="0.35">
      <c r="A2348" t="s">
        <v>2532</v>
      </c>
      <c r="B2348" s="10">
        <v>46082</v>
      </c>
      <c r="C2348" t="s">
        <v>140</v>
      </c>
      <c r="D2348" t="s">
        <v>80</v>
      </c>
      <c r="E2348" t="s">
        <v>81</v>
      </c>
      <c r="F2348" t="s">
        <v>14</v>
      </c>
      <c r="G2348">
        <v>83.75</v>
      </c>
      <c r="H2348" t="s">
        <v>15</v>
      </c>
      <c r="I2348" t="s">
        <v>36</v>
      </c>
      <c r="J2348" t="s">
        <v>141</v>
      </c>
    </row>
    <row r="2349" spans="1:10" x14ac:dyDescent="0.35">
      <c r="A2349" t="s">
        <v>2533</v>
      </c>
      <c r="B2349" s="10">
        <v>46083</v>
      </c>
      <c r="C2349" t="s">
        <v>46</v>
      </c>
      <c r="D2349" t="s">
        <v>12</v>
      </c>
      <c r="E2349" t="s">
        <v>13</v>
      </c>
      <c r="F2349" t="s">
        <v>14</v>
      </c>
      <c r="G2349">
        <v>48.95</v>
      </c>
      <c r="H2349" t="s">
        <v>21</v>
      </c>
      <c r="I2349" t="s">
        <v>22</v>
      </c>
      <c r="J2349" t="s">
        <v>48</v>
      </c>
    </row>
    <row r="2350" spans="1:10" x14ac:dyDescent="0.35">
      <c r="A2350" t="s">
        <v>2534</v>
      </c>
      <c r="B2350" s="10">
        <v>46083</v>
      </c>
      <c r="C2350" t="s">
        <v>130</v>
      </c>
      <c r="D2350" t="s">
        <v>12</v>
      </c>
      <c r="E2350" t="s">
        <v>26</v>
      </c>
      <c r="F2350" t="s">
        <v>14</v>
      </c>
      <c r="G2350">
        <v>50.95</v>
      </c>
      <c r="H2350" t="s">
        <v>15</v>
      </c>
      <c r="I2350" t="s">
        <v>22</v>
      </c>
      <c r="J2350" t="s">
        <v>48</v>
      </c>
    </row>
    <row r="2351" spans="1:10" x14ac:dyDescent="0.35">
      <c r="A2351" t="s">
        <v>2535</v>
      </c>
      <c r="B2351" s="10">
        <v>46083</v>
      </c>
      <c r="C2351" t="s">
        <v>296</v>
      </c>
      <c r="D2351" t="s">
        <v>101</v>
      </c>
      <c r="E2351" t="s">
        <v>136</v>
      </c>
      <c r="F2351" t="s">
        <v>14</v>
      </c>
      <c r="G2351">
        <v>59.01</v>
      </c>
      <c r="H2351" t="s">
        <v>15</v>
      </c>
      <c r="I2351" t="s">
        <v>22</v>
      </c>
      <c r="J2351" t="s">
        <v>136</v>
      </c>
    </row>
    <row r="2352" spans="1:10" x14ac:dyDescent="0.35">
      <c r="A2352" t="s">
        <v>2536</v>
      </c>
      <c r="B2352" s="10">
        <v>46083</v>
      </c>
      <c r="C2352" t="s">
        <v>424</v>
      </c>
      <c r="D2352" t="s">
        <v>101</v>
      </c>
      <c r="E2352" t="s">
        <v>136</v>
      </c>
      <c r="F2352" t="s">
        <v>14</v>
      </c>
      <c r="G2352">
        <v>36.75</v>
      </c>
      <c r="H2352" t="s">
        <v>21</v>
      </c>
      <c r="I2352" t="s">
        <v>47</v>
      </c>
      <c r="J2352" t="s">
        <v>102</v>
      </c>
    </row>
    <row r="2353" spans="1:10" x14ac:dyDescent="0.35">
      <c r="A2353" t="s">
        <v>2537</v>
      </c>
      <c r="B2353" s="10">
        <v>46083</v>
      </c>
      <c r="C2353" t="s">
        <v>220</v>
      </c>
      <c r="D2353" t="s">
        <v>59</v>
      </c>
      <c r="E2353" t="s">
        <v>199</v>
      </c>
      <c r="F2353" t="s">
        <v>14</v>
      </c>
      <c r="G2353">
        <v>451.51</v>
      </c>
      <c r="H2353" t="s">
        <v>21</v>
      </c>
      <c r="I2353" t="s">
        <v>22</v>
      </c>
      <c r="J2353" t="s">
        <v>211</v>
      </c>
    </row>
    <row r="2354" spans="1:10" x14ac:dyDescent="0.35">
      <c r="A2354" t="s">
        <v>2538</v>
      </c>
      <c r="B2354" s="10">
        <v>46083</v>
      </c>
      <c r="C2354" t="s">
        <v>395</v>
      </c>
      <c r="D2354" t="s">
        <v>69</v>
      </c>
      <c r="E2354" t="s">
        <v>291</v>
      </c>
      <c r="F2354" t="s">
        <v>14</v>
      </c>
      <c r="G2354">
        <v>1037.19</v>
      </c>
      <c r="H2354" t="s">
        <v>21</v>
      </c>
      <c r="I2354" t="s">
        <v>22</v>
      </c>
      <c r="J2354" t="s">
        <v>396</v>
      </c>
    </row>
    <row r="2355" spans="1:10" x14ac:dyDescent="0.35">
      <c r="A2355" t="s">
        <v>2539</v>
      </c>
      <c r="B2355" s="10">
        <v>46084</v>
      </c>
      <c r="C2355" t="s">
        <v>415</v>
      </c>
      <c r="D2355" t="s">
        <v>12</v>
      </c>
      <c r="E2355" t="s">
        <v>51</v>
      </c>
      <c r="F2355" t="s">
        <v>14</v>
      </c>
      <c r="G2355">
        <v>180</v>
      </c>
      <c r="H2355" t="s">
        <v>15</v>
      </c>
      <c r="I2355" t="s">
        <v>16</v>
      </c>
      <c r="J2355" t="s">
        <v>77</v>
      </c>
    </row>
    <row r="2356" spans="1:10" x14ac:dyDescent="0.35">
      <c r="A2356" t="s">
        <v>2540</v>
      </c>
      <c r="B2356" s="10">
        <v>46084</v>
      </c>
      <c r="C2356" t="s">
        <v>192</v>
      </c>
      <c r="D2356" t="s">
        <v>80</v>
      </c>
      <c r="E2356" t="s">
        <v>92</v>
      </c>
      <c r="F2356" t="s">
        <v>14</v>
      </c>
      <c r="G2356">
        <v>27.11</v>
      </c>
      <c r="H2356" t="s">
        <v>21</v>
      </c>
      <c r="I2356" t="s">
        <v>36</v>
      </c>
      <c r="J2356" t="s">
        <v>180</v>
      </c>
    </row>
    <row r="2357" spans="1:10" x14ac:dyDescent="0.35">
      <c r="A2357" t="s">
        <v>2541</v>
      </c>
      <c r="B2357" s="10">
        <v>46084</v>
      </c>
      <c r="C2357" t="s">
        <v>238</v>
      </c>
      <c r="D2357" t="s">
        <v>34</v>
      </c>
      <c r="E2357" t="s">
        <v>35</v>
      </c>
      <c r="F2357" t="s">
        <v>14</v>
      </c>
      <c r="G2357">
        <v>30.44</v>
      </c>
      <c r="H2357" t="s">
        <v>15</v>
      </c>
      <c r="I2357" t="s">
        <v>22</v>
      </c>
      <c r="J2357" t="s">
        <v>239</v>
      </c>
    </row>
    <row r="2358" spans="1:10" x14ac:dyDescent="0.35">
      <c r="A2358" t="s">
        <v>2542</v>
      </c>
      <c r="B2358" s="10">
        <v>46084</v>
      </c>
      <c r="C2358" t="s">
        <v>281</v>
      </c>
      <c r="D2358" t="s">
        <v>34</v>
      </c>
      <c r="E2358" t="s">
        <v>40</v>
      </c>
      <c r="F2358" t="s">
        <v>14</v>
      </c>
      <c r="G2358">
        <v>241.9</v>
      </c>
      <c r="H2358" t="s">
        <v>15</v>
      </c>
      <c r="I2358" t="s">
        <v>47</v>
      </c>
      <c r="J2358" t="s">
        <v>123</v>
      </c>
    </row>
    <row r="2359" spans="1:10" x14ac:dyDescent="0.35">
      <c r="A2359" t="s">
        <v>2543</v>
      </c>
      <c r="B2359" s="10">
        <v>46084</v>
      </c>
      <c r="C2359" t="s">
        <v>121</v>
      </c>
      <c r="D2359" t="s">
        <v>34</v>
      </c>
      <c r="E2359" t="s">
        <v>122</v>
      </c>
      <c r="F2359" t="s">
        <v>14</v>
      </c>
      <c r="G2359">
        <v>99.85</v>
      </c>
      <c r="H2359" t="s">
        <v>98</v>
      </c>
      <c r="I2359" t="s">
        <v>22</v>
      </c>
      <c r="J2359" t="s">
        <v>123</v>
      </c>
    </row>
    <row r="2360" spans="1:10" x14ac:dyDescent="0.35">
      <c r="A2360" t="s">
        <v>2544</v>
      </c>
      <c r="B2360" s="10">
        <v>46084</v>
      </c>
      <c r="C2360" t="s">
        <v>251</v>
      </c>
      <c r="D2360" t="s">
        <v>29</v>
      </c>
      <c r="E2360" t="s">
        <v>151</v>
      </c>
      <c r="F2360" t="s">
        <v>14</v>
      </c>
      <c r="G2360">
        <v>26.69</v>
      </c>
      <c r="H2360" t="s">
        <v>15</v>
      </c>
      <c r="I2360" t="s">
        <v>47</v>
      </c>
      <c r="J2360" t="s">
        <v>31</v>
      </c>
    </row>
    <row r="2361" spans="1:10" x14ac:dyDescent="0.35">
      <c r="A2361" t="s">
        <v>2545</v>
      </c>
      <c r="B2361" s="10">
        <v>46084</v>
      </c>
      <c r="C2361" t="s">
        <v>259</v>
      </c>
      <c r="D2361" t="s">
        <v>59</v>
      </c>
      <c r="E2361" t="s">
        <v>199</v>
      </c>
      <c r="F2361" t="s">
        <v>14</v>
      </c>
      <c r="G2361">
        <v>425.57</v>
      </c>
      <c r="H2361" t="s">
        <v>15</v>
      </c>
      <c r="I2361" t="s">
        <v>22</v>
      </c>
      <c r="J2361" t="s">
        <v>170</v>
      </c>
    </row>
    <row r="2362" spans="1:10" x14ac:dyDescent="0.35">
      <c r="A2362" t="s">
        <v>2546</v>
      </c>
      <c r="B2362" s="10">
        <v>46085</v>
      </c>
      <c r="C2362" t="s">
        <v>272</v>
      </c>
      <c r="D2362" t="s">
        <v>54</v>
      </c>
      <c r="E2362" t="s">
        <v>55</v>
      </c>
      <c r="F2362" t="s">
        <v>54</v>
      </c>
      <c r="G2362">
        <v>550.66</v>
      </c>
      <c r="H2362" t="s">
        <v>21</v>
      </c>
      <c r="I2362" t="s">
        <v>16</v>
      </c>
      <c r="J2362" t="s">
        <v>65</v>
      </c>
    </row>
    <row r="2363" spans="1:10" x14ac:dyDescent="0.35">
      <c r="A2363" t="s">
        <v>2547</v>
      </c>
      <c r="B2363" s="10">
        <v>46085</v>
      </c>
      <c r="C2363" t="s">
        <v>121</v>
      </c>
      <c r="D2363" t="s">
        <v>34</v>
      </c>
      <c r="E2363" t="s">
        <v>122</v>
      </c>
      <c r="F2363" t="s">
        <v>14</v>
      </c>
      <c r="G2363">
        <v>271.47000000000003</v>
      </c>
      <c r="H2363" t="s">
        <v>15</v>
      </c>
      <c r="I2363" t="s">
        <v>36</v>
      </c>
      <c r="J2363" t="s">
        <v>123</v>
      </c>
    </row>
    <row r="2364" spans="1:10" x14ac:dyDescent="0.35">
      <c r="A2364" t="s">
        <v>2548</v>
      </c>
      <c r="B2364" s="10">
        <v>46085</v>
      </c>
      <c r="C2364" t="s">
        <v>88</v>
      </c>
      <c r="D2364" t="s">
        <v>54</v>
      </c>
      <c r="E2364" t="s">
        <v>74</v>
      </c>
      <c r="F2364" t="s">
        <v>54</v>
      </c>
      <c r="G2364">
        <v>2565.21</v>
      </c>
      <c r="H2364" t="s">
        <v>15</v>
      </c>
      <c r="I2364" t="s">
        <v>47</v>
      </c>
      <c r="J2364" t="s">
        <v>89</v>
      </c>
    </row>
    <row r="2365" spans="1:10" x14ac:dyDescent="0.35">
      <c r="A2365" t="s">
        <v>2549</v>
      </c>
      <c r="B2365" s="10">
        <v>46085</v>
      </c>
      <c r="C2365" t="s">
        <v>308</v>
      </c>
      <c r="D2365" t="s">
        <v>54</v>
      </c>
      <c r="E2365" t="s">
        <v>64</v>
      </c>
      <c r="F2365" t="s">
        <v>54</v>
      </c>
      <c r="G2365">
        <v>316.5</v>
      </c>
      <c r="H2365" t="s">
        <v>21</v>
      </c>
      <c r="I2365" t="s">
        <v>22</v>
      </c>
      <c r="J2365" t="s">
        <v>89</v>
      </c>
    </row>
    <row r="2366" spans="1:10" x14ac:dyDescent="0.35">
      <c r="A2366" t="s">
        <v>2550</v>
      </c>
      <c r="B2366" s="10">
        <v>46085</v>
      </c>
      <c r="C2366" t="s">
        <v>19</v>
      </c>
      <c r="D2366" t="s">
        <v>12</v>
      </c>
      <c r="E2366" t="s">
        <v>13</v>
      </c>
      <c r="F2366" t="s">
        <v>14</v>
      </c>
      <c r="G2366">
        <v>67.08</v>
      </c>
      <c r="H2366" t="s">
        <v>15</v>
      </c>
      <c r="I2366" t="s">
        <v>47</v>
      </c>
      <c r="J2366" t="s">
        <v>23</v>
      </c>
    </row>
    <row r="2367" spans="1:10" x14ac:dyDescent="0.35">
      <c r="A2367" t="s">
        <v>2551</v>
      </c>
      <c r="B2367" s="10">
        <v>46085</v>
      </c>
      <c r="C2367" t="s">
        <v>411</v>
      </c>
      <c r="D2367" t="s">
        <v>29</v>
      </c>
      <c r="E2367" t="s">
        <v>151</v>
      </c>
      <c r="F2367" t="s">
        <v>14</v>
      </c>
      <c r="G2367">
        <v>28.56</v>
      </c>
      <c r="H2367" t="s">
        <v>15</v>
      </c>
      <c r="I2367" t="s">
        <v>36</v>
      </c>
      <c r="J2367" t="s">
        <v>151</v>
      </c>
    </row>
    <row r="2368" spans="1:10" x14ac:dyDescent="0.35">
      <c r="A2368" t="s">
        <v>2552</v>
      </c>
      <c r="B2368" s="10">
        <v>46085</v>
      </c>
      <c r="C2368" t="s">
        <v>229</v>
      </c>
      <c r="D2368" t="s">
        <v>54</v>
      </c>
      <c r="E2368" t="s">
        <v>64</v>
      </c>
      <c r="F2368" t="s">
        <v>54</v>
      </c>
      <c r="G2368">
        <v>386.88</v>
      </c>
      <c r="H2368" t="s">
        <v>98</v>
      </c>
      <c r="I2368" t="s">
        <v>47</v>
      </c>
      <c r="J2368" t="s">
        <v>56</v>
      </c>
    </row>
    <row r="2369" spans="1:10" x14ac:dyDescent="0.35">
      <c r="A2369" t="s">
        <v>2553</v>
      </c>
      <c r="B2369" s="10">
        <v>46085</v>
      </c>
      <c r="C2369" t="s">
        <v>25</v>
      </c>
      <c r="D2369" t="s">
        <v>12</v>
      </c>
      <c r="E2369" t="s">
        <v>26</v>
      </c>
      <c r="F2369" t="s">
        <v>14</v>
      </c>
      <c r="G2369">
        <v>34.32</v>
      </c>
      <c r="H2369" t="s">
        <v>15</v>
      </c>
      <c r="I2369" t="s">
        <v>47</v>
      </c>
      <c r="J2369" t="s">
        <v>17</v>
      </c>
    </row>
    <row r="2370" spans="1:10" x14ac:dyDescent="0.35">
      <c r="A2370" t="s">
        <v>2554</v>
      </c>
      <c r="B2370" s="10">
        <v>46086</v>
      </c>
      <c r="C2370" t="s">
        <v>25</v>
      </c>
      <c r="D2370" t="s">
        <v>12</v>
      </c>
      <c r="E2370" t="s">
        <v>26</v>
      </c>
      <c r="F2370" t="s">
        <v>14</v>
      </c>
      <c r="G2370">
        <v>51.81</v>
      </c>
      <c r="H2370" t="s">
        <v>15</v>
      </c>
      <c r="I2370" t="s">
        <v>22</v>
      </c>
      <c r="J2370" t="s">
        <v>17</v>
      </c>
    </row>
    <row r="2371" spans="1:10" x14ac:dyDescent="0.35">
      <c r="A2371" t="s">
        <v>2555</v>
      </c>
      <c r="B2371" s="10">
        <v>46086</v>
      </c>
      <c r="C2371" t="s">
        <v>189</v>
      </c>
      <c r="D2371" t="s">
        <v>34</v>
      </c>
      <c r="E2371" t="s">
        <v>122</v>
      </c>
      <c r="F2371" t="s">
        <v>14</v>
      </c>
      <c r="G2371">
        <v>120.79</v>
      </c>
      <c r="H2371" t="s">
        <v>15</v>
      </c>
      <c r="I2371" t="s">
        <v>36</v>
      </c>
      <c r="J2371" t="s">
        <v>37</v>
      </c>
    </row>
    <row r="2372" spans="1:10" x14ac:dyDescent="0.35">
      <c r="A2372" t="s">
        <v>2556</v>
      </c>
      <c r="B2372" s="10">
        <v>46086</v>
      </c>
      <c r="C2372" t="s">
        <v>232</v>
      </c>
      <c r="D2372" t="s">
        <v>69</v>
      </c>
      <c r="E2372" t="s">
        <v>233</v>
      </c>
      <c r="F2372" t="s">
        <v>14</v>
      </c>
      <c r="G2372">
        <v>561.69000000000005</v>
      </c>
      <c r="H2372" t="s">
        <v>98</v>
      </c>
      <c r="I2372" t="s">
        <v>36</v>
      </c>
      <c r="J2372" t="s">
        <v>71</v>
      </c>
    </row>
    <row r="2373" spans="1:10" x14ac:dyDescent="0.35">
      <c r="A2373" t="s">
        <v>2557</v>
      </c>
      <c r="B2373" s="10">
        <v>46086</v>
      </c>
      <c r="C2373" t="s">
        <v>109</v>
      </c>
      <c r="D2373" t="s">
        <v>34</v>
      </c>
      <c r="E2373" t="s">
        <v>35</v>
      </c>
      <c r="F2373" t="s">
        <v>14</v>
      </c>
      <c r="G2373">
        <v>247.22</v>
      </c>
      <c r="H2373" t="s">
        <v>15</v>
      </c>
      <c r="I2373" t="s">
        <v>22</v>
      </c>
      <c r="J2373" t="s">
        <v>41</v>
      </c>
    </row>
    <row r="2374" spans="1:10" x14ac:dyDescent="0.35">
      <c r="A2374" t="s">
        <v>2558</v>
      </c>
      <c r="B2374" s="10">
        <v>46086</v>
      </c>
      <c r="C2374" t="s">
        <v>251</v>
      </c>
      <c r="D2374" t="s">
        <v>29</v>
      </c>
      <c r="E2374" t="s">
        <v>151</v>
      </c>
      <c r="F2374" t="s">
        <v>14</v>
      </c>
      <c r="G2374">
        <v>30.73</v>
      </c>
      <c r="H2374" t="s">
        <v>98</v>
      </c>
      <c r="I2374" t="s">
        <v>22</v>
      </c>
      <c r="J2374" t="s">
        <v>31</v>
      </c>
    </row>
    <row r="2375" spans="1:10" x14ac:dyDescent="0.35">
      <c r="A2375" t="s">
        <v>2559</v>
      </c>
      <c r="B2375" s="10">
        <v>46087</v>
      </c>
      <c r="C2375" t="s">
        <v>109</v>
      </c>
      <c r="D2375" t="s">
        <v>34</v>
      </c>
      <c r="E2375" t="s">
        <v>35</v>
      </c>
      <c r="F2375" t="s">
        <v>14</v>
      </c>
      <c r="G2375">
        <v>34.53</v>
      </c>
      <c r="H2375" t="s">
        <v>15</v>
      </c>
      <c r="I2375" t="s">
        <v>36</v>
      </c>
      <c r="J2375" t="s">
        <v>41</v>
      </c>
    </row>
    <row r="2376" spans="1:10" x14ac:dyDescent="0.35">
      <c r="A2376" t="s">
        <v>2560</v>
      </c>
      <c r="B2376" s="10">
        <v>46087</v>
      </c>
      <c r="C2376" t="s">
        <v>43</v>
      </c>
      <c r="D2376" t="s">
        <v>12</v>
      </c>
      <c r="E2376" t="s">
        <v>26</v>
      </c>
      <c r="F2376" t="s">
        <v>14</v>
      </c>
      <c r="G2376">
        <v>21.41</v>
      </c>
      <c r="H2376" t="s">
        <v>21</v>
      </c>
      <c r="I2376" t="s">
        <v>47</v>
      </c>
      <c r="J2376" t="s">
        <v>44</v>
      </c>
    </row>
    <row r="2377" spans="1:10" x14ac:dyDescent="0.35">
      <c r="A2377" t="s">
        <v>2561</v>
      </c>
      <c r="B2377" s="10">
        <v>46087</v>
      </c>
      <c r="C2377" t="s">
        <v>39</v>
      </c>
      <c r="D2377" t="s">
        <v>34</v>
      </c>
      <c r="E2377" t="s">
        <v>40</v>
      </c>
      <c r="F2377" t="s">
        <v>14</v>
      </c>
      <c r="G2377">
        <v>142.16</v>
      </c>
      <c r="H2377" t="s">
        <v>15</v>
      </c>
      <c r="I2377" t="s">
        <v>47</v>
      </c>
      <c r="J2377" t="s">
        <v>41</v>
      </c>
    </row>
    <row r="2378" spans="1:10" x14ac:dyDescent="0.35">
      <c r="A2378" t="s">
        <v>2562</v>
      </c>
      <c r="B2378" s="10">
        <v>46087</v>
      </c>
      <c r="C2378" t="s">
        <v>220</v>
      </c>
      <c r="D2378" t="s">
        <v>59</v>
      </c>
      <c r="E2378" t="s">
        <v>199</v>
      </c>
      <c r="F2378" t="s">
        <v>14</v>
      </c>
      <c r="G2378">
        <v>533.13</v>
      </c>
      <c r="H2378" t="s">
        <v>15</v>
      </c>
      <c r="I2378" t="s">
        <v>47</v>
      </c>
      <c r="J2378" t="s">
        <v>211</v>
      </c>
    </row>
    <row r="2379" spans="1:10" x14ac:dyDescent="0.35">
      <c r="A2379" t="s">
        <v>2563</v>
      </c>
      <c r="B2379" s="10">
        <v>46088</v>
      </c>
      <c r="C2379" t="s">
        <v>415</v>
      </c>
      <c r="D2379" t="s">
        <v>12</v>
      </c>
      <c r="E2379" t="s">
        <v>51</v>
      </c>
      <c r="F2379" t="s">
        <v>14</v>
      </c>
      <c r="G2379">
        <v>89.97</v>
      </c>
      <c r="H2379" t="s">
        <v>15</v>
      </c>
      <c r="I2379" t="s">
        <v>36</v>
      </c>
      <c r="J2379" t="s">
        <v>77</v>
      </c>
    </row>
    <row r="2380" spans="1:10" x14ac:dyDescent="0.35">
      <c r="A2380" t="s">
        <v>2564</v>
      </c>
      <c r="B2380" s="10">
        <v>46088</v>
      </c>
      <c r="C2380" t="s">
        <v>130</v>
      </c>
      <c r="D2380" t="s">
        <v>12</v>
      </c>
      <c r="E2380" t="s">
        <v>26</v>
      </c>
      <c r="F2380" t="s">
        <v>14</v>
      </c>
      <c r="G2380">
        <v>68.92</v>
      </c>
      <c r="H2380" t="s">
        <v>15</v>
      </c>
      <c r="I2380" t="s">
        <v>36</v>
      </c>
      <c r="J2380" t="s">
        <v>48</v>
      </c>
    </row>
    <row r="2381" spans="1:10" x14ac:dyDescent="0.35">
      <c r="A2381" t="s">
        <v>2565</v>
      </c>
      <c r="B2381" s="10">
        <v>46089</v>
      </c>
      <c r="C2381" t="s">
        <v>395</v>
      </c>
      <c r="D2381" t="s">
        <v>69</v>
      </c>
      <c r="E2381" t="s">
        <v>291</v>
      </c>
      <c r="F2381" t="s">
        <v>14</v>
      </c>
      <c r="G2381">
        <v>675.2</v>
      </c>
      <c r="H2381" t="s">
        <v>15</v>
      </c>
      <c r="I2381" t="s">
        <v>22</v>
      </c>
      <c r="J2381" t="s">
        <v>396</v>
      </c>
    </row>
    <row r="2382" spans="1:10" x14ac:dyDescent="0.35">
      <c r="A2382" t="s">
        <v>2566</v>
      </c>
      <c r="B2382" s="10">
        <v>46089</v>
      </c>
      <c r="C2382" t="s">
        <v>157</v>
      </c>
      <c r="D2382" t="s">
        <v>29</v>
      </c>
      <c r="E2382" t="s">
        <v>95</v>
      </c>
      <c r="F2382" t="s">
        <v>14</v>
      </c>
      <c r="G2382">
        <v>77.53</v>
      </c>
      <c r="H2382" t="s">
        <v>21</v>
      </c>
      <c r="I2382" t="s">
        <v>22</v>
      </c>
      <c r="J2382" t="s">
        <v>158</v>
      </c>
    </row>
    <row r="2383" spans="1:10" x14ac:dyDescent="0.35">
      <c r="A2383" t="s">
        <v>2567</v>
      </c>
      <c r="B2383" s="10">
        <v>46089</v>
      </c>
      <c r="C2383" t="s">
        <v>298</v>
      </c>
      <c r="D2383" t="s">
        <v>59</v>
      </c>
      <c r="E2383" t="s">
        <v>185</v>
      </c>
      <c r="F2383" t="s">
        <v>14</v>
      </c>
      <c r="G2383">
        <v>521.64</v>
      </c>
      <c r="H2383" t="s">
        <v>15</v>
      </c>
      <c r="I2383" t="s">
        <v>36</v>
      </c>
      <c r="J2383" t="s">
        <v>170</v>
      </c>
    </row>
    <row r="2384" spans="1:10" x14ac:dyDescent="0.35">
      <c r="A2384" t="s">
        <v>2568</v>
      </c>
      <c r="B2384" s="10">
        <v>46090</v>
      </c>
      <c r="C2384" t="s">
        <v>50</v>
      </c>
      <c r="D2384" t="s">
        <v>12</v>
      </c>
      <c r="E2384" t="s">
        <v>51</v>
      </c>
      <c r="F2384" t="s">
        <v>14</v>
      </c>
      <c r="G2384">
        <v>55.63</v>
      </c>
      <c r="H2384" t="s">
        <v>15</v>
      </c>
      <c r="I2384" t="s">
        <v>36</v>
      </c>
      <c r="J2384" t="s">
        <v>44</v>
      </c>
    </row>
    <row r="2385" spans="1:10" x14ac:dyDescent="0.35">
      <c r="A2385" t="s">
        <v>2569</v>
      </c>
      <c r="B2385" s="10">
        <v>46090</v>
      </c>
      <c r="C2385" t="s">
        <v>155</v>
      </c>
      <c r="D2385" t="s">
        <v>12</v>
      </c>
      <c r="E2385" t="s">
        <v>51</v>
      </c>
      <c r="F2385" t="s">
        <v>14</v>
      </c>
      <c r="G2385">
        <v>81.91</v>
      </c>
      <c r="H2385" t="s">
        <v>21</v>
      </c>
      <c r="I2385" t="s">
        <v>36</v>
      </c>
      <c r="J2385" t="s">
        <v>48</v>
      </c>
    </row>
    <row r="2386" spans="1:10" x14ac:dyDescent="0.35">
      <c r="A2386" t="s">
        <v>2570</v>
      </c>
      <c r="B2386" s="10">
        <v>46090</v>
      </c>
      <c r="C2386" t="s">
        <v>243</v>
      </c>
      <c r="D2386" t="s">
        <v>101</v>
      </c>
      <c r="E2386" t="s">
        <v>244</v>
      </c>
      <c r="F2386" t="s">
        <v>14</v>
      </c>
      <c r="G2386">
        <v>42.25</v>
      </c>
      <c r="H2386" t="s">
        <v>21</v>
      </c>
      <c r="I2386" t="s">
        <v>22</v>
      </c>
      <c r="J2386" t="s">
        <v>102</v>
      </c>
    </row>
    <row r="2387" spans="1:10" x14ac:dyDescent="0.35">
      <c r="A2387" t="s">
        <v>2571</v>
      </c>
      <c r="B2387" s="10">
        <v>46090</v>
      </c>
      <c r="C2387" t="s">
        <v>155</v>
      </c>
      <c r="D2387" t="s">
        <v>12</v>
      </c>
      <c r="E2387" t="s">
        <v>51</v>
      </c>
      <c r="F2387" t="s">
        <v>14</v>
      </c>
      <c r="G2387">
        <v>20.92</v>
      </c>
      <c r="H2387" t="s">
        <v>15</v>
      </c>
      <c r="I2387" t="s">
        <v>36</v>
      </c>
      <c r="J2387" t="s">
        <v>48</v>
      </c>
    </row>
    <row r="2388" spans="1:10" x14ac:dyDescent="0.35">
      <c r="A2388" t="s">
        <v>2572</v>
      </c>
      <c r="B2388" s="10">
        <v>46091</v>
      </c>
      <c r="C2388" t="s">
        <v>73</v>
      </c>
      <c r="D2388" t="s">
        <v>54</v>
      </c>
      <c r="E2388" t="s">
        <v>74</v>
      </c>
      <c r="F2388" t="s">
        <v>54</v>
      </c>
      <c r="G2388">
        <v>2798.94</v>
      </c>
      <c r="H2388" t="s">
        <v>98</v>
      </c>
      <c r="I2388" t="s">
        <v>47</v>
      </c>
      <c r="J2388" t="s">
        <v>65</v>
      </c>
    </row>
    <row r="2389" spans="1:10" x14ac:dyDescent="0.35">
      <c r="A2389" t="s">
        <v>2573</v>
      </c>
      <c r="B2389" s="10">
        <v>46091</v>
      </c>
      <c r="C2389" t="s">
        <v>217</v>
      </c>
      <c r="D2389" t="s">
        <v>80</v>
      </c>
      <c r="E2389" t="s">
        <v>81</v>
      </c>
      <c r="F2389" t="s">
        <v>14</v>
      </c>
      <c r="G2389">
        <v>26.23</v>
      </c>
      <c r="H2389" t="s">
        <v>21</v>
      </c>
      <c r="I2389" t="s">
        <v>22</v>
      </c>
      <c r="J2389" t="s">
        <v>180</v>
      </c>
    </row>
    <row r="2390" spans="1:10" x14ac:dyDescent="0.35">
      <c r="A2390" t="s">
        <v>2574</v>
      </c>
      <c r="B2390" s="10">
        <v>46091</v>
      </c>
      <c r="C2390" t="s">
        <v>248</v>
      </c>
      <c r="D2390" t="s">
        <v>80</v>
      </c>
      <c r="E2390" t="s">
        <v>81</v>
      </c>
      <c r="F2390" t="s">
        <v>14</v>
      </c>
      <c r="G2390">
        <v>90.56</v>
      </c>
      <c r="H2390" t="s">
        <v>21</v>
      </c>
      <c r="I2390" t="s">
        <v>36</v>
      </c>
      <c r="J2390" t="s">
        <v>161</v>
      </c>
    </row>
    <row r="2391" spans="1:10" x14ac:dyDescent="0.35">
      <c r="A2391" t="s">
        <v>2575</v>
      </c>
      <c r="B2391" s="10">
        <v>46091</v>
      </c>
      <c r="C2391" t="s">
        <v>150</v>
      </c>
      <c r="D2391" t="s">
        <v>29</v>
      </c>
      <c r="E2391" t="s">
        <v>30</v>
      </c>
      <c r="F2391" t="s">
        <v>14</v>
      </c>
      <c r="G2391">
        <v>70.02</v>
      </c>
      <c r="H2391" t="s">
        <v>15</v>
      </c>
      <c r="I2391" t="s">
        <v>22</v>
      </c>
      <c r="J2391" t="s">
        <v>151</v>
      </c>
    </row>
    <row r="2392" spans="1:10" x14ac:dyDescent="0.35">
      <c r="A2392" t="s">
        <v>2576</v>
      </c>
      <c r="B2392" s="10">
        <v>46091</v>
      </c>
      <c r="C2392" t="s">
        <v>143</v>
      </c>
      <c r="D2392" t="s">
        <v>54</v>
      </c>
      <c r="E2392" t="s">
        <v>55</v>
      </c>
      <c r="F2392" t="s">
        <v>54</v>
      </c>
      <c r="G2392">
        <v>576.21</v>
      </c>
      <c r="H2392" t="s">
        <v>21</v>
      </c>
      <c r="I2392" t="s">
        <v>47</v>
      </c>
      <c r="J2392" t="s">
        <v>89</v>
      </c>
    </row>
    <row r="2393" spans="1:10" x14ac:dyDescent="0.35">
      <c r="A2393" t="s">
        <v>2577</v>
      </c>
      <c r="B2393" s="10">
        <v>46091</v>
      </c>
      <c r="C2393" t="s">
        <v>229</v>
      </c>
      <c r="D2393" t="s">
        <v>54</v>
      </c>
      <c r="E2393" t="s">
        <v>64</v>
      </c>
      <c r="F2393" t="s">
        <v>54</v>
      </c>
      <c r="G2393">
        <v>336.52</v>
      </c>
      <c r="H2393" t="s">
        <v>15</v>
      </c>
      <c r="I2393" t="s">
        <v>16</v>
      </c>
      <c r="J2393" t="s">
        <v>56</v>
      </c>
    </row>
    <row r="2394" spans="1:10" x14ac:dyDescent="0.35">
      <c r="A2394" t="s">
        <v>2578</v>
      </c>
      <c r="B2394" s="10">
        <v>46091</v>
      </c>
      <c r="C2394" t="s">
        <v>272</v>
      </c>
      <c r="D2394" t="s">
        <v>54</v>
      </c>
      <c r="E2394" t="s">
        <v>55</v>
      </c>
      <c r="F2394" t="s">
        <v>54</v>
      </c>
      <c r="G2394">
        <v>706.1</v>
      </c>
      <c r="H2394" t="s">
        <v>98</v>
      </c>
      <c r="I2394" t="s">
        <v>36</v>
      </c>
      <c r="J2394" t="s">
        <v>65</v>
      </c>
    </row>
    <row r="2395" spans="1:10" x14ac:dyDescent="0.35">
      <c r="A2395" t="s">
        <v>2579</v>
      </c>
      <c r="B2395" s="10">
        <v>46092</v>
      </c>
      <c r="C2395" t="s">
        <v>58</v>
      </c>
      <c r="D2395" t="s">
        <v>59</v>
      </c>
      <c r="E2395" t="s">
        <v>60</v>
      </c>
      <c r="F2395" t="s">
        <v>14</v>
      </c>
      <c r="G2395">
        <v>278.44</v>
      </c>
      <c r="H2395" t="s">
        <v>15</v>
      </c>
      <c r="I2395" t="s">
        <v>22</v>
      </c>
      <c r="J2395" t="s">
        <v>61</v>
      </c>
    </row>
    <row r="2396" spans="1:10" x14ac:dyDescent="0.35">
      <c r="A2396" t="s">
        <v>2580</v>
      </c>
      <c r="B2396" s="10">
        <v>46092</v>
      </c>
      <c r="C2396" t="s">
        <v>272</v>
      </c>
      <c r="D2396" t="s">
        <v>54</v>
      </c>
      <c r="E2396" t="s">
        <v>55</v>
      </c>
      <c r="F2396" t="s">
        <v>54</v>
      </c>
      <c r="G2396">
        <v>635.88</v>
      </c>
      <c r="H2396" t="s">
        <v>21</v>
      </c>
      <c r="I2396" t="s">
        <v>22</v>
      </c>
      <c r="J2396" t="s">
        <v>65</v>
      </c>
    </row>
    <row r="2397" spans="1:10" x14ac:dyDescent="0.35">
      <c r="A2397" t="s">
        <v>2581</v>
      </c>
      <c r="B2397" s="10">
        <v>46092</v>
      </c>
      <c r="C2397" t="s">
        <v>269</v>
      </c>
      <c r="D2397" t="s">
        <v>34</v>
      </c>
      <c r="E2397" t="s">
        <v>35</v>
      </c>
      <c r="F2397" t="s">
        <v>14</v>
      </c>
      <c r="G2397">
        <v>95.38</v>
      </c>
      <c r="H2397" t="s">
        <v>21</v>
      </c>
      <c r="I2397" t="s">
        <v>16</v>
      </c>
      <c r="J2397" t="s">
        <v>123</v>
      </c>
    </row>
    <row r="2398" spans="1:10" x14ac:dyDescent="0.35">
      <c r="A2398" t="s">
        <v>2582</v>
      </c>
      <c r="B2398" s="10">
        <v>46092</v>
      </c>
      <c r="C2398" t="s">
        <v>33</v>
      </c>
      <c r="D2398" t="s">
        <v>34</v>
      </c>
      <c r="E2398" t="s">
        <v>35</v>
      </c>
      <c r="F2398" t="s">
        <v>14</v>
      </c>
      <c r="G2398">
        <v>104.2</v>
      </c>
      <c r="H2398" t="s">
        <v>21</v>
      </c>
      <c r="I2398" t="s">
        <v>47</v>
      </c>
      <c r="J2398" t="s">
        <v>37</v>
      </c>
    </row>
    <row r="2399" spans="1:10" x14ac:dyDescent="0.35">
      <c r="A2399" t="s">
        <v>2583</v>
      </c>
      <c r="B2399" s="10">
        <v>46093</v>
      </c>
      <c r="C2399" t="s">
        <v>308</v>
      </c>
      <c r="D2399" t="s">
        <v>54</v>
      </c>
      <c r="E2399" t="s">
        <v>64</v>
      </c>
      <c r="F2399" t="s">
        <v>54</v>
      </c>
      <c r="G2399">
        <v>374.76</v>
      </c>
      <c r="H2399" t="s">
        <v>15</v>
      </c>
      <c r="I2399" t="s">
        <v>36</v>
      </c>
      <c r="J2399" t="s">
        <v>89</v>
      </c>
    </row>
    <row r="2400" spans="1:10" x14ac:dyDescent="0.35">
      <c r="A2400" t="s">
        <v>2584</v>
      </c>
      <c r="B2400" s="10">
        <v>46093</v>
      </c>
      <c r="C2400" t="s">
        <v>132</v>
      </c>
      <c r="D2400" t="s">
        <v>69</v>
      </c>
      <c r="E2400" t="s">
        <v>70</v>
      </c>
      <c r="F2400" t="s">
        <v>14</v>
      </c>
      <c r="G2400">
        <v>883.35</v>
      </c>
      <c r="H2400" t="s">
        <v>15</v>
      </c>
      <c r="I2400" t="s">
        <v>22</v>
      </c>
      <c r="J2400" t="s">
        <v>133</v>
      </c>
    </row>
    <row r="2401" spans="1:10" x14ac:dyDescent="0.35">
      <c r="A2401" t="s">
        <v>2585</v>
      </c>
      <c r="B2401" s="10">
        <v>46093</v>
      </c>
      <c r="C2401" t="s">
        <v>177</v>
      </c>
      <c r="D2401" t="s">
        <v>54</v>
      </c>
      <c r="E2401" t="s">
        <v>74</v>
      </c>
      <c r="F2401" t="s">
        <v>54</v>
      </c>
      <c r="G2401">
        <v>2581.91</v>
      </c>
      <c r="H2401" t="s">
        <v>15</v>
      </c>
      <c r="I2401" t="s">
        <v>84</v>
      </c>
      <c r="J2401" t="s">
        <v>56</v>
      </c>
    </row>
    <row r="2402" spans="1:10" x14ac:dyDescent="0.35">
      <c r="A2402" t="s">
        <v>2586</v>
      </c>
      <c r="B2402" s="10">
        <v>46093</v>
      </c>
      <c r="C2402" t="s">
        <v>177</v>
      </c>
      <c r="D2402" t="s">
        <v>54</v>
      </c>
      <c r="E2402" t="s">
        <v>74</v>
      </c>
      <c r="F2402" t="s">
        <v>54</v>
      </c>
      <c r="G2402">
        <v>2350.89</v>
      </c>
      <c r="H2402" t="s">
        <v>15</v>
      </c>
      <c r="I2402" t="s">
        <v>36</v>
      </c>
      <c r="J2402" t="s">
        <v>56</v>
      </c>
    </row>
    <row r="2403" spans="1:10" x14ac:dyDescent="0.35">
      <c r="A2403" t="s">
        <v>2587</v>
      </c>
      <c r="B2403" s="10">
        <v>46094</v>
      </c>
      <c r="C2403" t="s">
        <v>411</v>
      </c>
      <c r="D2403" t="s">
        <v>29</v>
      </c>
      <c r="E2403" t="s">
        <v>151</v>
      </c>
      <c r="F2403" t="s">
        <v>14</v>
      </c>
      <c r="G2403">
        <v>99.29</v>
      </c>
      <c r="H2403" t="s">
        <v>21</v>
      </c>
      <c r="I2403" t="s">
        <v>36</v>
      </c>
      <c r="J2403" t="s">
        <v>151</v>
      </c>
    </row>
    <row r="2404" spans="1:10" x14ac:dyDescent="0.35">
      <c r="A2404" t="s">
        <v>2588</v>
      </c>
      <c r="B2404" s="10">
        <v>46094</v>
      </c>
      <c r="C2404" t="s">
        <v>238</v>
      </c>
      <c r="D2404" t="s">
        <v>34</v>
      </c>
      <c r="E2404" t="s">
        <v>35</v>
      </c>
      <c r="F2404" t="s">
        <v>14</v>
      </c>
      <c r="G2404">
        <v>399.56</v>
      </c>
      <c r="H2404" t="s">
        <v>15</v>
      </c>
      <c r="I2404" t="s">
        <v>47</v>
      </c>
      <c r="J2404" t="s">
        <v>239</v>
      </c>
    </row>
    <row r="2405" spans="1:10" x14ac:dyDescent="0.35">
      <c r="A2405" t="s">
        <v>2589</v>
      </c>
      <c r="B2405" s="10">
        <v>46094</v>
      </c>
      <c r="C2405" t="s">
        <v>175</v>
      </c>
      <c r="D2405" t="s">
        <v>80</v>
      </c>
      <c r="E2405" t="s">
        <v>92</v>
      </c>
      <c r="F2405" t="s">
        <v>14</v>
      </c>
      <c r="G2405">
        <v>107.41</v>
      </c>
      <c r="H2405" t="s">
        <v>21</v>
      </c>
      <c r="I2405" t="s">
        <v>47</v>
      </c>
      <c r="J2405" t="s">
        <v>141</v>
      </c>
    </row>
    <row r="2406" spans="1:10" x14ac:dyDescent="0.35">
      <c r="A2406" t="s">
        <v>2590</v>
      </c>
      <c r="B2406" s="10">
        <v>46095</v>
      </c>
      <c r="C2406" t="s">
        <v>281</v>
      </c>
      <c r="D2406" t="s">
        <v>34</v>
      </c>
      <c r="E2406" t="s">
        <v>40</v>
      </c>
      <c r="F2406" t="s">
        <v>14</v>
      </c>
      <c r="G2406">
        <v>58.34</v>
      </c>
      <c r="H2406" t="s">
        <v>15</v>
      </c>
      <c r="I2406" t="s">
        <v>16</v>
      </c>
      <c r="J2406" t="s">
        <v>123</v>
      </c>
    </row>
    <row r="2407" spans="1:10" x14ac:dyDescent="0.35">
      <c r="A2407" t="s">
        <v>2591</v>
      </c>
      <c r="B2407" s="10">
        <v>46095</v>
      </c>
      <c r="C2407" t="s">
        <v>76</v>
      </c>
      <c r="D2407" t="s">
        <v>12</v>
      </c>
      <c r="E2407" t="s">
        <v>13</v>
      </c>
      <c r="F2407" t="s">
        <v>14</v>
      </c>
      <c r="G2407">
        <v>14.48</v>
      </c>
      <c r="H2407" t="s">
        <v>15</v>
      </c>
      <c r="I2407" t="s">
        <v>36</v>
      </c>
      <c r="J2407" t="s">
        <v>77</v>
      </c>
    </row>
    <row r="2408" spans="1:10" x14ac:dyDescent="0.35">
      <c r="A2408" t="s">
        <v>2592</v>
      </c>
      <c r="B2408" s="10">
        <v>46095</v>
      </c>
      <c r="C2408" t="s">
        <v>415</v>
      </c>
      <c r="D2408" t="s">
        <v>12</v>
      </c>
      <c r="E2408" t="s">
        <v>51</v>
      </c>
      <c r="F2408" t="s">
        <v>14</v>
      </c>
      <c r="G2408">
        <v>15.25</v>
      </c>
      <c r="H2408" t="s">
        <v>15</v>
      </c>
      <c r="I2408" t="s">
        <v>22</v>
      </c>
      <c r="J2408" t="s">
        <v>77</v>
      </c>
    </row>
    <row r="2409" spans="1:10" x14ac:dyDescent="0.35">
      <c r="A2409" t="s">
        <v>2593</v>
      </c>
      <c r="B2409" s="10">
        <v>46095</v>
      </c>
      <c r="C2409" t="s">
        <v>138</v>
      </c>
      <c r="D2409" t="s">
        <v>12</v>
      </c>
      <c r="E2409" t="s">
        <v>26</v>
      </c>
      <c r="F2409" t="s">
        <v>14</v>
      </c>
      <c r="G2409">
        <v>46.23</v>
      </c>
      <c r="H2409" t="s">
        <v>21</v>
      </c>
      <c r="I2409" t="s">
        <v>22</v>
      </c>
      <c r="J2409" t="s">
        <v>77</v>
      </c>
    </row>
    <row r="2410" spans="1:10" x14ac:dyDescent="0.35">
      <c r="A2410" t="s">
        <v>2594</v>
      </c>
      <c r="B2410" s="10">
        <v>46095</v>
      </c>
      <c r="C2410" t="s">
        <v>79</v>
      </c>
      <c r="D2410" t="s">
        <v>80</v>
      </c>
      <c r="E2410" t="s">
        <v>81</v>
      </c>
      <c r="F2410" t="s">
        <v>14</v>
      </c>
      <c r="G2410">
        <v>43.13</v>
      </c>
      <c r="H2410" t="s">
        <v>15</v>
      </c>
      <c r="I2410" t="s">
        <v>22</v>
      </c>
      <c r="J2410" t="s">
        <v>82</v>
      </c>
    </row>
    <row r="2411" spans="1:10" x14ac:dyDescent="0.35">
      <c r="A2411" t="s">
        <v>2595</v>
      </c>
      <c r="B2411" s="10">
        <v>46096</v>
      </c>
      <c r="C2411" t="s">
        <v>415</v>
      </c>
      <c r="D2411" t="s">
        <v>12</v>
      </c>
      <c r="E2411" t="s">
        <v>51</v>
      </c>
      <c r="F2411" t="s">
        <v>14</v>
      </c>
      <c r="G2411">
        <v>121.48</v>
      </c>
      <c r="H2411" t="s">
        <v>98</v>
      </c>
      <c r="I2411" t="s">
        <v>47</v>
      </c>
      <c r="J2411" t="s">
        <v>77</v>
      </c>
    </row>
    <row r="2412" spans="1:10" x14ac:dyDescent="0.35">
      <c r="A2412" t="s">
        <v>2596</v>
      </c>
      <c r="B2412" s="10">
        <v>46096</v>
      </c>
      <c r="C2412" t="s">
        <v>63</v>
      </c>
      <c r="D2412" t="s">
        <v>54</v>
      </c>
      <c r="E2412" t="s">
        <v>64</v>
      </c>
      <c r="F2412" t="s">
        <v>54</v>
      </c>
      <c r="G2412">
        <v>297.24</v>
      </c>
      <c r="H2412" t="s">
        <v>15</v>
      </c>
      <c r="I2412" t="s">
        <v>22</v>
      </c>
      <c r="J2412" t="s">
        <v>65</v>
      </c>
    </row>
    <row r="2413" spans="1:10" x14ac:dyDescent="0.35">
      <c r="A2413" t="s">
        <v>2597</v>
      </c>
      <c r="B2413" s="10">
        <v>46097</v>
      </c>
      <c r="C2413" t="s">
        <v>43</v>
      </c>
      <c r="D2413" t="s">
        <v>12</v>
      </c>
      <c r="E2413" t="s">
        <v>26</v>
      </c>
      <c r="F2413" t="s">
        <v>14</v>
      </c>
      <c r="G2413">
        <v>67.5</v>
      </c>
      <c r="H2413" t="s">
        <v>15</v>
      </c>
      <c r="I2413" t="s">
        <v>36</v>
      </c>
      <c r="J2413" t="s">
        <v>44</v>
      </c>
    </row>
    <row r="2414" spans="1:10" x14ac:dyDescent="0.35">
      <c r="A2414" t="s">
        <v>2598</v>
      </c>
      <c r="B2414" s="10">
        <v>46097</v>
      </c>
      <c r="C2414" t="s">
        <v>350</v>
      </c>
      <c r="D2414" t="s">
        <v>29</v>
      </c>
      <c r="E2414" t="s">
        <v>151</v>
      </c>
      <c r="F2414" t="s">
        <v>14</v>
      </c>
      <c r="G2414">
        <v>28.08</v>
      </c>
      <c r="H2414" t="s">
        <v>15</v>
      </c>
      <c r="I2414" t="s">
        <v>22</v>
      </c>
      <c r="J2414" t="s">
        <v>158</v>
      </c>
    </row>
    <row r="2415" spans="1:10" x14ac:dyDescent="0.35">
      <c r="A2415" t="s">
        <v>2599</v>
      </c>
      <c r="B2415" s="10">
        <v>46097</v>
      </c>
      <c r="C2415" t="s">
        <v>395</v>
      </c>
      <c r="D2415" t="s">
        <v>69</v>
      </c>
      <c r="E2415" t="s">
        <v>291</v>
      </c>
      <c r="F2415" t="s">
        <v>14</v>
      </c>
      <c r="G2415">
        <v>174.89</v>
      </c>
      <c r="H2415" t="s">
        <v>15</v>
      </c>
      <c r="I2415" t="s">
        <v>47</v>
      </c>
      <c r="J2415" t="s">
        <v>396</v>
      </c>
    </row>
    <row r="2416" spans="1:10" x14ac:dyDescent="0.35">
      <c r="A2416" t="s">
        <v>2600</v>
      </c>
      <c r="B2416" s="10">
        <v>46097</v>
      </c>
      <c r="C2416" t="s">
        <v>157</v>
      </c>
      <c r="D2416" t="s">
        <v>29</v>
      </c>
      <c r="E2416" t="s">
        <v>95</v>
      </c>
      <c r="F2416" t="s">
        <v>14</v>
      </c>
      <c r="G2416">
        <v>34.630000000000003</v>
      </c>
      <c r="H2416" t="s">
        <v>21</v>
      </c>
      <c r="I2416" t="s">
        <v>16</v>
      </c>
      <c r="J2416" t="s">
        <v>158</v>
      </c>
    </row>
    <row r="2417" spans="1:10" x14ac:dyDescent="0.35">
      <c r="A2417" t="s">
        <v>2601</v>
      </c>
      <c r="B2417" s="10">
        <v>46097</v>
      </c>
      <c r="C2417" t="s">
        <v>168</v>
      </c>
      <c r="D2417" t="s">
        <v>59</v>
      </c>
      <c r="E2417" t="s">
        <v>60</v>
      </c>
      <c r="F2417" t="s">
        <v>14</v>
      </c>
      <c r="G2417">
        <v>125.09</v>
      </c>
      <c r="H2417" t="s">
        <v>98</v>
      </c>
      <c r="I2417" t="s">
        <v>47</v>
      </c>
      <c r="J2417" t="s">
        <v>170</v>
      </c>
    </row>
    <row r="2418" spans="1:10" x14ac:dyDescent="0.35">
      <c r="A2418" t="s">
        <v>2602</v>
      </c>
      <c r="B2418" s="10">
        <v>46098</v>
      </c>
      <c r="C2418" t="s">
        <v>580</v>
      </c>
      <c r="D2418" t="s">
        <v>80</v>
      </c>
      <c r="E2418" t="s">
        <v>81</v>
      </c>
      <c r="F2418" t="s">
        <v>14</v>
      </c>
      <c r="G2418">
        <v>160.41999999999999</v>
      </c>
      <c r="H2418" t="s">
        <v>21</v>
      </c>
      <c r="I2418" t="s">
        <v>36</v>
      </c>
      <c r="J2418" t="s">
        <v>118</v>
      </c>
    </row>
    <row r="2419" spans="1:10" x14ac:dyDescent="0.35">
      <c r="A2419" t="s">
        <v>2603</v>
      </c>
      <c r="B2419" s="10">
        <v>46098</v>
      </c>
      <c r="C2419" t="s">
        <v>298</v>
      </c>
      <c r="D2419" t="s">
        <v>59</v>
      </c>
      <c r="E2419" t="s">
        <v>185</v>
      </c>
      <c r="F2419" t="s">
        <v>14</v>
      </c>
      <c r="G2419">
        <v>357.83</v>
      </c>
      <c r="H2419" t="s">
        <v>15</v>
      </c>
      <c r="I2419" t="s">
        <v>47</v>
      </c>
      <c r="J2419" t="s">
        <v>170</v>
      </c>
    </row>
    <row r="2420" spans="1:10" x14ac:dyDescent="0.35">
      <c r="A2420" t="s">
        <v>2604</v>
      </c>
      <c r="B2420" s="10">
        <v>46098</v>
      </c>
      <c r="C2420" t="s">
        <v>53</v>
      </c>
      <c r="D2420" t="s">
        <v>54</v>
      </c>
      <c r="E2420" t="s">
        <v>55</v>
      </c>
      <c r="F2420" t="s">
        <v>54</v>
      </c>
      <c r="G2420">
        <v>719.06</v>
      </c>
      <c r="H2420" t="s">
        <v>21</v>
      </c>
      <c r="I2420" t="s">
        <v>47</v>
      </c>
      <c r="J2420" t="s">
        <v>56</v>
      </c>
    </row>
    <row r="2421" spans="1:10" x14ac:dyDescent="0.35">
      <c r="A2421" t="s">
        <v>2605</v>
      </c>
      <c r="B2421" s="10">
        <v>46098</v>
      </c>
      <c r="C2421" t="s">
        <v>19</v>
      </c>
      <c r="D2421" t="s">
        <v>12</v>
      </c>
      <c r="E2421" t="s">
        <v>13</v>
      </c>
      <c r="F2421" t="s">
        <v>14</v>
      </c>
      <c r="G2421">
        <v>14.72</v>
      </c>
      <c r="H2421" t="s">
        <v>21</v>
      </c>
      <c r="I2421" t="s">
        <v>36</v>
      </c>
      <c r="J2421" t="s">
        <v>23</v>
      </c>
    </row>
    <row r="2422" spans="1:10" x14ac:dyDescent="0.35">
      <c r="A2422" t="s">
        <v>2606</v>
      </c>
      <c r="B2422" s="10">
        <v>46098</v>
      </c>
      <c r="C2422" t="s">
        <v>194</v>
      </c>
      <c r="D2422" t="s">
        <v>101</v>
      </c>
      <c r="E2422" t="s">
        <v>136</v>
      </c>
      <c r="F2422" t="s">
        <v>14</v>
      </c>
      <c r="G2422">
        <v>120.39</v>
      </c>
      <c r="H2422" t="s">
        <v>15</v>
      </c>
      <c r="I2422" t="s">
        <v>47</v>
      </c>
      <c r="J2422" t="s">
        <v>103</v>
      </c>
    </row>
    <row r="2423" spans="1:10" x14ac:dyDescent="0.35">
      <c r="A2423" t="s">
        <v>2607</v>
      </c>
      <c r="B2423" s="10">
        <v>46098</v>
      </c>
      <c r="C2423" t="s">
        <v>269</v>
      </c>
      <c r="D2423" t="s">
        <v>34</v>
      </c>
      <c r="E2423" t="s">
        <v>35</v>
      </c>
      <c r="F2423" t="s">
        <v>14</v>
      </c>
      <c r="G2423">
        <v>184.56</v>
      </c>
      <c r="H2423" t="s">
        <v>98</v>
      </c>
      <c r="I2423" t="s">
        <v>47</v>
      </c>
      <c r="J2423" t="s">
        <v>123</v>
      </c>
    </row>
    <row r="2424" spans="1:10" x14ac:dyDescent="0.35">
      <c r="A2424" t="s">
        <v>2608</v>
      </c>
      <c r="B2424" s="10">
        <v>46098</v>
      </c>
      <c r="C2424" t="s">
        <v>229</v>
      </c>
      <c r="D2424" t="s">
        <v>54</v>
      </c>
      <c r="E2424" t="s">
        <v>64</v>
      </c>
      <c r="F2424" t="s">
        <v>54</v>
      </c>
      <c r="G2424">
        <v>315.13</v>
      </c>
      <c r="H2424" t="s">
        <v>21</v>
      </c>
      <c r="I2424" t="s">
        <v>36</v>
      </c>
      <c r="J2424" t="s">
        <v>56</v>
      </c>
    </row>
    <row r="2425" spans="1:10" x14ac:dyDescent="0.35">
      <c r="A2425" t="s">
        <v>2609</v>
      </c>
      <c r="B2425" s="10">
        <v>46098</v>
      </c>
      <c r="C2425" t="s">
        <v>58</v>
      </c>
      <c r="D2425" t="s">
        <v>59</v>
      </c>
      <c r="E2425" t="s">
        <v>60</v>
      </c>
      <c r="F2425" t="s">
        <v>14</v>
      </c>
      <c r="G2425">
        <v>483.65</v>
      </c>
      <c r="H2425" t="s">
        <v>21</v>
      </c>
      <c r="I2425" t="s">
        <v>22</v>
      </c>
      <c r="J2425" t="s">
        <v>61</v>
      </c>
    </row>
    <row r="2426" spans="1:10" x14ac:dyDescent="0.35">
      <c r="A2426" t="s">
        <v>2610</v>
      </c>
      <c r="B2426" s="10">
        <v>46098</v>
      </c>
      <c r="C2426" t="s">
        <v>143</v>
      </c>
      <c r="D2426" t="s">
        <v>54</v>
      </c>
      <c r="E2426" t="s">
        <v>55</v>
      </c>
      <c r="F2426" t="s">
        <v>54</v>
      </c>
      <c r="G2426">
        <v>590.72</v>
      </c>
      <c r="H2426" t="s">
        <v>21</v>
      </c>
      <c r="I2426" t="s">
        <v>47</v>
      </c>
      <c r="J2426" t="s">
        <v>89</v>
      </c>
    </row>
    <row r="2427" spans="1:10" x14ac:dyDescent="0.35">
      <c r="A2427" t="s">
        <v>2611</v>
      </c>
      <c r="B2427" s="10">
        <v>46099</v>
      </c>
      <c r="C2427" t="s">
        <v>19</v>
      </c>
      <c r="D2427" t="s">
        <v>12</v>
      </c>
      <c r="E2427" t="s">
        <v>13</v>
      </c>
      <c r="F2427" t="s">
        <v>14</v>
      </c>
      <c r="G2427">
        <v>18.63</v>
      </c>
      <c r="H2427" t="s">
        <v>15</v>
      </c>
      <c r="I2427" t="s">
        <v>22</v>
      </c>
      <c r="J2427" t="s">
        <v>23</v>
      </c>
    </row>
    <row r="2428" spans="1:10" x14ac:dyDescent="0.35">
      <c r="A2428" t="s">
        <v>2612</v>
      </c>
      <c r="B2428" s="10">
        <v>46099</v>
      </c>
      <c r="C2428" t="s">
        <v>210</v>
      </c>
      <c r="D2428" t="s">
        <v>59</v>
      </c>
      <c r="E2428" t="s">
        <v>185</v>
      </c>
      <c r="F2428" t="s">
        <v>14</v>
      </c>
      <c r="G2428">
        <v>267.45</v>
      </c>
      <c r="H2428" t="s">
        <v>98</v>
      </c>
      <c r="I2428" t="s">
        <v>22</v>
      </c>
      <c r="J2428" t="s">
        <v>211</v>
      </c>
    </row>
    <row r="2429" spans="1:10" x14ac:dyDescent="0.35">
      <c r="A2429" t="s">
        <v>2613</v>
      </c>
      <c r="B2429" s="10">
        <v>46099</v>
      </c>
      <c r="C2429" t="s">
        <v>116</v>
      </c>
      <c r="D2429" t="s">
        <v>80</v>
      </c>
      <c r="E2429" t="s">
        <v>117</v>
      </c>
      <c r="F2429" t="s">
        <v>14</v>
      </c>
      <c r="G2429">
        <v>56.61</v>
      </c>
      <c r="H2429" t="s">
        <v>21</v>
      </c>
      <c r="I2429" t="s">
        <v>47</v>
      </c>
      <c r="J2429" t="s">
        <v>118</v>
      </c>
    </row>
    <row r="2430" spans="1:10" x14ac:dyDescent="0.35">
      <c r="A2430" t="s">
        <v>2614</v>
      </c>
      <c r="B2430" s="10">
        <v>46099</v>
      </c>
      <c r="C2430" t="s">
        <v>1491</v>
      </c>
      <c r="D2430" t="s">
        <v>69</v>
      </c>
      <c r="E2430" t="s">
        <v>233</v>
      </c>
      <c r="F2430" t="s">
        <v>14</v>
      </c>
      <c r="G2430">
        <v>296.07</v>
      </c>
      <c r="H2430" t="s">
        <v>21</v>
      </c>
      <c r="I2430" t="s">
        <v>36</v>
      </c>
      <c r="J2430" t="s">
        <v>396</v>
      </c>
    </row>
    <row r="2431" spans="1:10" x14ac:dyDescent="0.35">
      <c r="A2431" t="s">
        <v>2615</v>
      </c>
      <c r="B2431" s="10">
        <v>46100</v>
      </c>
      <c r="C2431" t="s">
        <v>88</v>
      </c>
      <c r="D2431" t="s">
        <v>54</v>
      </c>
      <c r="E2431" t="s">
        <v>74</v>
      </c>
      <c r="F2431" t="s">
        <v>54</v>
      </c>
      <c r="G2431">
        <v>2089.7800000000002</v>
      </c>
      <c r="H2431" t="s">
        <v>15</v>
      </c>
      <c r="I2431" t="s">
        <v>16</v>
      </c>
      <c r="J2431" t="s">
        <v>89</v>
      </c>
    </row>
    <row r="2432" spans="1:10" x14ac:dyDescent="0.35">
      <c r="A2432" t="s">
        <v>2616</v>
      </c>
      <c r="B2432" s="10">
        <v>46100</v>
      </c>
      <c r="C2432" t="s">
        <v>63</v>
      </c>
      <c r="D2432" t="s">
        <v>54</v>
      </c>
      <c r="E2432" t="s">
        <v>64</v>
      </c>
      <c r="F2432" t="s">
        <v>54</v>
      </c>
      <c r="G2432">
        <v>356.89</v>
      </c>
      <c r="H2432" t="s">
        <v>21</v>
      </c>
      <c r="I2432" t="s">
        <v>22</v>
      </c>
      <c r="J2432" t="s">
        <v>65</v>
      </c>
    </row>
    <row r="2433" spans="1:10" x14ac:dyDescent="0.35">
      <c r="A2433" t="s">
        <v>2617</v>
      </c>
      <c r="B2433" s="10">
        <v>46100</v>
      </c>
      <c r="C2433" t="s">
        <v>88</v>
      </c>
      <c r="D2433" t="s">
        <v>54</v>
      </c>
      <c r="E2433" t="s">
        <v>74</v>
      </c>
      <c r="F2433" t="s">
        <v>54</v>
      </c>
      <c r="G2433">
        <v>2186.8200000000002</v>
      </c>
      <c r="H2433" t="s">
        <v>15</v>
      </c>
      <c r="I2433" t="s">
        <v>22</v>
      </c>
      <c r="J2433" t="s">
        <v>89</v>
      </c>
    </row>
    <row r="2434" spans="1:10" x14ac:dyDescent="0.35">
      <c r="A2434" t="s">
        <v>2618</v>
      </c>
      <c r="B2434" s="10">
        <v>46100</v>
      </c>
      <c r="C2434" t="s">
        <v>210</v>
      </c>
      <c r="D2434" t="s">
        <v>59</v>
      </c>
      <c r="E2434" t="s">
        <v>185</v>
      </c>
      <c r="F2434" t="s">
        <v>14</v>
      </c>
      <c r="G2434">
        <v>206.43</v>
      </c>
      <c r="H2434" t="s">
        <v>15</v>
      </c>
      <c r="I2434" t="s">
        <v>36</v>
      </c>
      <c r="J2434" t="s">
        <v>211</v>
      </c>
    </row>
    <row r="2435" spans="1:10" x14ac:dyDescent="0.35">
      <c r="A2435" t="s">
        <v>2619</v>
      </c>
      <c r="B2435" s="10">
        <v>46100</v>
      </c>
      <c r="C2435" t="s">
        <v>73</v>
      </c>
      <c r="D2435" t="s">
        <v>54</v>
      </c>
      <c r="E2435" t="s">
        <v>74</v>
      </c>
      <c r="F2435" t="s">
        <v>54</v>
      </c>
      <c r="G2435">
        <v>2651.98</v>
      </c>
      <c r="H2435" t="s">
        <v>15</v>
      </c>
      <c r="I2435" t="s">
        <v>22</v>
      </c>
      <c r="J2435" t="s">
        <v>65</v>
      </c>
    </row>
    <row r="2436" spans="1:10" x14ac:dyDescent="0.35">
      <c r="A2436" t="s">
        <v>2620</v>
      </c>
      <c r="B2436" s="10">
        <v>46100</v>
      </c>
      <c r="C2436" t="s">
        <v>88</v>
      </c>
      <c r="D2436" t="s">
        <v>54</v>
      </c>
      <c r="E2436" t="s">
        <v>74</v>
      </c>
      <c r="F2436" t="s">
        <v>54</v>
      </c>
      <c r="G2436">
        <v>2511.79</v>
      </c>
      <c r="H2436" t="s">
        <v>15</v>
      </c>
      <c r="I2436" t="s">
        <v>47</v>
      </c>
      <c r="J2436" t="s">
        <v>89</v>
      </c>
    </row>
    <row r="2437" spans="1:10" x14ac:dyDescent="0.35">
      <c r="A2437" t="s">
        <v>2621</v>
      </c>
      <c r="B2437" s="10">
        <v>46100</v>
      </c>
      <c r="C2437" t="s">
        <v>163</v>
      </c>
      <c r="D2437" t="s">
        <v>80</v>
      </c>
      <c r="E2437" t="s">
        <v>92</v>
      </c>
      <c r="F2437" t="s">
        <v>14</v>
      </c>
      <c r="G2437">
        <v>90.78</v>
      </c>
      <c r="H2437" t="s">
        <v>98</v>
      </c>
      <c r="I2437" t="s">
        <v>22</v>
      </c>
      <c r="J2437" t="s">
        <v>118</v>
      </c>
    </row>
    <row r="2438" spans="1:10" x14ac:dyDescent="0.35">
      <c r="A2438" t="s">
        <v>2622</v>
      </c>
      <c r="B2438" s="10">
        <v>46100</v>
      </c>
      <c r="C2438" t="s">
        <v>172</v>
      </c>
      <c r="D2438" t="s">
        <v>101</v>
      </c>
      <c r="E2438" t="s">
        <v>102</v>
      </c>
      <c r="F2438" t="s">
        <v>14</v>
      </c>
      <c r="G2438">
        <v>38.85</v>
      </c>
      <c r="H2438" t="s">
        <v>15</v>
      </c>
      <c r="I2438" t="s">
        <v>36</v>
      </c>
      <c r="J2438" t="s">
        <v>102</v>
      </c>
    </row>
    <row r="2439" spans="1:10" x14ac:dyDescent="0.35">
      <c r="A2439" t="s">
        <v>2623</v>
      </c>
      <c r="B2439" s="10">
        <v>46101</v>
      </c>
      <c r="C2439" t="s">
        <v>290</v>
      </c>
      <c r="D2439" t="s">
        <v>69</v>
      </c>
      <c r="E2439" t="s">
        <v>291</v>
      </c>
      <c r="F2439" t="s">
        <v>14</v>
      </c>
      <c r="G2439">
        <v>507.5</v>
      </c>
      <c r="H2439" t="s">
        <v>15</v>
      </c>
      <c r="I2439" t="s">
        <v>16</v>
      </c>
      <c r="J2439" t="s">
        <v>292</v>
      </c>
    </row>
    <row r="2440" spans="1:10" x14ac:dyDescent="0.35">
      <c r="A2440" t="s">
        <v>2624</v>
      </c>
      <c r="B2440" s="10">
        <v>46101</v>
      </c>
      <c r="C2440" t="s">
        <v>220</v>
      </c>
      <c r="D2440" t="s">
        <v>59</v>
      </c>
      <c r="E2440" t="s">
        <v>199</v>
      </c>
      <c r="F2440" t="s">
        <v>14</v>
      </c>
      <c r="G2440">
        <v>98.28</v>
      </c>
      <c r="H2440" t="s">
        <v>15</v>
      </c>
      <c r="I2440" t="s">
        <v>22</v>
      </c>
      <c r="J2440" t="s">
        <v>211</v>
      </c>
    </row>
    <row r="2441" spans="1:10" x14ac:dyDescent="0.35">
      <c r="A2441" t="s">
        <v>2625</v>
      </c>
      <c r="B2441" s="10">
        <v>46101</v>
      </c>
      <c r="C2441" t="s">
        <v>272</v>
      </c>
      <c r="D2441" t="s">
        <v>54</v>
      </c>
      <c r="E2441" t="s">
        <v>55</v>
      </c>
      <c r="F2441" t="s">
        <v>54</v>
      </c>
      <c r="G2441">
        <v>564.73</v>
      </c>
      <c r="H2441" t="s">
        <v>21</v>
      </c>
      <c r="I2441" t="s">
        <v>22</v>
      </c>
      <c r="J2441" t="s">
        <v>65</v>
      </c>
    </row>
    <row r="2442" spans="1:10" x14ac:dyDescent="0.35">
      <c r="A2442" t="s">
        <v>2626</v>
      </c>
      <c r="B2442" s="10">
        <v>46101</v>
      </c>
      <c r="C2442" t="s">
        <v>331</v>
      </c>
      <c r="D2442" t="s">
        <v>29</v>
      </c>
      <c r="E2442" t="s">
        <v>95</v>
      </c>
      <c r="F2442" t="s">
        <v>14</v>
      </c>
      <c r="G2442">
        <v>102.21</v>
      </c>
      <c r="H2442" t="s">
        <v>15</v>
      </c>
      <c r="I2442" t="s">
        <v>22</v>
      </c>
      <c r="J2442" t="s">
        <v>151</v>
      </c>
    </row>
    <row r="2443" spans="1:10" x14ac:dyDescent="0.35">
      <c r="A2443" t="s">
        <v>2627</v>
      </c>
      <c r="B2443" s="10">
        <v>46102</v>
      </c>
      <c r="C2443" t="s">
        <v>229</v>
      </c>
      <c r="D2443" t="s">
        <v>54</v>
      </c>
      <c r="E2443" t="s">
        <v>64</v>
      </c>
      <c r="F2443" t="s">
        <v>54</v>
      </c>
      <c r="G2443">
        <v>319.19</v>
      </c>
      <c r="H2443" t="s">
        <v>98</v>
      </c>
      <c r="I2443" t="s">
        <v>36</v>
      </c>
      <c r="J2443" t="s">
        <v>56</v>
      </c>
    </row>
    <row r="2444" spans="1:10" x14ac:dyDescent="0.35">
      <c r="A2444" t="s">
        <v>2628</v>
      </c>
      <c r="B2444" s="10">
        <v>46103</v>
      </c>
      <c r="C2444" t="s">
        <v>109</v>
      </c>
      <c r="D2444" t="s">
        <v>34</v>
      </c>
      <c r="E2444" t="s">
        <v>35</v>
      </c>
      <c r="F2444" t="s">
        <v>14</v>
      </c>
      <c r="G2444">
        <v>116.12</v>
      </c>
      <c r="H2444" t="s">
        <v>15</v>
      </c>
      <c r="I2444" t="s">
        <v>47</v>
      </c>
      <c r="J2444" t="s">
        <v>41</v>
      </c>
    </row>
    <row r="2445" spans="1:10" x14ac:dyDescent="0.35">
      <c r="A2445" t="s">
        <v>2629</v>
      </c>
      <c r="B2445" s="10">
        <v>46103</v>
      </c>
      <c r="C2445" t="s">
        <v>39</v>
      </c>
      <c r="D2445" t="s">
        <v>34</v>
      </c>
      <c r="E2445" t="s">
        <v>40</v>
      </c>
      <c r="F2445" t="s">
        <v>14</v>
      </c>
      <c r="G2445">
        <v>260.12</v>
      </c>
      <c r="H2445" t="s">
        <v>15</v>
      </c>
      <c r="I2445" t="s">
        <v>36</v>
      </c>
      <c r="J2445" t="s">
        <v>41</v>
      </c>
    </row>
    <row r="2446" spans="1:10" x14ac:dyDescent="0.35">
      <c r="A2446" t="s">
        <v>2630</v>
      </c>
      <c r="B2446" s="10">
        <v>46103</v>
      </c>
      <c r="C2446" t="s">
        <v>58</v>
      </c>
      <c r="D2446" t="s">
        <v>59</v>
      </c>
      <c r="E2446" t="s">
        <v>60</v>
      </c>
      <c r="F2446" t="s">
        <v>14</v>
      </c>
      <c r="G2446">
        <v>105.04</v>
      </c>
      <c r="H2446" t="s">
        <v>21</v>
      </c>
      <c r="I2446" t="s">
        <v>22</v>
      </c>
      <c r="J2446" t="s">
        <v>61</v>
      </c>
    </row>
    <row r="2447" spans="1:10" x14ac:dyDescent="0.35">
      <c r="A2447" t="s">
        <v>2631</v>
      </c>
      <c r="B2447" s="10">
        <v>46103</v>
      </c>
      <c r="C2447" t="s">
        <v>46</v>
      </c>
      <c r="D2447" t="s">
        <v>12</v>
      </c>
      <c r="E2447" t="s">
        <v>13</v>
      </c>
      <c r="F2447" t="s">
        <v>14</v>
      </c>
      <c r="G2447">
        <v>30.67</v>
      </c>
      <c r="H2447" t="s">
        <v>21</v>
      </c>
      <c r="I2447" t="s">
        <v>36</v>
      </c>
      <c r="J2447" t="s">
        <v>48</v>
      </c>
    </row>
    <row r="2448" spans="1:10" x14ac:dyDescent="0.35">
      <c r="A2448" t="s">
        <v>2632</v>
      </c>
      <c r="B2448" s="10">
        <v>46103</v>
      </c>
      <c r="C2448" t="s">
        <v>79</v>
      </c>
      <c r="D2448" t="s">
        <v>80</v>
      </c>
      <c r="E2448" t="s">
        <v>81</v>
      </c>
      <c r="F2448" t="s">
        <v>14</v>
      </c>
      <c r="G2448">
        <v>124.65</v>
      </c>
      <c r="H2448" t="s">
        <v>21</v>
      </c>
      <c r="I2448" t="s">
        <v>36</v>
      </c>
      <c r="J2448" t="s">
        <v>82</v>
      </c>
    </row>
    <row r="2449" spans="1:10" x14ac:dyDescent="0.35">
      <c r="A2449" t="s">
        <v>2633</v>
      </c>
      <c r="B2449" s="10">
        <v>46103</v>
      </c>
      <c r="C2449" t="s">
        <v>238</v>
      </c>
      <c r="D2449" t="s">
        <v>34</v>
      </c>
      <c r="E2449" t="s">
        <v>35</v>
      </c>
      <c r="F2449" t="s">
        <v>14</v>
      </c>
      <c r="G2449">
        <v>365.22</v>
      </c>
      <c r="H2449" t="s">
        <v>15</v>
      </c>
      <c r="I2449" t="s">
        <v>22</v>
      </c>
      <c r="J2449" t="s">
        <v>239</v>
      </c>
    </row>
    <row r="2450" spans="1:10" x14ac:dyDescent="0.35">
      <c r="A2450" t="s">
        <v>2634</v>
      </c>
      <c r="B2450" s="10">
        <v>46103</v>
      </c>
      <c r="C2450" t="s">
        <v>46</v>
      </c>
      <c r="D2450" t="s">
        <v>12</v>
      </c>
      <c r="E2450" t="s">
        <v>13</v>
      </c>
      <c r="F2450" t="s">
        <v>14</v>
      </c>
      <c r="G2450">
        <v>46.84</v>
      </c>
      <c r="H2450" t="s">
        <v>15</v>
      </c>
      <c r="I2450" t="s">
        <v>47</v>
      </c>
      <c r="J2450" t="s">
        <v>48</v>
      </c>
    </row>
    <row r="2451" spans="1:10" x14ac:dyDescent="0.35">
      <c r="A2451" t="s">
        <v>2635</v>
      </c>
      <c r="B2451" s="10">
        <v>46104</v>
      </c>
      <c r="C2451" t="s">
        <v>229</v>
      </c>
      <c r="D2451" t="s">
        <v>54</v>
      </c>
      <c r="E2451" t="s">
        <v>64</v>
      </c>
      <c r="F2451" t="s">
        <v>54</v>
      </c>
      <c r="G2451">
        <v>383.37</v>
      </c>
      <c r="H2451" t="s">
        <v>15</v>
      </c>
      <c r="I2451" t="s">
        <v>84</v>
      </c>
      <c r="J2451" t="s">
        <v>56</v>
      </c>
    </row>
    <row r="2452" spans="1:10" x14ac:dyDescent="0.35">
      <c r="A2452" t="s">
        <v>2636</v>
      </c>
      <c r="B2452" s="10">
        <v>46104</v>
      </c>
      <c r="C2452" t="s">
        <v>79</v>
      </c>
      <c r="D2452" t="s">
        <v>80</v>
      </c>
      <c r="E2452" t="s">
        <v>81</v>
      </c>
      <c r="F2452" t="s">
        <v>14</v>
      </c>
      <c r="G2452">
        <v>183.52</v>
      </c>
      <c r="H2452" t="s">
        <v>15</v>
      </c>
      <c r="I2452" t="s">
        <v>16</v>
      </c>
      <c r="J2452" t="s">
        <v>82</v>
      </c>
    </row>
    <row r="2453" spans="1:10" x14ac:dyDescent="0.35">
      <c r="A2453" t="s">
        <v>2637</v>
      </c>
      <c r="B2453" s="10">
        <v>46104</v>
      </c>
      <c r="C2453" t="s">
        <v>269</v>
      </c>
      <c r="D2453" t="s">
        <v>34</v>
      </c>
      <c r="E2453" t="s">
        <v>35</v>
      </c>
      <c r="F2453" t="s">
        <v>14</v>
      </c>
      <c r="G2453">
        <v>110.86</v>
      </c>
      <c r="H2453" t="s">
        <v>21</v>
      </c>
      <c r="I2453" t="s">
        <v>36</v>
      </c>
      <c r="J2453" t="s">
        <v>123</v>
      </c>
    </row>
    <row r="2454" spans="1:10" x14ac:dyDescent="0.35">
      <c r="A2454" t="s">
        <v>2638</v>
      </c>
      <c r="B2454" s="10">
        <v>46104</v>
      </c>
      <c r="C2454" t="s">
        <v>217</v>
      </c>
      <c r="D2454" t="s">
        <v>80</v>
      </c>
      <c r="E2454" t="s">
        <v>81</v>
      </c>
      <c r="F2454" t="s">
        <v>14</v>
      </c>
      <c r="G2454">
        <v>15.28</v>
      </c>
      <c r="H2454" t="s">
        <v>15</v>
      </c>
      <c r="I2454" t="s">
        <v>47</v>
      </c>
      <c r="J2454" t="s">
        <v>180</v>
      </c>
    </row>
    <row r="2455" spans="1:10" x14ac:dyDescent="0.35">
      <c r="A2455" t="s">
        <v>2639</v>
      </c>
      <c r="B2455" s="10">
        <v>46104</v>
      </c>
      <c r="C2455" t="s">
        <v>259</v>
      </c>
      <c r="D2455" t="s">
        <v>59</v>
      </c>
      <c r="E2455" t="s">
        <v>199</v>
      </c>
      <c r="F2455" t="s">
        <v>14</v>
      </c>
      <c r="G2455">
        <v>463.8</v>
      </c>
      <c r="H2455" t="s">
        <v>15</v>
      </c>
      <c r="I2455" t="s">
        <v>36</v>
      </c>
      <c r="J2455" t="s">
        <v>170</v>
      </c>
    </row>
    <row r="2456" spans="1:10" x14ac:dyDescent="0.35">
      <c r="A2456" t="s">
        <v>2640</v>
      </c>
      <c r="B2456" s="10">
        <v>46104</v>
      </c>
      <c r="C2456" t="s">
        <v>28</v>
      </c>
      <c r="D2456" t="s">
        <v>29</v>
      </c>
      <c r="E2456" t="s">
        <v>30</v>
      </c>
      <c r="F2456" t="s">
        <v>14</v>
      </c>
      <c r="G2456">
        <v>19.77</v>
      </c>
      <c r="H2456" t="s">
        <v>15</v>
      </c>
      <c r="I2456" t="s">
        <v>36</v>
      </c>
      <c r="J2456" t="s">
        <v>31</v>
      </c>
    </row>
    <row r="2457" spans="1:10" x14ac:dyDescent="0.35">
      <c r="A2457" t="s">
        <v>2641</v>
      </c>
      <c r="B2457" s="10">
        <v>46104</v>
      </c>
      <c r="C2457" t="s">
        <v>135</v>
      </c>
      <c r="D2457" t="s">
        <v>101</v>
      </c>
      <c r="E2457" t="s">
        <v>102</v>
      </c>
      <c r="F2457" t="s">
        <v>14</v>
      </c>
      <c r="G2457">
        <v>72.819999999999993</v>
      </c>
      <c r="H2457" t="s">
        <v>15</v>
      </c>
      <c r="I2457" t="s">
        <v>22</v>
      </c>
      <c r="J2457" t="s">
        <v>136</v>
      </c>
    </row>
    <row r="2458" spans="1:10" x14ac:dyDescent="0.35">
      <c r="A2458" t="s">
        <v>2642</v>
      </c>
      <c r="B2458" s="10">
        <v>46104</v>
      </c>
      <c r="C2458" t="s">
        <v>53</v>
      </c>
      <c r="D2458" t="s">
        <v>54</v>
      </c>
      <c r="E2458" t="s">
        <v>55</v>
      </c>
      <c r="F2458" t="s">
        <v>54</v>
      </c>
      <c r="G2458">
        <v>742.58</v>
      </c>
      <c r="H2458" t="s">
        <v>15</v>
      </c>
      <c r="I2458" t="s">
        <v>47</v>
      </c>
      <c r="J2458" t="s">
        <v>56</v>
      </c>
    </row>
    <row r="2459" spans="1:10" x14ac:dyDescent="0.35">
      <c r="A2459" t="s">
        <v>2643</v>
      </c>
      <c r="B2459" s="10">
        <v>46105</v>
      </c>
      <c r="C2459" t="s">
        <v>11</v>
      </c>
      <c r="D2459" t="s">
        <v>12</v>
      </c>
      <c r="E2459" t="s">
        <v>13</v>
      </c>
      <c r="F2459" t="s">
        <v>14</v>
      </c>
      <c r="G2459">
        <v>180</v>
      </c>
      <c r="H2459" t="s">
        <v>21</v>
      </c>
      <c r="I2459" t="s">
        <v>36</v>
      </c>
      <c r="J2459" t="s">
        <v>17</v>
      </c>
    </row>
    <row r="2460" spans="1:10" x14ac:dyDescent="0.35">
      <c r="A2460" t="s">
        <v>2644</v>
      </c>
      <c r="B2460" s="10">
        <v>46105</v>
      </c>
      <c r="C2460" t="s">
        <v>53</v>
      </c>
      <c r="D2460" t="s">
        <v>54</v>
      </c>
      <c r="E2460" t="s">
        <v>55</v>
      </c>
      <c r="F2460" t="s">
        <v>54</v>
      </c>
      <c r="G2460">
        <v>746.06</v>
      </c>
      <c r="H2460" t="s">
        <v>15</v>
      </c>
      <c r="I2460" t="s">
        <v>22</v>
      </c>
      <c r="J2460" t="s">
        <v>56</v>
      </c>
    </row>
    <row r="2461" spans="1:10" x14ac:dyDescent="0.35">
      <c r="A2461" t="s">
        <v>2645</v>
      </c>
      <c r="B2461" s="10">
        <v>46105</v>
      </c>
      <c r="C2461" t="s">
        <v>155</v>
      </c>
      <c r="D2461" t="s">
        <v>12</v>
      </c>
      <c r="E2461" t="s">
        <v>51</v>
      </c>
      <c r="F2461" t="s">
        <v>14</v>
      </c>
      <c r="G2461">
        <v>28.64</v>
      </c>
      <c r="H2461" t="s">
        <v>15</v>
      </c>
      <c r="I2461" t="s">
        <v>47</v>
      </c>
      <c r="J2461" t="s">
        <v>48</v>
      </c>
    </row>
    <row r="2462" spans="1:10" x14ac:dyDescent="0.35">
      <c r="A2462" t="s">
        <v>2646</v>
      </c>
      <c r="B2462" s="10">
        <v>46105</v>
      </c>
      <c r="C2462" t="s">
        <v>143</v>
      </c>
      <c r="D2462" t="s">
        <v>54</v>
      </c>
      <c r="E2462" t="s">
        <v>55</v>
      </c>
      <c r="F2462" t="s">
        <v>54</v>
      </c>
      <c r="G2462">
        <v>765.71</v>
      </c>
      <c r="H2462" t="s">
        <v>15</v>
      </c>
      <c r="I2462" t="s">
        <v>47</v>
      </c>
      <c r="J2462" t="s">
        <v>89</v>
      </c>
    </row>
    <row r="2463" spans="1:10" x14ac:dyDescent="0.35">
      <c r="A2463" t="s">
        <v>2647</v>
      </c>
      <c r="B2463" s="10">
        <v>46105</v>
      </c>
      <c r="C2463" t="s">
        <v>272</v>
      </c>
      <c r="D2463" t="s">
        <v>54</v>
      </c>
      <c r="E2463" t="s">
        <v>55</v>
      </c>
      <c r="F2463" t="s">
        <v>54</v>
      </c>
      <c r="G2463">
        <v>605.54999999999995</v>
      </c>
      <c r="H2463" t="s">
        <v>15</v>
      </c>
      <c r="I2463" t="s">
        <v>47</v>
      </c>
      <c r="J2463" t="s">
        <v>65</v>
      </c>
    </row>
    <row r="2464" spans="1:10" x14ac:dyDescent="0.35">
      <c r="A2464" t="s">
        <v>2648</v>
      </c>
      <c r="B2464" s="10">
        <v>46106</v>
      </c>
      <c r="C2464" t="s">
        <v>220</v>
      </c>
      <c r="D2464" t="s">
        <v>59</v>
      </c>
      <c r="E2464" t="s">
        <v>199</v>
      </c>
      <c r="F2464" t="s">
        <v>14</v>
      </c>
      <c r="G2464">
        <v>150.77000000000001</v>
      </c>
      <c r="H2464" t="s">
        <v>15</v>
      </c>
      <c r="I2464" t="s">
        <v>22</v>
      </c>
      <c r="J2464" t="s">
        <v>211</v>
      </c>
    </row>
    <row r="2465" spans="1:10" x14ac:dyDescent="0.35">
      <c r="A2465" t="s">
        <v>2649</v>
      </c>
      <c r="B2465" s="10">
        <v>46106</v>
      </c>
      <c r="C2465" t="s">
        <v>116</v>
      </c>
      <c r="D2465" t="s">
        <v>80</v>
      </c>
      <c r="E2465" t="s">
        <v>117</v>
      </c>
      <c r="F2465" t="s">
        <v>14</v>
      </c>
      <c r="G2465">
        <v>54.96</v>
      </c>
      <c r="H2465" t="s">
        <v>15</v>
      </c>
      <c r="I2465" t="s">
        <v>47</v>
      </c>
      <c r="J2465" t="s">
        <v>118</v>
      </c>
    </row>
    <row r="2466" spans="1:10" x14ac:dyDescent="0.35">
      <c r="A2466" t="s">
        <v>2650</v>
      </c>
      <c r="B2466" s="10">
        <v>46106</v>
      </c>
      <c r="C2466" t="s">
        <v>63</v>
      </c>
      <c r="D2466" t="s">
        <v>54</v>
      </c>
      <c r="E2466" t="s">
        <v>64</v>
      </c>
      <c r="F2466" t="s">
        <v>54</v>
      </c>
      <c r="G2466">
        <v>359.37</v>
      </c>
      <c r="H2466" t="s">
        <v>98</v>
      </c>
      <c r="I2466" t="s">
        <v>22</v>
      </c>
      <c r="J2466" t="s">
        <v>65</v>
      </c>
    </row>
    <row r="2467" spans="1:10" x14ac:dyDescent="0.35">
      <c r="A2467" t="s">
        <v>2651</v>
      </c>
      <c r="B2467" s="10">
        <v>46106</v>
      </c>
      <c r="C2467" t="s">
        <v>53</v>
      </c>
      <c r="D2467" t="s">
        <v>54</v>
      </c>
      <c r="E2467" t="s">
        <v>55</v>
      </c>
      <c r="F2467" t="s">
        <v>54</v>
      </c>
      <c r="G2467">
        <v>662.47</v>
      </c>
      <c r="H2467" t="s">
        <v>15</v>
      </c>
      <c r="I2467" t="s">
        <v>22</v>
      </c>
      <c r="J2467" t="s">
        <v>56</v>
      </c>
    </row>
    <row r="2468" spans="1:10" x14ac:dyDescent="0.35">
      <c r="A2468" t="s">
        <v>2652</v>
      </c>
      <c r="B2468" s="10">
        <v>46106</v>
      </c>
      <c r="C2468" t="s">
        <v>272</v>
      </c>
      <c r="D2468" t="s">
        <v>54</v>
      </c>
      <c r="E2468" t="s">
        <v>55</v>
      </c>
      <c r="F2468" t="s">
        <v>54</v>
      </c>
      <c r="G2468">
        <v>708.31</v>
      </c>
      <c r="H2468" t="s">
        <v>15</v>
      </c>
      <c r="I2468" t="s">
        <v>22</v>
      </c>
      <c r="J2468" t="s">
        <v>65</v>
      </c>
    </row>
    <row r="2469" spans="1:10" x14ac:dyDescent="0.35">
      <c r="A2469" t="s">
        <v>2653</v>
      </c>
      <c r="B2469" s="10">
        <v>46106</v>
      </c>
      <c r="C2469" t="s">
        <v>68</v>
      </c>
      <c r="D2469" t="s">
        <v>69</v>
      </c>
      <c r="E2469" t="s">
        <v>70</v>
      </c>
      <c r="F2469" t="s">
        <v>14</v>
      </c>
      <c r="G2469">
        <v>163.25</v>
      </c>
      <c r="H2469" t="s">
        <v>15</v>
      </c>
      <c r="I2469" t="s">
        <v>36</v>
      </c>
      <c r="J2469" t="s">
        <v>71</v>
      </c>
    </row>
    <row r="2470" spans="1:10" x14ac:dyDescent="0.35">
      <c r="A2470" t="s">
        <v>2654</v>
      </c>
      <c r="B2470" s="10">
        <v>46106</v>
      </c>
      <c r="C2470" t="s">
        <v>73</v>
      </c>
      <c r="D2470" t="s">
        <v>54</v>
      </c>
      <c r="E2470" t="s">
        <v>74</v>
      </c>
      <c r="F2470" t="s">
        <v>54</v>
      </c>
      <c r="G2470">
        <v>2499.59</v>
      </c>
      <c r="H2470" t="s">
        <v>15</v>
      </c>
      <c r="I2470" t="s">
        <v>22</v>
      </c>
      <c r="J2470" t="s">
        <v>65</v>
      </c>
    </row>
    <row r="2471" spans="1:10" x14ac:dyDescent="0.35">
      <c r="A2471" t="s">
        <v>2655</v>
      </c>
      <c r="B2471" s="10">
        <v>46106</v>
      </c>
      <c r="C2471" t="s">
        <v>215</v>
      </c>
      <c r="D2471" t="s">
        <v>80</v>
      </c>
      <c r="E2471" t="s">
        <v>117</v>
      </c>
      <c r="F2471" t="s">
        <v>14</v>
      </c>
      <c r="G2471">
        <v>165.16</v>
      </c>
      <c r="H2471" t="s">
        <v>15</v>
      </c>
      <c r="I2471" t="s">
        <v>36</v>
      </c>
      <c r="J2471" t="s">
        <v>141</v>
      </c>
    </row>
    <row r="2472" spans="1:10" x14ac:dyDescent="0.35">
      <c r="A2472" t="s">
        <v>2656</v>
      </c>
      <c r="B2472" s="10">
        <v>46106</v>
      </c>
      <c r="C2472" t="s">
        <v>206</v>
      </c>
      <c r="D2472" t="s">
        <v>29</v>
      </c>
      <c r="E2472" t="s">
        <v>95</v>
      </c>
      <c r="F2472" t="s">
        <v>14</v>
      </c>
      <c r="G2472">
        <v>25.17</v>
      </c>
      <c r="H2472" t="s">
        <v>15</v>
      </c>
      <c r="I2472" t="s">
        <v>36</v>
      </c>
      <c r="J2472" t="s">
        <v>31</v>
      </c>
    </row>
    <row r="2473" spans="1:10" x14ac:dyDescent="0.35">
      <c r="A2473" t="s">
        <v>2657</v>
      </c>
      <c r="B2473" s="10">
        <v>46107</v>
      </c>
      <c r="C2473" t="s">
        <v>259</v>
      </c>
      <c r="D2473" t="s">
        <v>59</v>
      </c>
      <c r="E2473" t="s">
        <v>199</v>
      </c>
      <c r="F2473" t="s">
        <v>14</v>
      </c>
      <c r="G2473">
        <v>255.42</v>
      </c>
      <c r="H2473" t="s">
        <v>21</v>
      </c>
      <c r="I2473" t="s">
        <v>16</v>
      </c>
      <c r="J2473" t="s">
        <v>170</v>
      </c>
    </row>
    <row r="2474" spans="1:10" x14ac:dyDescent="0.35">
      <c r="A2474" t="s">
        <v>2658</v>
      </c>
      <c r="B2474" s="10">
        <v>46107</v>
      </c>
      <c r="C2474" t="s">
        <v>33</v>
      </c>
      <c r="D2474" t="s">
        <v>34</v>
      </c>
      <c r="E2474" t="s">
        <v>35</v>
      </c>
      <c r="F2474" t="s">
        <v>14</v>
      </c>
      <c r="G2474">
        <v>90.41</v>
      </c>
      <c r="H2474" t="s">
        <v>21</v>
      </c>
      <c r="I2474" t="s">
        <v>22</v>
      </c>
      <c r="J2474" t="s">
        <v>37</v>
      </c>
    </row>
    <row r="2475" spans="1:10" x14ac:dyDescent="0.35">
      <c r="A2475" t="s">
        <v>2659</v>
      </c>
      <c r="B2475" s="10">
        <v>46107</v>
      </c>
      <c r="C2475" t="s">
        <v>229</v>
      </c>
      <c r="D2475" t="s">
        <v>54</v>
      </c>
      <c r="E2475" t="s">
        <v>64</v>
      </c>
      <c r="F2475" t="s">
        <v>54</v>
      </c>
      <c r="G2475">
        <v>337.86</v>
      </c>
      <c r="H2475" t="s">
        <v>21</v>
      </c>
      <c r="I2475" t="s">
        <v>22</v>
      </c>
      <c r="J2475" t="s">
        <v>56</v>
      </c>
    </row>
    <row r="2476" spans="1:10" x14ac:dyDescent="0.35">
      <c r="A2476" t="s">
        <v>2660</v>
      </c>
      <c r="B2476" s="10">
        <v>46107</v>
      </c>
      <c r="C2476" t="s">
        <v>43</v>
      </c>
      <c r="D2476" t="s">
        <v>12</v>
      </c>
      <c r="E2476" t="s">
        <v>26</v>
      </c>
      <c r="F2476" t="s">
        <v>14</v>
      </c>
      <c r="G2476">
        <v>48.76</v>
      </c>
      <c r="H2476" t="s">
        <v>21</v>
      </c>
      <c r="I2476" t="s">
        <v>16</v>
      </c>
      <c r="J2476" t="s">
        <v>44</v>
      </c>
    </row>
    <row r="2477" spans="1:10" x14ac:dyDescent="0.35">
      <c r="A2477" t="s">
        <v>2661</v>
      </c>
      <c r="B2477" s="10">
        <v>46107</v>
      </c>
      <c r="C2477" t="s">
        <v>267</v>
      </c>
      <c r="D2477" t="s">
        <v>29</v>
      </c>
      <c r="E2477" t="s">
        <v>30</v>
      </c>
      <c r="F2477" t="s">
        <v>14</v>
      </c>
      <c r="G2477">
        <v>13.69</v>
      </c>
      <c r="H2477" t="s">
        <v>15</v>
      </c>
      <c r="I2477" t="s">
        <v>47</v>
      </c>
      <c r="J2477" t="s">
        <v>96</v>
      </c>
    </row>
    <row r="2478" spans="1:10" x14ac:dyDescent="0.35">
      <c r="A2478" t="s">
        <v>2662</v>
      </c>
      <c r="B2478" s="10">
        <v>46107</v>
      </c>
      <c r="C2478" t="s">
        <v>94</v>
      </c>
      <c r="D2478" t="s">
        <v>29</v>
      </c>
      <c r="E2478" t="s">
        <v>95</v>
      </c>
      <c r="F2478" t="s">
        <v>14</v>
      </c>
      <c r="G2478">
        <v>104.02</v>
      </c>
      <c r="H2478" t="s">
        <v>15</v>
      </c>
      <c r="I2478" t="s">
        <v>36</v>
      </c>
      <c r="J2478" t="s">
        <v>96</v>
      </c>
    </row>
    <row r="2479" spans="1:10" x14ac:dyDescent="0.35">
      <c r="A2479" t="s">
        <v>2663</v>
      </c>
      <c r="B2479" s="10">
        <v>46107</v>
      </c>
      <c r="C2479" t="s">
        <v>248</v>
      </c>
      <c r="D2479" t="s">
        <v>80</v>
      </c>
      <c r="E2479" t="s">
        <v>81</v>
      </c>
      <c r="F2479" t="s">
        <v>14</v>
      </c>
      <c r="G2479">
        <v>30.59</v>
      </c>
      <c r="H2479" t="s">
        <v>15</v>
      </c>
      <c r="I2479" t="s">
        <v>84</v>
      </c>
      <c r="J2479" t="s">
        <v>161</v>
      </c>
    </row>
    <row r="2480" spans="1:10" x14ac:dyDescent="0.35">
      <c r="A2480" t="s">
        <v>2664</v>
      </c>
      <c r="B2480" s="10">
        <v>46107</v>
      </c>
      <c r="C2480" t="s">
        <v>111</v>
      </c>
      <c r="D2480" t="s">
        <v>12</v>
      </c>
      <c r="E2480" t="s">
        <v>26</v>
      </c>
      <c r="F2480" t="s">
        <v>14</v>
      </c>
      <c r="G2480">
        <v>162.63999999999999</v>
      </c>
      <c r="H2480" t="s">
        <v>15</v>
      </c>
      <c r="I2480" t="s">
        <v>36</v>
      </c>
      <c r="J2480" t="s">
        <v>23</v>
      </c>
    </row>
    <row r="2481" spans="1:10" x14ac:dyDescent="0.35">
      <c r="A2481" t="s">
        <v>2665</v>
      </c>
      <c r="B2481" s="10">
        <v>46107</v>
      </c>
      <c r="C2481" t="s">
        <v>132</v>
      </c>
      <c r="D2481" t="s">
        <v>69</v>
      </c>
      <c r="E2481" t="s">
        <v>70</v>
      </c>
      <c r="F2481" t="s">
        <v>14</v>
      </c>
      <c r="G2481">
        <v>184.2</v>
      </c>
      <c r="H2481" t="s">
        <v>21</v>
      </c>
      <c r="I2481" t="s">
        <v>22</v>
      </c>
      <c r="J2481" t="s">
        <v>133</v>
      </c>
    </row>
    <row r="2482" spans="1:10" x14ac:dyDescent="0.35">
      <c r="A2482" t="s">
        <v>2666</v>
      </c>
      <c r="B2482" s="10">
        <v>46108</v>
      </c>
      <c r="C2482" t="s">
        <v>73</v>
      </c>
      <c r="D2482" t="s">
        <v>54</v>
      </c>
      <c r="E2482" t="s">
        <v>74</v>
      </c>
      <c r="F2482" t="s">
        <v>54</v>
      </c>
      <c r="G2482">
        <v>2558.0500000000002</v>
      </c>
      <c r="H2482" t="s">
        <v>21</v>
      </c>
      <c r="I2482" t="s">
        <v>16</v>
      </c>
      <c r="J2482" t="s">
        <v>65</v>
      </c>
    </row>
    <row r="2483" spans="1:10" x14ac:dyDescent="0.35">
      <c r="A2483" t="s">
        <v>2667</v>
      </c>
      <c r="B2483" s="10">
        <v>46108</v>
      </c>
      <c r="C2483" t="s">
        <v>227</v>
      </c>
      <c r="D2483" t="s">
        <v>12</v>
      </c>
      <c r="E2483" t="s">
        <v>51</v>
      </c>
      <c r="F2483" t="s">
        <v>14</v>
      </c>
      <c r="G2483">
        <v>31.49</v>
      </c>
      <c r="H2483" t="s">
        <v>21</v>
      </c>
      <c r="I2483" t="s">
        <v>16</v>
      </c>
      <c r="J2483" t="s">
        <v>17</v>
      </c>
    </row>
    <row r="2484" spans="1:10" x14ac:dyDescent="0.35">
      <c r="A2484" t="s">
        <v>2668</v>
      </c>
      <c r="B2484" s="10">
        <v>46108</v>
      </c>
      <c r="C2484" t="s">
        <v>331</v>
      </c>
      <c r="D2484" t="s">
        <v>29</v>
      </c>
      <c r="E2484" t="s">
        <v>95</v>
      </c>
      <c r="F2484" t="s">
        <v>14</v>
      </c>
      <c r="G2484">
        <v>14.27</v>
      </c>
      <c r="H2484" t="s">
        <v>15</v>
      </c>
      <c r="I2484" t="s">
        <v>22</v>
      </c>
      <c r="J2484" t="s">
        <v>151</v>
      </c>
    </row>
    <row r="2485" spans="1:10" x14ac:dyDescent="0.35">
      <c r="A2485" t="s">
        <v>2669</v>
      </c>
      <c r="B2485" s="10">
        <v>46109</v>
      </c>
      <c r="C2485" t="s">
        <v>79</v>
      </c>
      <c r="D2485" t="s">
        <v>80</v>
      </c>
      <c r="E2485" t="s">
        <v>81</v>
      </c>
      <c r="F2485" t="s">
        <v>14</v>
      </c>
      <c r="G2485">
        <v>101.69</v>
      </c>
      <c r="H2485" t="s">
        <v>21</v>
      </c>
      <c r="I2485" t="s">
        <v>47</v>
      </c>
      <c r="J2485" t="s">
        <v>82</v>
      </c>
    </row>
    <row r="2486" spans="1:10" x14ac:dyDescent="0.35">
      <c r="A2486" t="s">
        <v>2670</v>
      </c>
      <c r="B2486" s="10">
        <v>46109</v>
      </c>
      <c r="C2486" t="s">
        <v>290</v>
      </c>
      <c r="D2486" t="s">
        <v>69</v>
      </c>
      <c r="E2486" t="s">
        <v>291</v>
      </c>
      <c r="F2486" t="s">
        <v>14</v>
      </c>
      <c r="G2486">
        <v>87.75</v>
      </c>
      <c r="H2486" t="s">
        <v>15</v>
      </c>
      <c r="I2486" t="s">
        <v>47</v>
      </c>
      <c r="J2486" t="s">
        <v>292</v>
      </c>
    </row>
    <row r="2487" spans="1:10" x14ac:dyDescent="0.35">
      <c r="A2487" t="s">
        <v>2671</v>
      </c>
      <c r="B2487" s="10">
        <v>46110</v>
      </c>
      <c r="C2487" t="s">
        <v>210</v>
      </c>
      <c r="D2487" t="s">
        <v>59</v>
      </c>
      <c r="E2487" t="s">
        <v>185</v>
      </c>
      <c r="F2487" t="s">
        <v>14</v>
      </c>
      <c r="G2487">
        <v>338.39</v>
      </c>
      <c r="H2487" t="s">
        <v>21</v>
      </c>
      <c r="I2487" t="s">
        <v>47</v>
      </c>
      <c r="J2487" t="s">
        <v>211</v>
      </c>
    </row>
    <row r="2488" spans="1:10" x14ac:dyDescent="0.35">
      <c r="A2488" t="s">
        <v>2672</v>
      </c>
      <c r="B2488" s="10">
        <v>46110</v>
      </c>
      <c r="C2488" t="s">
        <v>243</v>
      </c>
      <c r="D2488" t="s">
        <v>101</v>
      </c>
      <c r="E2488" t="s">
        <v>244</v>
      </c>
      <c r="F2488" t="s">
        <v>14</v>
      </c>
      <c r="G2488">
        <v>18.53</v>
      </c>
      <c r="H2488" t="s">
        <v>98</v>
      </c>
      <c r="I2488" t="s">
        <v>36</v>
      </c>
      <c r="J2488" t="s">
        <v>102</v>
      </c>
    </row>
    <row r="2489" spans="1:10" x14ac:dyDescent="0.35">
      <c r="A2489" t="s">
        <v>2673</v>
      </c>
      <c r="B2489" s="10">
        <v>46110</v>
      </c>
      <c r="C2489" t="s">
        <v>411</v>
      </c>
      <c r="D2489" t="s">
        <v>29</v>
      </c>
      <c r="E2489" t="s">
        <v>151</v>
      </c>
      <c r="F2489" t="s">
        <v>14</v>
      </c>
      <c r="G2489">
        <v>27.3</v>
      </c>
      <c r="H2489" t="s">
        <v>15</v>
      </c>
      <c r="I2489" t="s">
        <v>36</v>
      </c>
      <c r="J2489" t="s">
        <v>151</v>
      </c>
    </row>
    <row r="2490" spans="1:10" x14ac:dyDescent="0.35">
      <c r="A2490" t="s">
        <v>2674</v>
      </c>
      <c r="B2490" s="10">
        <v>46110</v>
      </c>
      <c r="C2490" t="s">
        <v>121</v>
      </c>
      <c r="D2490" t="s">
        <v>34</v>
      </c>
      <c r="E2490" t="s">
        <v>122</v>
      </c>
      <c r="F2490" t="s">
        <v>14</v>
      </c>
      <c r="G2490">
        <v>54.48</v>
      </c>
      <c r="H2490" t="s">
        <v>21</v>
      </c>
      <c r="I2490" t="s">
        <v>22</v>
      </c>
      <c r="J2490" t="s">
        <v>123</v>
      </c>
    </row>
    <row r="2491" spans="1:10" x14ac:dyDescent="0.35">
      <c r="A2491" t="s">
        <v>2675</v>
      </c>
      <c r="B2491" s="10">
        <v>46111</v>
      </c>
      <c r="C2491" t="s">
        <v>204</v>
      </c>
      <c r="D2491" t="s">
        <v>12</v>
      </c>
      <c r="E2491" t="s">
        <v>51</v>
      </c>
      <c r="F2491" t="s">
        <v>14</v>
      </c>
      <c r="G2491">
        <v>34.25</v>
      </c>
      <c r="H2491" t="s">
        <v>21</v>
      </c>
      <c r="I2491" t="s">
        <v>22</v>
      </c>
      <c r="J2491" t="s">
        <v>23</v>
      </c>
    </row>
    <row r="2492" spans="1:10" x14ac:dyDescent="0.35">
      <c r="A2492" t="s">
        <v>2676</v>
      </c>
      <c r="B2492" s="10">
        <v>46111</v>
      </c>
      <c r="C2492" t="s">
        <v>272</v>
      </c>
      <c r="D2492" t="s">
        <v>54</v>
      </c>
      <c r="E2492" t="s">
        <v>55</v>
      </c>
      <c r="F2492" t="s">
        <v>54</v>
      </c>
      <c r="G2492">
        <v>585.88</v>
      </c>
      <c r="H2492" t="s">
        <v>15</v>
      </c>
      <c r="I2492" t="s">
        <v>22</v>
      </c>
      <c r="J2492" t="s">
        <v>65</v>
      </c>
    </row>
    <row r="2493" spans="1:10" x14ac:dyDescent="0.35">
      <c r="A2493" t="s">
        <v>2677</v>
      </c>
      <c r="B2493" s="10">
        <v>46111</v>
      </c>
      <c r="C2493" t="s">
        <v>143</v>
      </c>
      <c r="D2493" t="s">
        <v>54</v>
      </c>
      <c r="E2493" t="s">
        <v>55</v>
      </c>
      <c r="F2493" t="s">
        <v>54</v>
      </c>
      <c r="G2493">
        <v>748.46</v>
      </c>
      <c r="H2493" t="s">
        <v>98</v>
      </c>
      <c r="I2493" t="s">
        <v>22</v>
      </c>
      <c r="J2493" t="s">
        <v>89</v>
      </c>
    </row>
    <row r="2494" spans="1:10" x14ac:dyDescent="0.35">
      <c r="A2494" t="s">
        <v>2678</v>
      </c>
      <c r="B2494" s="10">
        <v>46111</v>
      </c>
      <c r="C2494" t="s">
        <v>256</v>
      </c>
      <c r="D2494" t="s">
        <v>34</v>
      </c>
      <c r="E2494" t="s">
        <v>40</v>
      </c>
      <c r="F2494" t="s">
        <v>14</v>
      </c>
      <c r="G2494">
        <v>186.98</v>
      </c>
      <c r="H2494" t="s">
        <v>15</v>
      </c>
      <c r="I2494" t="s">
        <v>22</v>
      </c>
      <c r="J2494" t="s">
        <v>239</v>
      </c>
    </row>
    <row r="2495" spans="1:10" x14ac:dyDescent="0.35">
      <c r="A2495" t="s">
        <v>2679</v>
      </c>
      <c r="B2495" s="10">
        <v>46111</v>
      </c>
      <c r="C2495" t="s">
        <v>259</v>
      </c>
      <c r="D2495" t="s">
        <v>59</v>
      </c>
      <c r="E2495" t="s">
        <v>199</v>
      </c>
      <c r="F2495" t="s">
        <v>14</v>
      </c>
      <c r="G2495">
        <v>950</v>
      </c>
      <c r="H2495" t="s">
        <v>21</v>
      </c>
      <c r="I2495" t="s">
        <v>84</v>
      </c>
      <c r="J2495" t="s">
        <v>170</v>
      </c>
    </row>
    <row r="2496" spans="1:10" x14ac:dyDescent="0.35">
      <c r="A2496" t="s">
        <v>2680</v>
      </c>
      <c r="B2496" s="10">
        <v>46112</v>
      </c>
      <c r="C2496" t="s">
        <v>19</v>
      </c>
      <c r="D2496" t="s">
        <v>12</v>
      </c>
      <c r="E2496" t="s">
        <v>13</v>
      </c>
      <c r="F2496" t="s">
        <v>14</v>
      </c>
      <c r="G2496">
        <v>101.98</v>
      </c>
      <c r="H2496" t="s">
        <v>98</v>
      </c>
      <c r="I2496" t="s">
        <v>36</v>
      </c>
      <c r="J2496" t="s">
        <v>23</v>
      </c>
    </row>
    <row r="2497" spans="1:10" x14ac:dyDescent="0.35">
      <c r="A2497" t="s">
        <v>2681</v>
      </c>
      <c r="B2497" s="10">
        <v>46112</v>
      </c>
      <c r="C2497" t="s">
        <v>415</v>
      </c>
      <c r="D2497" t="s">
        <v>12</v>
      </c>
      <c r="E2497" t="s">
        <v>51</v>
      </c>
      <c r="F2497" t="s">
        <v>14</v>
      </c>
      <c r="G2497">
        <v>19.63</v>
      </c>
      <c r="H2497" t="s">
        <v>21</v>
      </c>
      <c r="I2497" t="s">
        <v>22</v>
      </c>
      <c r="J2497" t="s">
        <v>77</v>
      </c>
    </row>
    <row r="2498" spans="1:10" x14ac:dyDescent="0.35">
      <c r="A2498" t="s">
        <v>2682</v>
      </c>
      <c r="B2498" s="10">
        <v>46113</v>
      </c>
      <c r="C2498" t="s">
        <v>63</v>
      </c>
      <c r="D2498" t="s">
        <v>54</v>
      </c>
      <c r="E2498" t="s">
        <v>64</v>
      </c>
      <c r="F2498" t="s">
        <v>54</v>
      </c>
      <c r="G2498">
        <v>313.97000000000003</v>
      </c>
      <c r="H2498" t="s">
        <v>15</v>
      </c>
      <c r="I2498" t="s">
        <v>16</v>
      </c>
      <c r="J2498" t="s">
        <v>65</v>
      </c>
    </row>
    <row r="2499" spans="1:10" x14ac:dyDescent="0.35">
      <c r="A2499" t="s">
        <v>2683</v>
      </c>
      <c r="B2499" s="10">
        <v>46113</v>
      </c>
      <c r="C2499" t="s">
        <v>232</v>
      </c>
      <c r="D2499" t="s">
        <v>69</v>
      </c>
      <c r="E2499" t="s">
        <v>233</v>
      </c>
      <c r="F2499" t="s">
        <v>14</v>
      </c>
      <c r="G2499">
        <v>177.24</v>
      </c>
      <c r="H2499" t="s">
        <v>21</v>
      </c>
      <c r="I2499" t="s">
        <v>16</v>
      </c>
      <c r="J2499" t="s">
        <v>71</v>
      </c>
    </row>
    <row r="2500" spans="1:10" x14ac:dyDescent="0.35">
      <c r="A2500" t="s">
        <v>2684</v>
      </c>
      <c r="B2500" s="10">
        <v>46113</v>
      </c>
      <c r="C2500" t="s">
        <v>184</v>
      </c>
      <c r="D2500" t="s">
        <v>59</v>
      </c>
      <c r="E2500" t="s">
        <v>185</v>
      </c>
      <c r="F2500" t="s">
        <v>14</v>
      </c>
      <c r="G2500">
        <v>108.52</v>
      </c>
      <c r="H2500" t="s">
        <v>15</v>
      </c>
      <c r="I2500" t="s">
        <v>47</v>
      </c>
      <c r="J2500" t="s">
        <v>61</v>
      </c>
    </row>
    <row r="2501" spans="1:10" x14ac:dyDescent="0.35">
      <c r="A2501" t="s">
        <v>2685</v>
      </c>
      <c r="B2501" s="10">
        <v>46113</v>
      </c>
      <c r="C2501" t="s">
        <v>109</v>
      </c>
      <c r="D2501" t="s">
        <v>34</v>
      </c>
      <c r="E2501" t="s">
        <v>35</v>
      </c>
      <c r="F2501" t="s">
        <v>14</v>
      </c>
      <c r="G2501">
        <v>59.4</v>
      </c>
      <c r="H2501" t="s">
        <v>15</v>
      </c>
      <c r="I2501" t="s">
        <v>36</v>
      </c>
      <c r="J2501" t="s">
        <v>41</v>
      </c>
    </row>
    <row r="2502" spans="1:10" x14ac:dyDescent="0.35">
      <c r="A2502" t="s">
        <v>2686</v>
      </c>
      <c r="B2502" s="10">
        <v>46113</v>
      </c>
      <c r="C2502" t="s">
        <v>25</v>
      </c>
      <c r="D2502" t="s">
        <v>12</v>
      </c>
      <c r="E2502" t="s">
        <v>26</v>
      </c>
      <c r="F2502" t="s">
        <v>14</v>
      </c>
      <c r="G2502">
        <v>30.09</v>
      </c>
      <c r="H2502" t="s">
        <v>98</v>
      </c>
      <c r="I2502" t="s">
        <v>36</v>
      </c>
      <c r="J2502" t="s">
        <v>17</v>
      </c>
    </row>
    <row r="2503" spans="1:10" x14ac:dyDescent="0.35">
      <c r="A2503" t="s">
        <v>2687</v>
      </c>
      <c r="B2503" s="10">
        <v>46113</v>
      </c>
      <c r="C2503" t="s">
        <v>177</v>
      </c>
      <c r="D2503" t="s">
        <v>54</v>
      </c>
      <c r="E2503" t="s">
        <v>74</v>
      </c>
      <c r="F2503" t="s">
        <v>54</v>
      </c>
      <c r="G2503">
        <v>2508.9</v>
      </c>
      <c r="H2503" t="s">
        <v>15</v>
      </c>
      <c r="I2503" t="s">
        <v>22</v>
      </c>
      <c r="J2503" t="s">
        <v>56</v>
      </c>
    </row>
    <row r="2504" spans="1:10" x14ac:dyDescent="0.35">
      <c r="A2504" t="s">
        <v>2688</v>
      </c>
      <c r="B2504" s="10">
        <v>46113</v>
      </c>
      <c r="C2504" t="s">
        <v>415</v>
      </c>
      <c r="D2504" t="s">
        <v>12</v>
      </c>
      <c r="E2504" t="s">
        <v>51</v>
      </c>
      <c r="F2504" t="s">
        <v>14</v>
      </c>
      <c r="G2504">
        <v>61.92</v>
      </c>
      <c r="H2504" t="s">
        <v>15</v>
      </c>
      <c r="I2504" t="s">
        <v>16</v>
      </c>
      <c r="J2504" t="s">
        <v>77</v>
      </c>
    </row>
    <row r="2505" spans="1:10" x14ac:dyDescent="0.35">
      <c r="A2505" t="s">
        <v>2689</v>
      </c>
      <c r="B2505" s="10">
        <v>46114</v>
      </c>
      <c r="C2505" t="s">
        <v>238</v>
      </c>
      <c r="D2505" t="s">
        <v>34</v>
      </c>
      <c r="E2505" t="s">
        <v>35</v>
      </c>
      <c r="F2505" t="s">
        <v>14</v>
      </c>
      <c r="G2505">
        <v>104.77</v>
      </c>
      <c r="H2505" t="s">
        <v>15</v>
      </c>
      <c r="I2505" t="s">
        <v>22</v>
      </c>
      <c r="J2505" t="s">
        <v>239</v>
      </c>
    </row>
    <row r="2506" spans="1:10" x14ac:dyDescent="0.35">
      <c r="A2506" t="s">
        <v>2690</v>
      </c>
      <c r="B2506" s="10">
        <v>46114</v>
      </c>
      <c r="C2506" t="s">
        <v>272</v>
      </c>
      <c r="D2506" t="s">
        <v>54</v>
      </c>
      <c r="E2506" t="s">
        <v>55</v>
      </c>
      <c r="F2506" t="s">
        <v>54</v>
      </c>
      <c r="G2506">
        <v>619.88</v>
      </c>
      <c r="H2506" t="s">
        <v>15</v>
      </c>
      <c r="I2506" t="s">
        <v>47</v>
      </c>
      <c r="J2506" t="s">
        <v>65</v>
      </c>
    </row>
    <row r="2507" spans="1:10" x14ac:dyDescent="0.35">
      <c r="A2507" t="s">
        <v>2691</v>
      </c>
      <c r="B2507" s="10">
        <v>46114</v>
      </c>
      <c r="C2507" t="s">
        <v>238</v>
      </c>
      <c r="D2507" t="s">
        <v>34</v>
      </c>
      <c r="E2507" t="s">
        <v>35</v>
      </c>
      <c r="F2507" t="s">
        <v>14</v>
      </c>
      <c r="G2507">
        <v>71.180000000000007</v>
      </c>
      <c r="H2507" t="s">
        <v>98</v>
      </c>
      <c r="I2507" t="s">
        <v>36</v>
      </c>
      <c r="J2507" t="s">
        <v>239</v>
      </c>
    </row>
    <row r="2508" spans="1:10" x14ac:dyDescent="0.35">
      <c r="A2508" t="s">
        <v>2692</v>
      </c>
      <c r="B2508" s="10">
        <v>46114</v>
      </c>
      <c r="C2508" t="s">
        <v>33</v>
      </c>
      <c r="D2508" t="s">
        <v>34</v>
      </c>
      <c r="E2508" t="s">
        <v>35</v>
      </c>
      <c r="F2508" t="s">
        <v>14</v>
      </c>
      <c r="G2508">
        <v>58.12</v>
      </c>
      <c r="H2508" t="s">
        <v>15</v>
      </c>
      <c r="I2508" t="s">
        <v>22</v>
      </c>
      <c r="J2508" t="s">
        <v>37</v>
      </c>
    </row>
    <row r="2509" spans="1:10" x14ac:dyDescent="0.35">
      <c r="A2509" t="s">
        <v>2693</v>
      </c>
      <c r="B2509" s="10">
        <v>46114</v>
      </c>
      <c r="C2509" t="s">
        <v>296</v>
      </c>
      <c r="D2509" t="s">
        <v>101</v>
      </c>
      <c r="E2509" t="s">
        <v>136</v>
      </c>
      <c r="F2509" t="s">
        <v>14</v>
      </c>
      <c r="G2509">
        <v>92.57</v>
      </c>
      <c r="H2509" t="s">
        <v>98</v>
      </c>
      <c r="I2509" t="s">
        <v>36</v>
      </c>
      <c r="J2509" t="s">
        <v>136</v>
      </c>
    </row>
    <row r="2510" spans="1:10" x14ac:dyDescent="0.35">
      <c r="A2510" t="s">
        <v>2694</v>
      </c>
      <c r="B2510" s="10">
        <v>46115</v>
      </c>
      <c r="C2510" t="s">
        <v>168</v>
      </c>
      <c r="D2510" t="s">
        <v>59</v>
      </c>
      <c r="E2510" t="s">
        <v>60</v>
      </c>
      <c r="F2510" t="s">
        <v>14</v>
      </c>
      <c r="G2510">
        <v>221.24</v>
      </c>
      <c r="H2510" t="s">
        <v>15</v>
      </c>
      <c r="I2510" t="s">
        <v>22</v>
      </c>
      <c r="J2510" t="s">
        <v>170</v>
      </c>
    </row>
    <row r="2511" spans="1:10" x14ac:dyDescent="0.35">
      <c r="A2511" t="s">
        <v>2695</v>
      </c>
      <c r="B2511" s="10">
        <v>46115</v>
      </c>
      <c r="C2511" t="s">
        <v>111</v>
      </c>
      <c r="D2511" t="s">
        <v>12</v>
      </c>
      <c r="E2511" t="s">
        <v>26</v>
      </c>
      <c r="F2511" t="s">
        <v>14</v>
      </c>
      <c r="G2511">
        <v>64.239999999999995</v>
      </c>
      <c r="H2511" t="s">
        <v>15</v>
      </c>
      <c r="I2511" t="s">
        <v>47</v>
      </c>
      <c r="J2511" t="s">
        <v>23</v>
      </c>
    </row>
    <row r="2512" spans="1:10" x14ac:dyDescent="0.35">
      <c r="A2512" t="s">
        <v>2696</v>
      </c>
      <c r="B2512" s="10">
        <v>46115</v>
      </c>
      <c r="C2512" t="s">
        <v>73</v>
      </c>
      <c r="D2512" t="s">
        <v>54</v>
      </c>
      <c r="E2512" t="s">
        <v>74</v>
      </c>
      <c r="F2512" t="s">
        <v>54</v>
      </c>
      <c r="G2512">
        <v>2435.0100000000002</v>
      </c>
      <c r="H2512" t="s">
        <v>15</v>
      </c>
      <c r="I2512" t="s">
        <v>22</v>
      </c>
      <c r="J2512" t="s">
        <v>65</v>
      </c>
    </row>
    <row r="2513" spans="1:10" x14ac:dyDescent="0.35">
      <c r="A2513" t="s">
        <v>2697</v>
      </c>
      <c r="B2513" s="10">
        <v>46115</v>
      </c>
      <c r="C2513" t="s">
        <v>227</v>
      </c>
      <c r="D2513" t="s">
        <v>12</v>
      </c>
      <c r="E2513" t="s">
        <v>51</v>
      </c>
      <c r="F2513" t="s">
        <v>14</v>
      </c>
      <c r="G2513">
        <v>36.29</v>
      </c>
      <c r="H2513" t="s">
        <v>21</v>
      </c>
      <c r="I2513" t="s">
        <v>22</v>
      </c>
      <c r="J2513" t="s">
        <v>17</v>
      </c>
    </row>
    <row r="2514" spans="1:10" x14ac:dyDescent="0.35">
      <c r="A2514" t="s">
        <v>2698</v>
      </c>
      <c r="B2514" s="10">
        <v>46115</v>
      </c>
      <c r="C2514" t="s">
        <v>198</v>
      </c>
      <c r="D2514" t="s">
        <v>59</v>
      </c>
      <c r="E2514" t="s">
        <v>199</v>
      </c>
      <c r="F2514" t="s">
        <v>14</v>
      </c>
      <c r="G2514">
        <v>272.73</v>
      </c>
      <c r="H2514" t="s">
        <v>98</v>
      </c>
      <c r="I2514" t="s">
        <v>36</v>
      </c>
      <c r="J2514" t="s">
        <v>61</v>
      </c>
    </row>
    <row r="2515" spans="1:10" x14ac:dyDescent="0.35">
      <c r="A2515" t="s">
        <v>2699</v>
      </c>
      <c r="B2515" s="10">
        <v>46115</v>
      </c>
      <c r="C2515" t="s">
        <v>53</v>
      </c>
      <c r="D2515" t="s">
        <v>54</v>
      </c>
      <c r="E2515" t="s">
        <v>55</v>
      </c>
      <c r="F2515" t="s">
        <v>54</v>
      </c>
      <c r="G2515">
        <v>749.29</v>
      </c>
      <c r="H2515" t="s">
        <v>15</v>
      </c>
      <c r="I2515" t="s">
        <v>22</v>
      </c>
      <c r="J2515" t="s">
        <v>56</v>
      </c>
    </row>
    <row r="2516" spans="1:10" x14ac:dyDescent="0.35">
      <c r="A2516" t="s">
        <v>2700</v>
      </c>
      <c r="B2516" s="10">
        <v>46115</v>
      </c>
      <c r="C2516" t="s">
        <v>194</v>
      </c>
      <c r="D2516" t="s">
        <v>101</v>
      </c>
      <c r="E2516" t="s">
        <v>136</v>
      </c>
      <c r="F2516" t="s">
        <v>14</v>
      </c>
      <c r="G2516">
        <v>38.380000000000003</v>
      </c>
      <c r="H2516" t="s">
        <v>21</v>
      </c>
      <c r="I2516" t="s">
        <v>22</v>
      </c>
      <c r="J2516" t="s">
        <v>103</v>
      </c>
    </row>
    <row r="2517" spans="1:10" x14ac:dyDescent="0.35">
      <c r="A2517" t="s">
        <v>2701</v>
      </c>
      <c r="B2517" s="10">
        <v>46115</v>
      </c>
      <c r="C2517" t="s">
        <v>63</v>
      </c>
      <c r="D2517" t="s">
        <v>54</v>
      </c>
      <c r="E2517" t="s">
        <v>64</v>
      </c>
      <c r="F2517" t="s">
        <v>54</v>
      </c>
      <c r="G2517">
        <v>364.46</v>
      </c>
      <c r="H2517" t="s">
        <v>15</v>
      </c>
      <c r="I2517" t="s">
        <v>47</v>
      </c>
      <c r="J2517" t="s">
        <v>65</v>
      </c>
    </row>
    <row r="2518" spans="1:10" x14ac:dyDescent="0.35">
      <c r="A2518" t="s">
        <v>2702</v>
      </c>
      <c r="B2518" s="10">
        <v>46115</v>
      </c>
      <c r="C2518" t="s">
        <v>73</v>
      </c>
      <c r="D2518" t="s">
        <v>54</v>
      </c>
      <c r="E2518" t="s">
        <v>74</v>
      </c>
      <c r="F2518" t="s">
        <v>54</v>
      </c>
      <c r="G2518">
        <v>2235.63</v>
      </c>
      <c r="H2518" t="s">
        <v>21</v>
      </c>
      <c r="I2518" t="s">
        <v>22</v>
      </c>
      <c r="J2518" t="s">
        <v>65</v>
      </c>
    </row>
    <row r="2519" spans="1:10" x14ac:dyDescent="0.35">
      <c r="A2519" t="s">
        <v>2703</v>
      </c>
      <c r="B2519" s="10">
        <v>46115</v>
      </c>
      <c r="C2519" t="s">
        <v>73</v>
      </c>
      <c r="D2519" t="s">
        <v>54</v>
      </c>
      <c r="E2519" t="s">
        <v>74</v>
      </c>
      <c r="F2519" t="s">
        <v>54</v>
      </c>
      <c r="G2519">
        <v>2680.82</v>
      </c>
      <c r="H2519" t="s">
        <v>15</v>
      </c>
      <c r="I2519" t="s">
        <v>36</v>
      </c>
      <c r="J2519" t="s">
        <v>65</v>
      </c>
    </row>
    <row r="2520" spans="1:10" x14ac:dyDescent="0.35">
      <c r="A2520" t="s">
        <v>2704</v>
      </c>
      <c r="B2520" s="10">
        <v>46116</v>
      </c>
      <c r="C2520" t="s">
        <v>46</v>
      </c>
      <c r="D2520" t="s">
        <v>12</v>
      </c>
      <c r="E2520" t="s">
        <v>13</v>
      </c>
      <c r="F2520" t="s">
        <v>14</v>
      </c>
      <c r="G2520">
        <v>45.1</v>
      </c>
      <c r="H2520" t="s">
        <v>21</v>
      </c>
      <c r="I2520" t="s">
        <v>47</v>
      </c>
      <c r="J2520" t="s">
        <v>48</v>
      </c>
    </row>
    <row r="2521" spans="1:10" x14ac:dyDescent="0.35">
      <c r="A2521" t="s">
        <v>2705</v>
      </c>
      <c r="B2521" s="10">
        <v>46116</v>
      </c>
      <c r="C2521" t="s">
        <v>143</v>
      </c>
      <c r="D2521" t="s">
        <v>54</v>
      </c>
      <c r="E2521" t="s">
        <v>55</v>
      </c>
      <c r="F2521" t="s">
        <v>54</v>
      </c>
      <c r="G2521">
        <v>624.25</v>
      </c>
      <c r="H2521" t="s">
        <v>21</v>
      </c>
      <c r="I2521" t="s">
        <v>16</v>
      </c>
      <c r="J2521" t="s">
        <v>89</v>
      </c>
    </row>
    <row r="2522" spans="1:10" x14ac:dyDescent="0.35">
      <c r="A2522" t="s">
        <v>2706</v>
      </c>
      <c r="B2522" s="10">
        <v>46116</v>
      </c>
      <c r="C2522" t="s">
        <v>91</v>
      </c>
      <c r="D2522" t="s">
        <v>80</v>
      </c>
      <c r="E2522" t="s">
        <v>92</v>
      </c>
      <c r="F2522" t="s">
        <v>14</v>
      </c>
      <c r="G2522">
        <v>78.739999999999995</v>
      </c>
      <c r="H2522" t="s">
        <v>21</v>
      </c>
      <c r="I2522" t="s">
        <v>22</v>
      </c>
      <c r="J2522" t="s">
        <v>82</v>
      </c>
    </row>
    <row r="2523" spans="1:10" x14ac:dyDescent="0.35">
      <c r="A2523" t="s">
        <v>2707</v>
      </c>
      <c r="B2523" s="10">
        <v>46117</v>
      </c>
      <c r="C2523" t="s">
        <v>28</v>
      </c>
      <c r="D2523" t="s">
        <v>29</v>
      </c>
      <c r="E2523" t="s">
        <v>30</v>
      </c>
      <c r="F2523" t="s">
        <v>14</v>
      </c>
      <c r="G2523">
        <v>41.22</v>
      </c>
      <c r="H2523" t="s">
        <v>98</v>
      </c>
      <c r="I2523" t="s">
        <v>36</v>
      </c>
      <c r="J2523" t="s">
        <v>31</v>
      </c>
    </row>
    <row r="2524" spans="1:10" x14ac:dyDescent="0.35">
      <c r="A2524" t="s">
        <v>2708</v>
      </c>
      <c r="B2524" s="10">
        <v>46117</v>
      </c>
      <c r="C2524" t="s">
        <v>194</v>
      </c>
      <c r="D2524" t="s">
        <v>101</v>
      </c>
      <c r="E2524" t="s">
        <v>136</v>
      </c>
      <c r="F2524" t="s">
        <v>14</v>
      </c>
      <c r="G2524">
        <v>26.71</v>
      </c>
      <c r="H2524" t="s">
        <v>15</v>
      </c>
      <c r="I2524" t="s">
        <v>47</v>
      </c>
      <c r="J2524" t="s">
        <v>103</v>
      </c>
    </row>
    <row r="2525" spans="1:10" x14ac:dyDescent="0.35">
      <c r="A2525" t="s">
        <v>2709</v>
      </c>
      <c r="B2525" s="10">
        <v>46117</v>
      </c>
      <c r="C2525" t="s">
        <v>113</v>
      </c>
      <c r="D2525" t="s">
        <v>34</v>
      </c>
      <c r="E2525" t="s">
        <v>40</v>
      </c>
      <c r="F2525" t="s">
        <v>14</v>
      </c>
      <c r="G2525">
        <v>343.64</v>
      </c>
      <c r="H2525" t="s">
        <v>15</v>
      </c>
      <c r="I2525" t="s">
        <v>22</v>
      </c>
      <c r="J2525" t="s">
        <v>37</v>
      </c>
    </row>
    <row r="2526" spans="1:10" x14ac:dyDescent="0.35">
      <c r="A2526" t="s">
        <v>2710</v>
      </c>
      <c r="B2526" s="10">
        <v>46117</v>
      </c>
      <c r="C2526" t="s">
        <v>229</v>
      </c>
      <c r="D2526" t="s">
        <v>54</v>
      </c>
      <c r="E2526" t="s">
        <v>64</v>
      </c>
      <c r="F2526" t="s">
        <v>54</v>
      </c>
      <c r="G2526">
        <v>357.47</v>
      </c>
      <c r="H2526" t="s">
        <v>21</v>
      </c>
      <c r="I2526" t="s">
        <v>16</v>
      </c>
      <c r="J2526" t="s">
        <v>56</v>
      </c>
    </row>
    <row r="2527" spans="1:10" x14ac:dyDescent="0.35">
      <c r="A2527" t="s">
        <v>2711</v>
      </c>
      <c r="B2527" s="10">
        <v>46117</v>
      </c>
      <c r="C2527" t="s">
        <v>331</v>
      </c>
      <c r="D2527" t="s">
        <v>29</v>
      </c>
      <c r="E2527" t="s">
        <v>95</v>
      </c>
      <c r="F2527" t="s">
        <v>14</v>
      </c>
      <c r="G2527">
        <v>23.22</v>
      </c>
      <c r="H2527" t="s">
        <v>21</v>
      </c>
      <c r="I2527" t="s">
        <v>22</v>
      </c>
      <c r="J2527" t="s">
        <v>151</v>
      </c>
    </row>
    <row r="2528" spans="1:10" x14ac:dyDescent="0.35">
      <c r="A2528" t="s">
        <v>2712</v>
      </c>
      <c r="B2528" s="10">
        <v>46117</v>
      </c>
      <c r="C2528" t="s">
        <v>734</v>
      </c>
      <c r="D2528" t="s">
        <v>69</v>
      </c>
      <c r="E2528" t="s">
        <v>291</v>
      </c>
      <c r="F2528" t="s">
        <v>14</v>
      </c>
      <c r="G2528">
        <v>288.83999999999997</v>
      </c>
      <c r="H2528" t="s">
        <v>21</v>
      </c>
      <c r="I2528" t="s">
        <v>47</v>
      </c>
      <c r="J2528" t="s">
        <v>71</v>
      </c>
    </row>
    <row r="2529" spans="1:10" x14ac:dyDescent="0.35">
      <c r="A2529" t="s">
        <v>2713</v>
      </c>
      <c r="B2529" s="10">
        <v>46118</v>
      </c>
      <c r="C2529" t="s">
        <v>350</v>
      </c>
      <c r="D2529" t="s">
        <v>29</v>
      </c>
      <c r="E2529" t="s">
        <v>151</v>
      </c>
      <c r="F2529" t="s">
        <v>14</v>
      </c>
      <c r="G2529">
        <v>37.340000000000003</v>
      </c>
      <c r="H2529" t="s">
        <v>15</v>
      </c>
      <c r="I2529" t="s">
        <v>16</v>
      </c>
      <c r="J2529" t="s">
        <v>158</v>
      </c>
    </row>
    <row r="2530" spans="1:10" x14ac:dyDescent="0.35">
      <c r="A2530" t="s">
        <v>2714</v>
      </c>
      <c r="B2530" s="10">
        <v>46118</v>
      </c>
      <c r="C2530" t="s">
        <v>109</v>
      </c>
      <c r="D2530" t="s">
        <v>34</v>
      </c>
      <c r="E2530" t="s">
        <v>35</v>
      </c>
      <c r="F2530" t="s">
        <v>14</v>
      </c>
      <c r="G2530">
        <v>500</v>
      </c>
      <c r="H2530" t="s">
        <v>15</v>
      </c>
      <c r="I2530" t="s">
        <v>22</v>
      </c>
      <c r="J2530" t="s">
        <v>41</v>
      </c>
    </row>
    <row r="2531" spans="1:10" x14ac:dyDescent="0.35">
      <c r="A2531" t="s">
        <v>2715</v>
      </c>
      <c r="B2531" s="10">
        <v>46118</v>
      </c>
      <c r="C2531" t="s">
        <v>215</v>
      </c>
      <c r="D2531" t="s">
        <v>80</v>
      </c>
      <c r="E2531" t="s">
        <v>117</v>
      </c>
      <c r="F2531" t="s">
        <v>14</v>
      </c>
      <c r="G2531">
        <v>87.99</v>
      </c>
      <c r="H2531" t="s">
        <v>15</v>
      </c>
      <c r="I2531" t="s">
        <v>47</v>
      </c>
      <c r="J2531" t="s">
        <v>141</v>
      </c>
    </row>
    <row r="2532" spans="1:10" x14ac:dyDescent="0.35">
      <c r="A2532" t="s">
        <v>2716</v>
      </c>
      <c r="B2532" s="10">
        <v>46118</v>
      </c>
      <c r="C2532" t="s">
        <v>168</v>
      </c>
      <c r="D2532" t="s">
        <v>59</v>
      </c>
      <c r="E2532" t="s">
        <v>60</v>
      </c>
      <c r="F2532" t="s">
        <v>14</v>
      </c>
      <c r="G2532">
        <v>437.82</v>
      </c>
      <c r="H2532" t="s">
        <v>21</v>
      </c>
      <c r="I2532" t="s">
        <v>36</v>
      </c>
      <c r="J2532" t="s">
        <v>170</v>
      </c>
    </row>
    <row r="2533" spans="1:10" x14ac:dyDescent="0.35">
      <c r="A2533" t="s">
        <v>2717</v>
      </c>
      <c r="B2533" s="10">
        <v>46119</v>
      </c>
      <c r="C2533" t="s">
        <v>227</v>
      </c>
      <c r="D2533" t="s">
        <v>12</v>
      </c>
      <c r="E2533" t="s">
        <v>51</v>
      </c>
      <c r="F2533" t="s">
        <v>14</v>
      </c>
      <c r="G2533">
        <v>27.56</v>
      </c>
      <c r="H2533" t="s">
        <v>21</v>
      </c>
      <c r="I2533" t="s">
        <v>22</v>
      </c>
      <c r="J2533" t="s">
        <v>17</v>
      </c>
    </row>
    <row r="2534" spans="1:10" x14ac:dyDescent="0.35">
      <c r="A2534" t="s">
        <v>2718</v>
      </c>
      <c r="B2534" s="10">
        <v>46119</v>
      </c>
      <c r="C2534" t="s">
        <v>33</v>
      </c>
      <c r="D2534" t="s">
        <v>34</v>
      </c>
      <c r="E2534" t="s">
        <v>35</v>
      </c>
      <c r="F2534" t="s">
        <v>14</v>
      </c>
      <c r="G2534">
        <v>190.06</v>
      </c>
      <c r="H2534" t="s">
        <v>15</v>
      </c>
      <c r="I2534" t="s">
        <v>36</v>
      </c>
      <c r="J2534" t="s">
        <v>37</v>
      </c>
    </row>
    <row r="2535" spans="1:10" x14ac:dyDescent="0.35">
      <c r="A2535" t="s">
        <v>2719</v>
      </c>
      <c r="B2535" s="10">
        <v>46119</v>
      </c>
      <c r="C2535" t="s">
        <v>875</v>
      </c>
      <c r="D2535" t="s">
        <v>69</v>
      </c>
      <c r="E2535" t="s">
        <v>291</v>
      </c>
      <c r="F2535" t="s">
        <v>14</v>
      </c>
      <c r="G2535">
        <v>303.18</v>
      </c>
      <c r="H2535" t="s">
        <v>21</v>
      </c>
      <c r="I2535" t="s">
        <v>36</v>
      </c>
      <c r="J2535" t="s">
        <v>133</v>
      </c>
    </row>
    <row r="2536" spans="1:10" x14ac:dyDescent="0.35">
      <c r="A2536" t="s">
        <v>2720</v>
      </c>
      <c r="B2536" s="10">
        <v>46119</v>
      </c>
      <c r="C2536" t="s">
        <v>194</v>
      </c>
      <c r="D2536" t="s">
        <v>101</v>
      </c>
      <c r="E2536" t="s">
        <v>136</v>
      </c>
      <c r="F2536" t="s">
        <v>14</v>
      </c>
      <c r="G2536">
        <v>155.86000000000001</v>
      </c>
      <c r="H2536" t="s">
        <v>15</v>
      </c>
      <c r="I2536" t="s">
        <v>36</v>
      </c>
      <c r="J2536" t="s">
        <v>103</v>
      </c>
    </row>
    <row r="2537" spans="1:10" x14ac:dyDescent="0.35">
      <c r="A2537" t="s">
        <v>2721</v>
      </c>
      <c r="B2537" s="10">
        <v>46120</v>
      </c>
      <c r="C2537" t="s">
        <v>125</v>
      </c>
      <c r="D2537" t="s">
        <v>12</v>
      </c>
      <c r="E2537" t="s">
        <v>13</v>
      </c>
      <c r="F2537" t="s">
        <v>14</v>
      </c>
      <c r="G2537">
        <v>44.06</v>
      </c>
      <c r="H2537" t="s">
        <v>21</v>
      </c>
      <c r="I2537" t="s">
        <v>36</v>
      </c>
      <c r="J2537" t="s">
        <v>44</v>
      </c>
    </row>
    <row r="2538" spans="1:10" x14ac:dyDescent="0.35">
      <c r="A2538" t="s">
        <v>2722</v>
      </c>
      <c r="B2538" s="10">
        <v>46120</v>
      </c>
      <c r="C2538" t="s">
        <v>113</v>
      </c>
      <c r="D2538" t="s">
        <v>34</v>
      </c>
      <c r="E2538" t="s">
        <v>40</v>
      </c>
      <c r="F2538" t="s">
        <v>14</v>
      </c>
      <c r="G2538">
        <v>59.05</v>
      </c>
      <c r="H2538" t="s">
        <v>15</v>
      </c>
      <c r="I2538" t="s">
        <v>22</v>
      </c>
      <c r="J2538" t="s">
        <v>37</v>
      </c>
    </row>
    <row r="2539" spans="1:10" x14ac:dyDescent="0.35">
      <c r="A2539" t="s">
        <v>2723</v>
      </c>
      <c r="B2539" s="10">
        <v>46120</v>
      </c>
      <c r="C2539" t="s">
        <v>251</v>
      </c>
      <c r="D2539" t="s">
        <v>29</v>
      </c>
      <c r="E2539" t="s">
        <v>151</v>
      </c>
      <c r="F2539" t="s">
        <v>14</v>
      </c>
      <c r="G2539">
        <v>29.81</v>
      </c>
      <c r="H2539" t="s">
        <v>15</v>
      </c>
      <c r="I2539" t="s">
        <v>36</v>
      </c>
      <c r="J2539" t="s">
        <v>31</v>
      </c>
    </row>
    <row r="2540" spans="1:10" x14ac:dyDescent="0.35">
      <c r="A2540" t="s">
        <v>2724</v>
      </c>
      <c r="B2540" s="10">
        <v>46120</v>
      </c>
      <c r="C2540" t="s">
        <v>153</v>
      </c>
      <c r="D2540" t="s">
        <v>34</v>
      </c>
      <c r="E2540" t="s">
        <v>122</v>
      </c>
      <c r="F2540" t="s">
        <v>14</v>
      </c>
      <c r="G2540">
        <v>167.23</v>
      </c>
      <c r="H2540" t="s">
        <v>15</v>
      </c>
      <c r="I2540" t="s">
        <v>47</v>
      </c>
      <c r="J2540" t="s">
        <v>41</v>
      </c>
    </row>
    <row r="2541" spans="1:10" x14ac:dyDescent="0.35">
      <c r="A2541" t="s">
        <v>2725</v>
      </c>
      <c r="B2541" s="10">
        <v>46120</v>
      </c>
      <c r="C2541" t="s">
        <v>155</v>
      </c>
      <c r="D2541" t="s">
        <v>12</v>
      </c>
      <c r="E2541" t="s">
        <v>51</v>
      </c>
      <c r="F2541" t="s">
        <v>14</v>
      </c>
      <c r="G2541">
        <v>29.27</v>
      </c>
      <c r="H2541" t="s">
        <v>15</v>
      </c>
      <c r="I2541" t="s">
        <v>36</v>
      </c>
      <c r="J2541" t="s">
        <v>48</v>
      </c>
    </row>
    <row r="2542" spans="1:10" x14ac:dyDescent="0.35">
      <c r="A2542" t="s">
        <v>2726</v>
      </c>
      <c r="B2542" s="10">
        <v>46120</v>
      </c>
      <c r="C2542" t="s">
        <v>220</v>
      </c>
      <c r="D2542" t="s">
        <v>59</v>
      </c>
      <c r="E2542" t="s">
        <v>199</v>
      </c>
      <c r="F2542" t="s">
        <v>14</v>
      </c>
      <c r="G2542">
        <v>229.2</v>
      </c>
      <c r="H2542" t="s">
        <v>21</v>
      </c>
      <c r="I2542" t="s">
        <v>22</v>
      </c>
      <c r="J2542" t="s">
        <v>211</v>
      </c>
    </row>
    <row r="2543" spans="1:10" x14ac:dyDescent="0.35">
      <c r="A2543" t="s">
        <v>2727</v>
      </c>
      <c r="B2543" s="10">
        <v>46120</v>
      </c>
      <c r="C2543" t="s">
        <v>130</v>
      </c>
      <c r="D2543" t="s">
        <v>12</v>
      </c>
      <c r="E2543" t="s">
        <v>26</v>
      </c>
      <c r="F2543" t="s">
        <v>14</v>
      </c>
      <c r="G2543">
        <v>115.45</v>
      </c>
      <c r="H2543" t="s">
        <v>15</v>
      </c>
      <c r="I2543" t="s">
        <v>22</v>
      </c>
      <c r="J2543" t="s">
        <v>48</v>
      </c>
    </row>
    <row r="2544" spans="1:10" x14ac:dyDescent="0.35">
      <c r="A2544" t="s">
        <v>2728</v>
      </c>
      <c r="B2544" s="10">
        <v>46121</v>
      </c>
      <c r="C2544" t="s">
        <v>43</v>
      </c>
      <c r="D2544" t="s">
        <v>12</v>
      </c>
      <c r="E2544" t="s">
        <v>26</v>
      </c>
      <c r="F2544" t="s">
        <v>14</v>
      </c>
      <c r="G2544">
        <v>45.16</v>
      </c>
      <c r="H2544" t="s">
        <v>21</v>
      </c>
      <c r="I2544" t="s">
        <v>22</v>
      </c>
      <c r="J2544" t="s">
        <v>44</v>
      </c>
    </row>
    <row r="2545" spans="1:10" x14ac:dyDescent="0.35">
      <c r="A2545" t="s">
        <v>2729</v>
      </c>
      <c r="B2545" s="10">
        <v>46121</v>
      </c>
      <c r="C2545" t="s">
        <v>88</v>
      </c>
      <c r="D2545" t="s">
        <v>54</v>
      </c>
      <c r="E2545" t="s">
        <v>74</v>
      </c>
      <c r="F2545" t="s">
        <v>54</v>
      </c>
      <c r="G2545">
        <v>2396.5100000000002</v>
      </c>
      <c r="H2545" t="s">
        <v>15</v>
      </c>
      <c r="I2545" t="s">
        <v>36</v>
      </c>
      <c r="J2545" t="s">
        <v>89</v>
      </c>
    </row>
    <row r="2546" spans="1:10" x14ac:dyDescent="0.35">
      <c r="A2546" t="s">
        <v>2730</v>
      </c>
      <c r="B2546" s="10">
        <v>46121</v>
      </c>
      <c r="C2546" t="s">
        <v>88</v>
      </c>
      <c r="D2546" t="s">
        <v>54</v>
      </c>
      <c r="E2546" t="s">
        <v>74</v>
      </c>
      <c r="F2546" t="s">
        <v>54</v>
      </c>
      <c r="G2546">
        <v>2650.88</v>
      </c>
      <c r="H2546" t="s">
        <v>21</v>
      </c>
      <c r="I2546" t="s">
        <v>16</v>
      </c>
      <c r="J2546" t="s">
        <v>89</v>
      </c>
    </row>
    <row r="2547" spans="1:10" x14ac:dyDescent="0.35">
      <c r="A2547" t="s">
        <v>2731</v>
      </c>
      <c r="B2547" s="10">
        <v>46121</v>
      </c>
      <c r="C2547" t="s">
        <v>248</v>
      </c>
      <c r="D2547" t="s">
        <v>80</v>
      </c>
      <c r="E2547" t="s">
        <v>81</v>
      </c>
      <c r="F2547" t="s">
        <v>14</v>
      </c>
      <c r="G2547">
        <v>45.65</v>
      </c>
      <c r="H2547" t="s">
        <v>15</v>
      </c>
      <c r="I2547" t="s">
        <v>22</v>
      </c>
      <c r="J2547" t="s">
        <v>161</v>
      </c>
    </row>
    <row r="2548" spans="1:10" x14ac:dyDescent="0.35">
      <c r="A2548" t="s">
        <v>2732</v>
      </c>
      <c r="B2548" s="10">
        <v>46121</v>
      </c>
      <c r="C2548" t="s">
        <v>251</v>
      </c>
      <c r="D2548" t="s">
        <v>29</v>
      </c>
      <c r="E2548" t="s">
        <v>151</v>
      </c>
      <c r="F2548" t="s">
        <v>14</v>
      </c>
      <c r="G2548">
        <v>15.42</v>
      </c>
      <c r="H2548" t="s">
        <v>15</v>
      </c>
      <c r="I2548" t="s">
        <v>47</v>
      </c>
      <c r="J2548" t="s">
        <v>31</v>
      </c>
    </row>
    <row r="2549" spans="1:10" x14ac:dyDescent="0.35">
      <c r="A2549" t="s">
        <v>2733</v>
      </c>
      <c r="B2549" s="10">
        <v>46122</v>
      </c>
      <c r="C2549" t="s">
        <v>177</v>
      </c>
      <c r="D2549" t="s">
        <v>54</v>
      </c>
      <c r="E2549" t="s">
        <v>74</v>
      </c>
      <c r="F2549" t="s">
        <v>54</v>
      </c>
      <c r="G2549">
        <v>2170.7800000000002</v>
      </c>
      <c r="H2549" t="s">
        <v>15</v>
      </c>
      <c r="I2549" t="s">
        <v>22</v>
      </c>
      <c r="J2549" t="s">
        <v>56</v>
      </c>
    </row>
    <row r="2550" spans="1:10" x14ac:dyDescent="0.35">
      <c r="A2550" t="s">
        <v>2734</v>
      </c>
      <c r="B2550" s="10">
        <v>46122</v>
      </c>
      <c r="C2550" t="s">
        <v>227</v>
      </c>
      <c r="D2550" t="s">
        <v>12</v>
      </c>
      <c r="E2550" t="s">
        <v>51</v>
      </c>
      <c r="F2550" t="s">
        <v>14</v>
      </c>
      <c r="G2550">
        <v>66.02</v>
      </c>
      <c r="H2550" t="s">
        <v>21</v>
      </c>
      <c r="I2550" t="s">
        <v>22</v>
      </c>
      <c r="J2550" t="s">
        <v>17</v>
      </c>
    </row>
    <row r="2551" spans="1:10" x14ac:dyDescent="0.35">
      <c r="A2551" t="s">
        <v>2735</v>
      </c>
      <c r="B2551" s="10">
        <v>46122</v>
      </c>
      <c r="C2551" t="s">
        <v>160</v>
      </c>
      <c r="D2551" t="s">
        <v>80</v>
      </c>
      <c r="E2551" t="s">
        <v>117</v>
      </c>
      <c r="F2551" t="s">
        <v>14</v>
      </c>
      <c r="G2551">
        <v>70.680000000000007</v>
      </c>
      <c r="H2551" t="s">
        <v>15</v>
      </c>
      <c r="I2551" t="s">
        <v>36</v>
      </c>
      <c r="J2551" t="s">
        <v>161</v>
      </c>
    </row>
    <row r="2552" spans="1:10" x14ac:dyDescent="0.35">
      <c r="A2552" t="s">
        <v>2736</v>
      </c>
      <c r="B2552" s="10">
        <v>46122</v>
      </c>
      <c r="C2552" t="s">
        <v>204</v>
      </c>
      <c r="D2552" t="s">
        <v>12</v>
      </c>
      <c r="E2552" t="s">
        <v>51</v>
      </c>
      <c r="F2552" t="s">
        <v>14</v>
      </c>
      <c r="G2552">
        <v>47.42</v>
      </c>
      <c r="H2552" t="s">
        <v>15</v>
      </c>
      <c r="I2552" t="s">
        <v>47</v>
      </c>
      <c r="J2552" t="s">
        <v>23</v>
      </c>
    </row>
    <row r="2553" spans="1:10" x14ac:dyDescent="0.35">
      <c r="A2553" t="s">
        <v>2737</v>
      </c>
      <c r="B2553" s="10">
        <v>46122</v>
      </c>
      <c r="C2553" t="s">
        <v>109</v>
      </c>
      <c r="D2553" t="s">
        <v>34</v>
      </c>
      <c r="E2553" t="s">
        <v>35</v>
      </c>
      <c r="F2553" t="s">
        <v>14</v>
      </c>
      <c r="G2553">
        <v>52.06</v>
      </c>
      <c r="H2553" t="s">
        <v>15</v>
      </c>
      <c r="I2553" t="s">
        <v>22</v>
      </c>
      <c r="J2553" t="s">
        <v>41</v>
      </c>
    </row>
    <row r="2554" spans="1:10" x14ac:dyDescent="0.35">
      <c r="A2554" t="s">
        <v>2738</v>
      </c>
      <c r="B2554" s="10">
        <v>46122</v>
      </c>
      <c r="C2554" t="s">
        <v>198</v>
      </c>
      <c r="D2554" t="s">
        <v>59</v>
      </c>
      <c r="E2554" t="s">
        <v>199</v>
      </c>
      <c r="F2554" t="s">
        <v>14</v>
      </c>
      <c r="G2554">
        <v>263.27</v>
      </c>
      <c r="H2554" t="s">
        <v>15</v>
      </c>
      <c r="I2554" t="s">
        <v>36</v>
      </c>
      <c r="J2554" t="s">
        <v>61</v>
      </c>
    </row>
    <row r="2555" spans="1:10" x14ac:dyDescent="0.35">
      <c r="A2555" t="s">
        <v>2739</v>
      </c>
      <c r="B2555" s="10">
        <v>46122</v>
      </c>
      <c r="C2555" t="s">
        <v>68</v>
      </c>
      <c r="D2555" t="s">
        <v>69</v>
      </c>
      <c r="E2555" t="s">
        <v>70</v>
      </c>
      <c r="F2555" t="s">
        <v>14</v>
      </c>
      <c r="G2555">
        <v>292.89</v>
      </c>
      <c r="H2555" t="s">
        <v>21</v>
      </c>
      <c r="I2555" t="s">
        <v>22</v>
      </c>
      <c r="J2555" t="s">
        <v>71</v>
      </c>
    </row>
    <row r="2556" spans="1:10" x14ac:dyDescent="0.35">
      <c r="A2556" t="s">
        <v>2740</v>
      </c>
      <c r="B2556" s="10">
        <v>46122</v>
      </c>
      <c r="C2556" t="s">
        <v>33</v>
      </c>
      <c r="D2556" t="s">
        <v>34</v>
      </c>
      <c r="E2556" t="s">
        <v>35</v>
      </c>
      <c r="F2556" t="s">
        <v>14</v>
      </c>
      <c r="G2556">
        <v>73.48</v>
      </c>
      <c r="H2556" t="s">
        <v>21</v>
      </c>
      <c r="I2556" t="s">
        <v>47</v>
      </c>
      <c r="J2556" t="s">
        <v>37</v>
      </c>
    </row>
    <row r="2557" spans="1:10" x14ac:dyDescent="0.35">
      <c r="A2557" t="s">
        <v>2741</v>
      </c>
      <c r="B2557" s="10">
        <v>46122</v>
      </c>
      <c r="C2557" t="s">
        <v>875</v>
      </c>
      <c r="D2557" t="s">
        <v>69</v>
      </c>
      <c r="E2557" t="s">
        <v>291</v>
      </c>
      <c r="F2557" t="s">
        <v>14</v>
      </c>
      <c r="G2557">
        <v>355.4</v>
      </c>
      <c r="H2557" t="s">
        <v>21</v>
      </c>
      <c r="I2557" t="s">
        <v>36</v>
      </c>
      <c r="J2557" t="s">
        <v>133</v>
      </c>
    </row>
    <row r="2558" spans="1:10" x14ac:dyDescent="0.35">
      <c r="A2558" t="s">
        <v>2742</v>
      </c>
      <c r="B2558" s="10">
        <v>46122</v>
      </c>
      <c r="C2558" t="s">
        <v>53</v>
      </c>
      <c r="D2558" t="s">
        <v>54</v>
      </c>
      <c r="E2558" t="s">
        <v>55</v>
      </c>
      <c r="F2558" t="s">
        <v>54</v>
      </c>
      <c r="G2558">
        <v>721.43</v>
      </c>
      <c r="H2558" t="s">
        <v>21</v>
      </c>
      <c r="I2558" t="s">
        <v>16</v>
      </c>
      <c r="J2558" t="s">
        <v>56</v>
      </c>
    </row>
    <row r="2559" spans="1:10" x14ac:dyDescent="0.35">
      <c r="A2559" t="s">
        <v>2743</v>
      </c>
      <c r="B2559" s="10">
        <v>46123</v>
      </c>
      <c r="C2559" t="s">
        <v>11</v>
      </c>
      <c r="D2559" t="s">
        <v>12</v>
      </c>
      <c r="E2559" t="s">
        <v>13</v>
      </c>
      <c r="F2559" t="s">
        <v>14</v>
      </c>
      <c r="G2559">
        <v>31.86</v>
      </c>
      <c r="H2559" t="s">
        <v>15</v>
      </c>
      <c r="I2559" t="s">
        <v>22</v>
      </c>
      <c r="J2559" t="s">
        <v>17</v>
      </c>
    </row>
    <row r="2560" spans="1:10" x14ac:dyDescent="0.35">
      <c r="A2560" t="s">
        <v>2744</v>
      </c>
      <c r="B2560" s="10">
        <v>46123</v>
      </c>
      <c r="C2560" t="s">
        <v>116</v>
      </c>
      <c r="D2560" t="s">
        <v>80</v>
      </c>
      <c r="E2560" t="s">
        <v>117</v>
      </c>
      <c r="F2560" t="s">
        <v>14</v>
      </c>
      <c r="G2560">
        <v>34.9</v>
      </c>
      <c r="H2560" t="s">
        <v>21</v>
      </c>
      <c r="I2560" t="s">
        <v>22</v>
      </c>
      <c r="J2560" t="s">
        <v>118</v>
      </c>
    </row>
    <row r="2561" spans="1:10" x14ac:dyDescent="0.35">
      <c r="A2561" t="s">
        <v>2745</v>
      </c>
      <c r="B2561" s="10">
        <v>46123</v>
      </c>
      <c r="C2561" t="s">
        <v>63</v>
      </c>
      <c r="D2561" t="s">
        <v>54</v>
      </c>
      <c r="E2561" t="s">
        <v>64</v>
      </c>
      <c r="F2561" t="s">
        <v>54</v>
      </c>
      <c r="G2561">
        <v>341.32</v>
      </c>
      <c r="H2561" t="s">
        <v>15</v>
      </c>
      <c r="I2561" t="s">
        <v>36</v>
      </c>
      <c r="J2561" t="s">
        <v>65</v>
      </c>
    </row>
    <row r="2562" spans="1:10" x14ac:dyDescent="0.35">
      <c r="A2562" t="s">
        <v>2746</v>
      </c>
      <c r="B2562" s="10">
        <v>46123</v>
      </c>
      <c r="C2562" t="s">
        <v>150</v>
      </c>
      <c r="D2562" t="s">
        <v>29</v>
      </c>
      <c r="E2562" t="s">
        <v>30</v>
      </c>
      <c r="F2562" t="s">
        <v>14</v>
      </c>
      <c r="G2562">
        <v>19.39</v>
      </c>
      <c r="H2562" t="s">
        <v>15</v>
      </c>
      <c r="I2562" t="s">
        <v>22</v>
      </c>
      <c r="J2562" t="s">
        <v>151</v>
      </c>
    </row>
    <row r="2563" spans="1:10" x14ac:dyDescent="0.35">
      <c r="A2563" t="s">
        <v>2747</v>
      </c>
      <c r="B2563" s="10">
        <v>46123</v>
      </c>
      <c r="C2563" t="s">
        <v>272</v>
      </c>
      <c r="D2563" t="s">
        <v>54</v>
      </c>
      <c r="E2563" t="s">
        <v>55</v>
      </c>
      <c r="F2563" t="s">
        <v>54</v>
      </c>
      <c r="G2563">
        <v>686.44</v>
      </c>
      <c r="H2563" t="s">
        <v>15</v>
      </c>
      <c r="I2563" t="s">
        <v>16</v>
      </c>
      <c r="J2563" t="s">
        <v>65</v>
      </c>
    </row>
    <row r="2564" spans="1:10" x14ac:dyDescent="0.35">
      <c r="A2564" t="s">
        <v>2748</v>
      </c>
      <c r="B2564" s="10">
        <v>46124</v>
      </c>
      <c r="C2564" t="s">
        <v>177</v>
      </c>
      <c r="D2564" t="s">
        <v>54</v>
      </c>
      <c r="E2564" t="s">
        <v>74</v>
      </c>
      <c r="F2564" t="s">
        <v>54</v>
      </c>
      <c r="G2564">
        <v>2597.77</v>
      </c>
      <c r="H2564" t="s">
        <v>21</v>
      </c>
      <c r="I2564" t="s">
        <v>16</v>
      </c>
      <c r="J2564" t="s">
        <v>56</v>
      </c>
    </row>
    <row r="2565" spans="1:10" x14ac:dyDescent="0.35">
      <c r="A2565" t="s">
        <v>2749</v>
      </c>
      <c r="B2565" s="10">
        <v>46124</v>
      </c>
      <c r="C2565" t="s">
        <v>155</v>
      </c>
      <c r="D2565" t="s">
        <v>12</v>
      </c>
      <c r="E2565" t="s">
        <v>51</v>
      </c>
      <c r="F2565" t="s">
        <v>14</v>
      </c>
      <c r="G2565">
        <v>159.41</v>
      </c>
      <c r="H2565" t="s">
        <v>21</v>
      </c>
      <c r="I2565" t="s">
        <v>22</v>
      </c>
      <c r="J2565" t="s">
        <v>48</v>
      </c>
    </row>
    <row r="2566" spans="1:10" x14ac:dyDescent="0.35">
      <c r="A2566" t="s">
        <v>2750</v>
      </c>
      <c r="B2566" s="10">
        <v>46124</v>
      </c>
      <c r="C2566" t="s">
        <v>415</v>
      </c>
      <c r="D2566" t="s">
        <v>12</v>
      </c>
      <c r="E2566" t="s">
        <v>51</v>
      </c>
      <c r="F2566" t="s">
        <v>14</v>
      </c>
      <c r="G2566">
        <v>35.54</v>
      </c>
      <c r="H2566" t="s">
        <v>15</v>
      </c>
      <c r="I2566" t="s">
        <v>36</v>
      </c>
      <c r="J2566" t="s">
        <v>77</v>
      </c>
    </row>
    <row r="2567" spans="1:10" x14ac:dyDescent="0.35">
      <c r="A2567" t="s">
        <v>2751</v>
      </c>
      <c r="B2567" s="10">
        <v>46124</v>
      </c>
      <c r="C2567" t="s">
        <v>153</v>
      </c>
      <c r="D2567" t="s">
        <v>34</v>
      </c>
      <c r="E2567" t="s">
        <v>122</v>
      </c>
      <c r="F2567" t="s">
        <v>14</v>
      </c>
      <c r="G2567">
        <v>127.98</v>
      </c>
      <c r="H2567" t="s">
        <v>21</v>
      </c>
      <c r="I2567" t="s">
        <v>36</v>
      </c>
      <c r="J2567" t="s">
        <v>41</v>
      </c>
    </row>
    <row r="2568" spans="1:10" x14ac:dyDescent="0.35">
      <c r="A2568" t="s">
        <v>2752</v>
      </c>
      <c r="B2568" s="10">
        <v>46124</v>
      </c>
      <c r="C2568" t="s">
        <v>28</v>
      </c>
      <c r="D2568" t="s">
        <v>29</v>
      </c>
      <c r="E2568" t="s">
        <v>30</v>
      </c>
      <c r="F2568" t="s">
        <v>14</v>
      </c>
      <c r="G2568">
        <v>20.37</v>
      </c>
      <c r="H2568" t="s">
        <v>15</v>
      </c>
      <c r="I2568" t="s">
        <v>47</v>
      </c>
      <c r="J2568" t="s">
        <v>31</v>
      </c>
    </row>
    <row r="2569" spans="1:10" x14ac:dyDescent="0.35">
      <c r="A2569" t="s">
        <v>2753</v>
      </c>
      <c r="B2569" s="10">
        <v>46124</v>
      </c>
      <c r="C2569" t="s">
        <v>130</v>
      </c>
      <c r="D2569" t="s">
        <v>12</v>
      </c>
      <c r="E2569" t="s">
        <v>26</v>
      </c>
      <c r="F2569" t="s">
        <v>14</v>
      </c>
      <c r="G2569">
        <v>54.64</v>
      </c>
      <c r="H2569" t="s">
        <v>15</v>
      </c>
      <c r="I2569" t="s">
        <v>36</v>
      </c>
      <c r="J2569" t="s">
        <v>48</v>
      </c>
    </row>
    <row r="2570" spans="1:10" x14ac:dyDescent="0.35">
      <c r="A2570" t="s">
        <v>2754</v>
      </c>
      <c r="B2570" s="10">
        <v>46125</v>
      </c>
      <c r="C2570" t="s">
        <v>121</v>
      </c>
      <c r="D2570" t="s">
        <v>34</v>
      </c>
      <c r="E2570" t="s">
        <v>122</v>
      </c>
      <c r="F2570" t="s">
        <v>14</v>
      </c>
      <c r="G2570">
        <v>105.11</v>
      </c>
      <c r="H2570" t="s">
        <v>15</v>
      </c>
      <c r="I2570" t="s">
        <v>22</v>
      </c>
      <c r="J2570" t="s">
        <v>123</v>
      </c>
    </row>
    <row r="2571" spans="1:10" x14ac:dyDescent="0.35">
      <c r="A2571" t="s">
        <v>2755</v>
      </c>
      <c r="B2571" s="10">
        <v>46125</v>
      </c>
      <c r="C2571" t="s">
        <v>238</v>
      </c>
      <c r="D2571" t="s">
        <v>34</v>
      </c>
      <c r="E2571" t="s">
        <v>35</v>
      </c>
      <c r="F2571" t="s">
        <v>14</v>
      </c>
      <c r="G2571">
        <v>97.86</v>
      </c>
      <c r="H2571" t="s">
        <v>15</v>
      </c>
      <c r="I2571" t="s">
        <v>22</v>
      </c>
      <c r="J2571" t="s">
        <v>239</v>
      </c>
    </row>
    <row r="2572" spans="1:10" x14ac:dyDescent="0.35">
      <c r="A2572" t="s">
        <v>2756</v>
      </c>
      <c r="B2572" s="10">
        <v>46125</v>
      </c>
      <c r="C2572" t="s">
        <v>88</v>
      </c>
      <c r="D2572" t="s">
        <v>54</v>
      </c>
      <c r="E2572" t="s">
        <v>74</v>
      </c>
      <c r="F2572" t="s">
        <v>54</v>
      </c>
      <c r="G2572">
        <v>2953.51</v>
      </c>
      <c r="H2572" t="s">
        <v>98</v>
      </c>
      <c r="I2572" t="s">
        <v>22</v>
      </c>
      <c r="J2572" t="s">
        <v>89</v>
      </c>
    </row>
    <row r="2573" spans="1:10" x14ac:dyDescent="0.35">
      <c r="A2573" t="s">
        <v>2757</v>
      </c>
      <c r="B2573" s="10">
        <v>46125</v>
      </c>
      <c r="C2573" t="s">
        <v>269</v>
      </c>
      <c r="D2573" t="s">
        <v>34</v>
      </c>
      <c r="E2573" t="s">
        <v>35</v>
      </c>
      <c r="F2573" t="s">
        <v>14</v>
      </c>
      <c r="G2573">
        <v>77.02</v>
      </c>
      <c r="H2573" t="s">
        <v>15</v>
      </c>
      <c r="I2573" t="s">
        <v>36</v>
      </c>
      <c r="J2573" t="s">
        <v>123</v>
      </c>
    </row>
    <row r="2574" spans="1:10" x14ac:dyDescent="0.35">
      <c r="A2574" t="s">
        <v>2758</v>
      </c>
      <c r="B2574" s="10">
        <v>46125</v>
      </c>
      <c r="C2574" t="s">
        <v>130</v>
      </c>
      <c r="D2574" t="s">
        <v>12</v>
      </c>
      <c r="E2574" t="s">
        <v>26</v>
      </c>
      <c r="F2574" t="s">
        <v>14</v>
      </c>
      <c r="G2574">
        <v>48.69</v>
      </c>
      <c r="H2574" t="s">
        <v>15</v>
      </c>
      <c r="I2574" t="s">
        <v>16</v>
      </c>
      <c r="J2574" t="s">
        <v>48</v>
      </c>
    </row>
    <row r="2575" spans="1:10" x14ac:dyDescent="0.35">
      <c r="A2575" t="s">
        <v>2759</v>
      </c>
      <c r="B2575" s="10">
        <v>46125</v>
      </c>
      <c r="C2575" t="s">
        <v>88</v>
      </c>
      <c r="D2575" t="s">
        <v>54</v>
      </c>
      <c r="E2575" t="s">
        <v>74</v>
      </c>
      <c r="F2575" t="s">
        <v>54</v>
      </c>
      <c r="G2575">
        <v>2492.7600000000002</v>
      </c>
      <c r="H2575" t="s">
        <v>15</v>
      </c>
      <c r="I2575" t="s">
        <v>47</v>
      </c>
      <c r="J2575" t="s">
        <v>89</v>
      </c>
    </row>
    <row r="2576" spans="1:10" x14ac:dyDescent="0.35">
      <c r="A2576" t="s">
        <v>2760</v>
      </c>
      <c r="B2576" s="10">
        <v>46125</v>
      </c>
      <c r="C2576" t="s">
        <v>543</v>
      </c>
      <c r="D2576" t="s">
        <v>69</v>
      </c>
      <c r="E2576" t="s">
        <v>70</v>
      </c>
      <c r="F2576" t="s">
        <v>14</v>
      </c>
      <c r="G2576">
        <v>824.59</v>
      </c>
      <c r="H2576" t="s">
        <v>21</v>
      </c>
      <c r="I2576" t="s">
        <v>16</v>
      </c>
      <c r="J2576" t="s">
        <v>292</v>
      </c>
    </row>
    <row r="2577" spans="1:10" x14ac:dyDescent="0.35">
      <c r="A2577" t="s">
        <v>2761</v>
      </c>
      <c r="B2577" s="10">
        <v>46126</v>
      </c>
      <c r="C2577" t="s">
        <v>177</v>
      </c>
      <c r="D2577" t="s">
        <v>54</v>
      </c>
      <c r="E2577" t="s">
        <v>74</v>
      </c>
      <c r="F2577" t="s">
        <v>54</v>
      </c>
      <c r="G2577">
        <v>2631.29</v>
      </c>
      <c r="H2577" t="s">
        <v>21</v>
      </c>
      <c r="I2577" t="s">
        <v>36</v>
      </c>
      <c r="J2577" t="s">
        <v>56</v>
      </c>
    </row>
    <row r="2578" spans="1:10" x14ac:dyDescent="0.35">
      <c r="A2578" t="s">
        <v>2762</v>
      </c>
      <c r="B2578" s="10">
        <v>46126</v>
      </c>
      <c r="C2578" t="s">
        <v>130</v>
      </c>
      <c r="D2578" t="s">
        <v>12</v>
      </c>
      <c r="E2578" t="s">
        <v>26</v>
      </c>
      <c r="F2578" t="s">
        <v>14</v>
      </c>
      <c r="G2578">
        <v>31.2</v>
      </c>
      <c r="H2578" t="s">
        <v>15</v>
      </c>
      <c r="I2578" t="s">
        <v>36</v>
      </c>
      <c r="J2578" t="s">
        <v>48</v>
      </c>
    </row>
    <row r="2579" spans="1:10" x14ac:dyDescent="0.35">
      <c r="A2579" t="s">
        <v>2763</v>
      </c>
      <c r="B2579" s="10">
        <v>46126</v>
      </c>
      <c r="C2579" t="s">
        <v>347</v>
      </c>
      <c r="D2579" t="s">
        <v>29</v>
      </c>
      <c r="E2579" t="s">
        <v>151</v>
      </c>
      <c r="F2579" t="s">
        <v>14</v>
      </c>
      <c r="G2579">
        <v>11.24</v>
      </c>
      <c r="H2579" t="s">
        <v>21</v>
      </c>
      <c r="I2579" t="s">
        <v>22</v>
      </c>
      <c r="J2579" t="s">
        <v>96</v>
      </c>
    </row>
    <row r="2580" spans="1:10" x14ac:dyDescent="0.35">
      <c r="A2580" t="s">
        <v>2764</v>
      </c>
      <c r="B2580" s="10">
        <v>46126</v>
      </c>
      <c r="C2580" t="s">
        <v>572</v>
      </c>
      <c r="D2580" t="s">
        <v>69</v>
      </c>
      <c r="E2580" t="s">
        <v>233</v>
      </c>
      <c r="F2580" t="s">
        <v>14</v>
      </c>
      <c r="G2580">
        <v>362.33</v>
      </c>
      <c r="H2580" t="s">
        <v>15</v>
      </c>
      <c r="I2580" t="s">
        <v>36</v>
      </c>
      <c r="J2580" t="s">
        <v>292</v>
      </c>
    </row>
    <row r="2581" spans="1:10" x14ac:dyDescent="0.35">
      <c r="A2581" t="s">
        <v>2765</v>
      </c>
      <c r="B2581" s="10">
        <v>46126</v>
      </c>
      <c r="C2581" t="s">
        <v>734</v>
      </c>
      <c r="D2581" t="s">
        <v>69</v>
      </c>
      <c r="E2581" t="s">
        <v>291</v>
      </c>
      <c r="F2581" t="s">
        <v>14</v>
      </c>
      <c r="G2581">
        <v>702.5</v>
      </c>
      <c r="H2581" t="s">
        <v>21</v>
      </c>
      <c r="I2581" t="s">
        <v>84</v>
      </c>
      <c r="J2581" t="s">
        <v>71</v>
      </c>
    </row>
    <row r="2582" spans="1:10" x14ac:dyDescent="0.35">
      <c r="A2582" t="s">
        <v>2766</v>
      </c>
      <c r="B2582" s="10">
        <v>46126</v>
      </c>
      <c r="C2582" t="s">
        <v>43</v>
      </c>
      <c r="D2582" t="s">
        <v>12</v>
      </c>
      <c r="E2582" t="s">
        <v>26</v>
      </c>
      <c r="F2582" t="s">
        <v>14</v>
      </c>
      <c r="G2582">
        <v>23.08</v>
      </c>
      <c r="H2582" t="s">
        <v>21</v>
      </c>
      <c r="I2582" t="s">
        <v>22</v>
      </c>
      <c r="J2582" t="s">
        <v>44</v>
      </c>
    </row>
    <row r="2583" spans="1:10" x14ac:dyDescent="0.35">
      <c r="A2583" t="s">
        <v>2767</v>
      </c>
      <c r="B2583" s="10">
        <v>46126</v>
      </c>
      <c r="C2583" t="s">
        <v>426</v>
      </c>
      <c r="D2583" t="s">
        <v>69</v>
      </c>
      <c r="E2583" t="s">
        <v>70</v>
      </c>
      <c r="F2583" t="s">
        <v>14</v>
      </c>
      <c r="G2583">
        <v>569.24</v>
      </c>
      <c r="H2583" t="s">
        <v>21</v>
      </c>
      <c r="I2583" t="s">
        <v>22</v>
      </c>
      <c r="J2583" t="s">
        <v>396</v>
      </c>
    </row>
    <row r="2584" spans="1:10" x14ac:dyDescent="0.35">
      <c r="A2584" t="s">
        <v>2768</v>
      </c>
      <c r="B2584" s="10">
        <v>46127</v>
      </c>
      <c r="C2584" t="s">
        <v>243</v>
      </c>
      <c r="D2584" t="s">
        <v>101</v>
      </c>
      <c r="E2584" t="s">
        <v>244</v>
      </c>
      <c r="F2584" t="s">
        <v>14</v>
      </c>
      <c r="G2584">
        <v>51.25</v>
      </c>
      <c r="H2584" t="s">
        <v>15</v>
      </c>
      <c r="I2584" t="s">
        <v>22</v>
      </c>
      <c r="J2584" t="s">
        <v>102</v>
      </c>
    </row>
    <row r="2585" spans="1:10" x14ac:dyDescent="0.35">
      <c r="A2585" t="s">
        <v>2769</v>
      </c>
      <c r="B2585" s="10">
        <v>46128</v>
      </c>
      <c r="C2585" t="s">
        <v>229</v>
      </c>
      <c r="D2585" t="s">
        <v>54</v>
      </c>
      <c r="E2585" t="s">
        <v>64</v>
      </c>
      <c r="F2585" t="s">
        <v>54</v>
      </c>
      <c r="G2585">
        <v>374.56</v>
      </c>
      <c r="H2585" t="s">
        <v>15</v>
      </c>
      <c r="I2585" t="s">
        <v>47</v>
      </c>
      <c r="J2585" t="s">
        <v>56</v>
      </c>
    </row>
    <row r="2586" spans="1:10" x14ac:dyDescent="0.35">
      <c r="A2586" t="s">
        <v>2770</v>
      </c>
      <c r="B2586" s="10">
        <v>46128</v>
      </c>
      <c r="C2586" t="s">
        <v>215</v>
      </c>
      <c r="D2586" t="s">
        <v>80</v>
      </c>
      <c r="E2586" t="s">
        <v>117</v>
      </c>
      <c r="F2586" t="s">
        <v>14</v>
      </c>
      <c r="G2586">
        <v>56.06</v>
      </c>
      <c r="H2586" t="s">
        <v>15</v>
      </c>
      <c r="I2586" t="s">
        <v>16</v>
      </c>
      <c r="J2586" t="s">
        <v>141</v>
      </c>
    </row>
    <row r="2587" spans="1:10" x14ac:dyDescent="0.35">
      <c r="A2587" t="s">
        <v>2771</v>
      </c>
      <c r="B2587" s="10">
        <v>46128</v>
      </c>
      <c r="C2587" t="s">
        <v>177</v>
      </c>
      <c r="D2587" t="s">
        <v>54</v>
      </c>
      <c r="E2587" t="s">
        <v>74</v>
      </c>
      <c r="F2587" t="s">
        <v>54</v>
      </c>
      <c r="G2587">
        <v>2158.8200000000002</v>
      </c>
      <c r="H2587" t="s">
        <v>15</v>
      </c>
      <c r="I2587" t="s">
        <v>47</v>
      </c>
      <c r="J2587" t="s">
        <v>56</v>
      </c>
    </row>
    <row r="2588" spans="1:10" x14ac:dyDescent="0.35">
      <c r="A2588" t="s">
        <v>2772</v>
      </c>
      <c r="B2588" s="10">
        <v>46129</v>
      </c>
      <c r="C2588" t="s">
        <v>415</v>
      </c>
      <c r="D2588" t="s">
        <v>12</v>
      </c>
      <c r="E2588" t="s">
        <v>51</v>
      </c>
      <c r="F2588" t="s">
        <v>14</v>
      </c>
      <c r="G2588">
        <v>48.37</v>
      </c>
      <c r="H2588" t="s">
        <v>21</v>
      </c>
      <c r="I2588" t="s">
        <v>36</v>
      </c>
      <c r="J2588" t="s">
        <v>77</v>
      </c>
    </row>
    <row r="2589" spans="1:10" x14ac:dyDescent="0.35">
      <c r="A2589" t="s">
        <v>2773</v>
      </c>
      <c r="B2589" s="10">
        <v>46129</v>
      </c>
      <c r="C2589" t="s">
        <v>411</v>
      </c>
      <c r="D2589" t="s">
        <v>29</v>
      </c>
      <c r="E2589" t="s">
        <v>151</v>
      </c>
      <c r="F2589" t="s">
        <v>14</v>
      </c>
      <c r="G2589">
        <v>18.79</v>
      </c>
      <c r="H2589" t="s">
        <v>15</v>
      </c>
      <c r="I2589" t="s">
        <v>47</v>
      </c>
      <c r="J2589" t="s">
        <v>151</v>
      </c>
    </row>
    <row r="2590" spans="1:10" x14ac:dyDescent="0.35">
      <c r="A2590" t="s">
        <v>2774</v>
      </c>
      <c r="B2590" s="10">
        <v>46129</v>
      </c>
      <c r="C2590" t="s">
        <v>298</v>
      </c>
      <c r="D2590" t="s">
        <v>59</v>
      </c>
      <c r="E2590" t="s">
        <v>185</v>
      </c>
      <c r="F2590" t="s">
        <v>14</v>
      </c>
      <c r="G2590">
        <v>571.29999999999995</v>
      </c>
      <c r="H2590" t="s">
        <v>15</v>
      </c>
      <c r="I2590" t="s">
        <v>22</v>
      </c>
      <c r="J2590" t="s">
        <v>170</v>
      </c>
    </row>
    <row r="2591" spans="1:10" x14ac:dyDescent="0.35">
      <c r="A2591" t="s">
        <v>2775</v>
      </c>
      <c r="B2591" s="10">
        <v>46129</v>
      </c>
      <c r="C2591" t="s">
        <v>267</v>
      </c>
      <c r="D2591" t="s">
        <v>29</v>
      </c>
      <c r="E2591" t="s">
        <v>30</v>
      </c>
      <c r="F2591" t="s">
        <v>14</v>
      </c>
      <c r="G2591">
        <v>22.99</v>
      </c>
      <c r="H2591" t="s">
        <v>21</v>
      </c>
      <c r="I2591" t="s">
        <v>16</v>
      </c>
      <c r="J2591" t="s">
        <v>96</v>
      </c>
    </row>
    <row r="2592" spans="1:10" x14ac:dyDescent="0.35">
      <c r="A2592" t="s">
        <v>2776</v>
      </c>
      <c r="B2592" s="10">
        <v>46129</v>
      </c>
      <c r="C2592" t="s">
        <v>153</v>
      </c>
      <c r="D2592" t="s">
        <v>34</v>
      </c>
      <c r="E2592" t="s">
        <v>122</v>
      </c>
      <c r="F2592" t="s">
        <v>14</v>
      </c>
      <c r="G2592">
        <v>80.8</v>
      </c>
      <c r="H2592" t="s">
        <v>15</v>
      </c>
      <c r="I2592" t="s">
        <v>22</v>
      </c>
      <c r="J2592" t="s">
        <v>41</v>
      </c>
    </row>
    <row r="2593" spans="1:10" x14ac:dyDescent="0.35">
      <c r="A2593" t="s">
        <v>2777</v>
      </c>
      <c r="B2593" s="10">
        <v>46129</v>
      </c>
      <c r="C2593" t="s">
        <v>251</v>
      </c>
      <c r="D2593" t="s">
        <v>29</v>
      </c>
      <c r="E2593" t="s">
        <v>151</v>
      </c>
      <c r="F2593" t="s">
        <v>14</v>
      </c>
      <c r="G2593">
        <v>27.26</v>
      </c>
      <c r="H2593" t="s">
        <v>98</v>
      </c>
      <c r="I2593" t="s">
        <v>22</v>
      </c>
      <c r="J2593" t="s">
        <v>31</v>
      </c>
    </row>
    <row r="2594" spans="1:10" x14ac:dyDescent="0.35">
      <c r="A2594" t="s">
        <v>2778</v>
      </c>
      <c r="B2594" s="10">
        <v>46130</v>
      </c>
      <c r="C2594" t="s">
        <v>138</v>
      </c>
      <c r="D2594" t="s">
        <v>12</v>
      </c>
      <c r="E2594" t="s">
        <v>26</v>
      </c>
      <c r="F2594" t="s">
        <v>14</v>
      </c>
      <c r="G2594">
        <v>18.010000000000002</v>
      </c>
      <c r="H2594" t="s">
        <v>15</v>
      </c>
      <c r="I2594" t="s">
        <v>36</v>
      </c>
      <c r="J2594" t="s">
        <v>77</v>
      </c>
    </row>
    <row r="2595" spans="1:10" x14ac:dyDescent="0.35">
      <c r="A2595" t="s">
        <v>2779</v>
      </c>
      <c r="B2595" s="10">
        <v>46130</v>
      </c>
      <c r="C2595" t="s">
        <v>177</v>
      </c>
      <c r="D2595" t="s">
        <v>54</v>
      </c>
      <c r="E2595" t="s">
        <v>74</v>
      </c>
      <c r="F2595" t="s">
        <v>54</v>
      </c>
      <c r="G2595">
        <v>2377.25</v>
      </c>
      <c r="H2595" t="s">
        <v>98</v>
      </c>
      <c r="I2595" t="s">
        <v>36</v>
      </c>
      <c r="J2595" t="s">
        <v>56</v>
      </c>
    </row>
    <row r="2596" spans="1:10" x14ac:dyDescent="0.35">
      <c r="A2596" t="s">
        <v>2780</v>
      </c>
      <c r="B2596" s="10">
        <v>46130</v>
      </c>
      <c r="C2596" t="s">
        <v>168</v>
      </c>
      <c r="D2596" t="s">
        <v>59</v>
      </c>
      <c r="E2596" t="s">
        <v>60</v>
      </c>
      <c r="F2596" t="s">
        <v>14</v>
      </c>
      <c r="G2596">
        <v>950</v>
      </c>
      <c r="H2596" t="s">
        <v>15</v>
      </c>
      <c r="I2596" t="s">
        <v>36</v>
      </c>
      <c r="J2596" t="s">
        <v>170</v>
      </c>
    </row>
    <row r="2597" spans="1:10" x14ac:dyDescent="0.35">
      <c r="A2597" t="s">
        <v>2781</v>
      </c>
      <c r="B2597" s="10">
        <v>46130</v>
      </c>
      <c r="C2597" t="s">
        <v>210</v>
      </c>
      <c r="D2597" t="s">
        <v>59</v>
      </c>
      <c r="E2597" t="s">
        <v>185</v>
      </c>
      <c r="F2597" t="s">
        <v>14</v>
      </c>
      <c r="G2597">
        <v>159.33000000000001</v>
      </c>
      <c r="H2597" t="s">
        <v>15</v>
      </c>
      <c r="I2597" t="s">
        <v>22</v>
      </c>
      <c r="J2597" t="s">
        <v>211</v>
      </c>
    </row>
    <row r="2598" spans="1:10" x14ac:dyDescent="0.35">
      <c r="A2598" t="s">
        <v>2782</v>
      </c>
      <c r="B2598" s="10">
        <v>46131</v>
      </c>
      <c r="C2598" t="s">
        <v>88</v>
      </c>
      <c r="D2598" t="s">
        <v>54</v>
      </c>
      <c r="E2598" t="s">
        <v>74</v>
      </c>
      <c r="F2598" t="s">
        <v>54</v>
      </c>
      <c r="G2598">
        <v>2811.95</v>
      </c>
      <c r="H2598" t="s">
        <v>15</v>
      </c>
      <c r="I2598" t="s">
        <v>36</v>
      </c>
      <c r="J2598" t="s">
        <v>89</v>
      </c>
    </row>
    <row r="2599" spans="1:10" x14ac:dyDescent="0.35">
      <c r="A2599" t="s">
        <v>2783</v>
      </c>
      <c r="B2599" s="10">
        <v>46131</v>
      </c>
      <c r="C2599" t="s">
        <v>63</v>
      </c>
      <c r="D2599" t="s">
        <v>54</v>
      </c>
      <c r="E2599" t="s">
        <v>64</v>
      </c>
      <c r="F2599" t="s">
        <v>54</v>
      </c>
      <c r="G2599">
        <v>366.64</v>
      </c>
      <c r="H2599" t="s">
        <v>21</v>
      </c>
      <c r="I2599" t="s">
        <v>16</v>
      </c>
      <c r="J2599" t="s">
        <v>65</v>
      </c>
    </row>
    <row r="2600" spans="1:10" x14ac:dyDescent="0.35">
      <c r="A2600" t="s">
        <v>2784</v>
      </c>
      <c r="B2600" s="10">
        <v>46131</v>
      </c>
      <c r="C2600" t="s">
        <v>411</v>
      </c>
      <c r="D2600" t="s">
        <v>29</v>
      </c>
      <c r="E2600" t="s">
        <v>151</v>
      </c>
      <c r="F2600" t="s">
        <v>14</v>
      </c>
      <c r="G2600">
        <v>14.82</v>
      </c>
      <c r="H2600" t="s">
        <v>15</v>
      </c>
      <c r="I2600" t="s">
        <v>22</v>
      </c>
      <c r="J2600" t="s">
        <v>151</v>
      </c>
    </row>
    <row r="2601" spans="1:10" x14ac:dyDescent="0.35">
      <c r="A2601" t="s">
        <v>2785</v>
      </c>
      <c r="B2601" s="10">
        <v>46131</v>
      </c>
      <c r="C2601" t="s">
        <v>94</v>
      </c>
      <c r="D2601" t="s">
        <v>29</v>
      </c>
      <c r="E2601" t="s">
        <v>95</v>
      </c>
      <c r="F2601" t="s">
        <v>14</v>
      </c>
      <c r="G2601">
        <v>21.95</v>
      </c>
      <c r="H2601" t="s">
        <v>21</v>
      </c>
      <c r="I2601" t="s">
        <v>36</v>
      </c>
      <c r="J2601" t="s">
        <v>96</v>
      </c>
    </row>
    <row r="2602" spans="1:10" x14ac:dyDescent="0.35">
      <c r="A2602" t="s">
        <v>2786</v>
      </c>
      <c r="B2602" s="10">
        <v>46131</v>
      </c>
      <c r="C2602" t="s">
        <v>175</v>
      </c>
      <c r="D2602" t="s">
        <v>80</v>
      </c>
      <c r="E2602" t="s">
        <v>92</v>
      </c>
      <c r="F2602" t="s">
        <v>14</v>
      </c>
      <c r="G2602">
        <v>63.6</v>
      </c>
      <c r="H2602" t="s">
        <v>15</v>
      </c>
      <c r="I2602" t="s">
        <v>16</v>
      </c>
      <c r="J2602" t="s">
        <v>141</v>
      </c>
    </row>
    <row r="2603" spans="1:10" x14ac:dyDescent="0.35">
      <c r="A2603" t="s">
        <v>2787</v>
      </c>
      <c r="B2603" s="10">
        <v>46131</v>
      </c>
      <c r="C2603" t="s">
        <v>298</v>
      </c>
      <c r="D2603" t="s">
        <v>59</v>
      </c>
      <c r="E2603" t="s">
        <v>185</v>
      </c>
      <c r="F2603" t="s">
        <v>14</v>
      </c>
      <c r="G2603">
        <v>179</v>
      </c>
      <c r="H2603" t="s">
        <v>21</v>
      </c>
      <c r="I2603" t="s">
        <v>36</v>
      </c>
      <c r="J2603" t="s">
        <v>170</v>
      </c>
    </row>
    <row r="2604" spans="1:10" x14ac:dyDescent="0.35">
      <c r="A2604" t="s">
        <v>2788</v>
      </c>
      <c r="B2604" s="10">
        <v>46131</v>
      </c>
      <c r="C2604" t="s">
        <v>28</v>
      </c>
      <c r="D2604" t="s">
        <v>29</v>
      </c>
      <c r="E2604" t="s">
        <v>30</v>
      </c>
      <c r="F2604" t="s">
        <v>14</v>
      </c>
      <c r="G2604">
        <v>15.55</v>
      </c>
      <c r="H2604" t="s">
        <v>15</v>
      </c>
      <c r="I2604" t="s">
        <v>36</v>
      </c>
      <c r="J2604" t="s">
        <v>31</v>
      </c>
    </row>
    <row r="2605" spans="1:10" x14ac:dyDescent="0.35">
      <c r="A2605" t="s">
        <v>2789</v>
      </c>
      <c r="B2605" s="10">
        <v>46132</v>
      </c>
      <c r="C2605" t="s">
        <v>168</v>
      </c>
      <c r="D2605" t="s">
        <v>59</v>
      </c>
      <c r="E2605" t="s">
        <v>60</v>
      </c>
      <c r="F2605" t="s">
        <v>14</v>
      </c>
      <c r="G2605">
        <v>678.32</v>
      </c>
      <c r="H2605" t="s">
        <v>15</v>
      </c>
      <c r="I2605" t="s">
        <v>84</v>
      </c>
      <c r="J2605" t="s">
        <v>170</v>
      </c>
    </row>
    <row r="2606" spans="1:10" x14ac:dyDescent="0.35">
      <c r="A2606" t="s">
        <v>2790</v>
      </c>
      <c r="B2606" s="10">
        <v>46132</v>
      </c>
      <c r="C2606" t="s">
        <v>253</v>
      </c>
      <c r="D2606" t="s">
        <v>29</v>
      </c>
      <c r="E2606" t="s">
        <v>30</v>
      </c>
      <c r="F2606" t="s">
        <v>14</v>
      </c>
      <c r="G2606">
        <v>17.010000000000002</v>
      </c>
      <c r="H2606" t="s">
        <v>15</v>
      </c>
      <c r="I2606" t="s">
        <v>16</v>
      </c>
      <c r="J2606" t="s">
        <v>158</v>
      </c>
    </row>
    <row r="2607" spans="1:10" x14ac:dyDescent="0.35">
      <c r="A2607" t="s">
        <v>2791</v>
      </c>
      <c r="B2607" s="10">
        <v>46132</v>
      </c>
      <c r="C2607" t="s">
        <v>111</v>
      </c>
      <c r="D2607" t="s">
        <v>12</v>
      </c>
      <c r="E2607" t="s">
        <v>26</v>
      </c>
      <c r="F2607" t="s">
        <v>14</v>
      </c>
      <c r="G2607">
        <v>63.41</v>
      </c>
      <c r="H2607" t="s">
        <v>15</v>
      </c>
      <c r="I2607" t="s">
        <v>22</v>
      </c>
      <c r="J2607" t="s">
        <v>23</v>
      </c>
    </row>
    <row r="2608" spans="1:10" x14ac:dyDescent="0.35">
      <c r="A2608" t="s">
        <v>2792</v>
      </c>
      <c r="B2608" s="10">
        <v>46132</v>
      </c>
      <c r="C2608" t="s">
        <v>58</v>
      </c>
      <c r="D2608" t="s">
        <v>59</v>
      </c>
      <c r="E2608" t="s">
        <v>60</v>
      </c>
      <c r="F2608" t="s">
        <v>14</v>
      </c>
      <c r="G2608">
        <v>236.52</v>
      </c>
      <c r="H2608" t="s">
        <v>15</v>
      </c>
      <c r="I2608" t="s">
        <v>22</v>
      </c>
      <c r="J2608" t="s">
        <v>61</v>
      </c>
    </row>
    <row r="2609" spans="1:10" x14ac:dyDescent="0.35">
      <c r="A2609" t="s">
        <v>2793</v>
      </c>
      <c r="B2609" s="10">
        <v>46133</v>
      </c>
      <c r="C2609" t="s">
        <v>281</v>
      </c>
      <c r="D2609" t="s">
        <v>34</v>
      </c>
      <c r="E2609" t="s">
        <v>40</v>
      </c>
      <c r="F2609" t="s">
        <v>14</v>
      </c>
      <c r="G2609">
        <v>42.78</v>
      </c>
      <c r="H2609" t="s">
        <v>21</v>
      </c>
      <c r="I2609" t="s">
        <v>36</v>
      </c>
      <c r="J2609" t="s">
        <v>123</v>
      </c>
    </row>
    <row r="2610" spans="1:10" x14ac:dyDescent="0.35">
      <c r="A2610" t="s">
        <v>2794</v>
      </c>
      <c r="B2610" s="10">
        <v>46133</v>
      </c>
      <c r="C2610" t="s">
        <v>94</v>
      </c>
      <c r="D2610" t="s">
        <v>29</v>
      </c>
      <c r="E2610" t="s">
        <v>95</v>
      </c>
      <c r="F2610" t="s">
        <v>14</v>
      </c>
      <c r="G2610">
        <v>21.52</v>
      </c>
      <c r="H2610" t="s">
        <v>15</v>
      </c>
      <c r="I2610" t="s">
        <v>36</v>
      </c>
      <c r="J2610" t="s">
        <v>96</v>
      </c>
    </row>
    <row r="2611" spans="1:10" x14ac:dyDescent="0.35">
      <c r="A2611" t="s">
        <v>2795</v>
      </c>
      <c r="B2611" s="10">
        <v>46133</v>
      </c>
      <c r="C2611" t="s">
        <v>100</v>
      </c>
      <c r="D2611" t="s">
        <v>101</v>
      </c>
      <c r="E2611" t="s">
        <v>102</v>
      </c>
      <c r="F2611" t="s">
        <v>14</v>
      </c>
      <c r="G2611">
        <v>44.86</v>
      </c>
      <c r="H2611" t="s">
        <v>15</v>
      </c>
      <c r="I2611" t="s">
        <v>36</v>
      </c>
      <c r="J2611" t="s">
        <v>103</v>
      </c>
    </row>
    <row r="2612" spans="1:10" x14ac:dyDescent="0.35">
      <c r="A2612" t="s">
        <v>2796</v>
      </c>
      <c r="B2612" s="10">
        <v>46133</v>
      </c>
      <c r="C2612" t="s">
        <v>415</v>
      </c>
      <c r="D2612" t="s">
        <v>12</v>
      </c>
      <c r="E2612" t="s">
        <v>51</v>
      </c>
      <c r="F2612" t="s">
        <v>14</v>
      </c>
      <c r="G2612">
        <v>82.87</v>
      </c>
      <c r="H2612" t="s">
        <v>21</v>
      </c>
      <c r="I2612" t="s">
        <v>22</v>
      </c>
      <c r="J2612" t="s">
        <v>77</v>
      </c>
    </row>
    <row r="2613" spans="1:10" x14ac:dyDescent="0.35">
      <c r="A2613" t="s">
        <v>2797</v>
      </c>
      <c r="B2613" s="10">
        <v>46133</v>
      </c>
      <c r="C2613" t="s">
        <v>217</v>
      </c>
      <c r="D2613" t="s">
        <v>80</v>
      </c>
      <c r="E2613" t="s">
        <v>81</v>
      </c>
      <c r="F2613" t="s">
        <v>14</v>
      </c>
      <c r="G2613">
        <v>171.33</v>
      </c>
      <c r="H2613" t="s">
        <v>21</v>
      </c>
      <c r="I2613" t="s">
        <v>47</v>
      </c>
      <c r="J2613" t="s">
        <v>180</v>
      </c>
    </row>
    <row r="2614" spans="1:10" x14ac:dyDescent="0.35">
      <c r="A2614" t="s">
        <v>2798</v>
      </c>
      <c r="B2614" s="10">
        <v>46134</v>
      </c>
      <c r="C2614" t="s">
        <v>350</v>
      </c>
      <c r="D2614" t="s">
        <v>29</v>
      </c>
      <c r="E2614" t="s">
        <v>151</v>
      </c>
      <c r="F2614" t="s">
        <v>14</v>
      </c>
      <c r="G2614">
        <v>15.32</v>
      </c>
      <c r="H2614" t="s">
        <v>21</v>
      </c>
      <c r="I2614" t="s">
        <v>22</v>
      </c>
      <c r="J2614" t="s">
        <v>158</v>
      </c>
    </row>
    <row r="2615" spans="1:10" x14ac:dyDescent="0.35">
      <c r="A2615" t="s">
        <v>2799</v>
      </c>
      <c r="B2615" s="10">
        <v>46134</v>
      </c>
      <c r="C2615" t="s">
        <v>259</v>
      </c>
      <c r="D2615" t="s">
        <v>59</v>
      </c>
      <c r="E2615" t="s">
        <v>199</v>
      </c>
      <c r="F2615" t="s">
        <v>14</v>
      </c>
      <c r="G2615">
        <v>950</v>
      </c>
      <c r="H2615" t="s">
        <v>15</v>
      </c>
      <c r="I2615" t="s">
        <v>36</v>
      </c>
      <c r="J2615" t="s">
        <v>170</v>
      </c>
    </row>
    <row r="2616" spans="1:10" x14ac:dyDescent="0.35">
      <c r="A2616" t="s">
        <v>2800</v>
      </c>
      <c r="B2616" s="10">
        <v>46134</v>
      </c>
      <c r="C2616" t="s">
        <v>73</v>
      </c>
      <c r="D2616" t="s">
        <v>54</v>
      </c>
      <c r="E2616" t="s">
        <v>74</v>
      </c>
      <c r="F2616" t="s">
        <v>54</v>
      </c>
      <c r="G2616">
        <v>2534.61</v>
      </c>
      <c r="H2616" t="s">
        <v>15</v>
      </c>
      <c r="I2616" t="s">
        <v>36</v>
      </c>
      <c r="J2616" t="s">
        <v>65</v>
      </c>
    </row>
    <row r="2617" spans="1:10" x14ac:dyDescent="0.35">
      <c r="A2617" t="s">
        <v>2801</v>
      </c>
      <c r="B2617" s="10">
        <v>46134</v>
      </c>
      <c r="C2617" t="s">
        <v>281</v>
      </c>
      <c r="D2617" t="s">
        <v>34</v>
      </c>
      <c r="E2617" t="s">
        <v>40</v>
      </c>
      <c r="F2617" t="s">
        <v>14</v>
      </c>
      <c r="G2617">
        <v>86.74</v>
      </c>
      <c r="H2617" t="s">
        <v>15</v>
      </c>
      <c r="I2617" t="s">
        <v>36</v>
      </c>
      <c r="J2617" t="s">
        <v>123</v>
      </c>
    </row>
    <row r="2618" spans="1:10" x14ac:dyDescent="0.35">
      <c r="A2618" t="s">
        <v>2802</v>
      </c>
      <c r="B2618" s="10">
        <v>46134</v>
      </c>
      <c r="C2618" t="s">
        <v>63</v>
      </c>
      <c r="D2618" t="s">
        <v>54</v>
      </c>
      <c r="E2618" t="s">
        <v>64</v>
      </c>
      <c r="F2618" t="s">
        <v>54</v>
      </c>
      <c r="G2618">
        <v>389.3</v>
      </c>
      <c r="H2618" t="s">
        <v>21</v>
      </c>
      <c r="I2618" t="s">
        <v>22</v>
      </c>
      <c r="J2618" t="s">
        <v>65</v>
      </c>
    </row>
    <row r="2619" spans="1:10" x14ac:dyDescent="0.35">
      <c r="A2619" t="s">
        <v>2803</v>
      </c>
      <c r="B2619" s="10">
        <v>46134</v>
      </c>
      <c r="C2619" t="s">
        <v>73</v>
      </c>
      <c r="D2619" t="s">
        <v>54</v>
      </c>
      <c r="E2619" t="s">
        <v>74</v>
      </c>
      <c r="F2619" t="s">
        <v>54</v>
      </c>
      <c r="G2619">
        <v>2983.81</v>
      </c>
      <c r="H2619" t="s">
        <v>15</v>
      </c>
      <c r="I2619" t="s">
        <v>16</v>
      </c>
      <c r="J2619" t="s">
        <v>65</v>
      </c>
    </row>
    <row r="2620" spans="1:10" x14ac:dyDescent="0.35">
      <c r="A2620" t="s">
        <v>2804</v>
      </c>
      <c r="B2620" s="10">
        <v>46135</v>
      </c>
      <c r="C2620" t="s">
        <v>91</v>
      </c>
      <c r="D2620" t="s">
        <v>80</v>
      </c>
      <c r="E2620" t="s">
        <v>92</v>
      </c>
      <c r="F2620" t="s">
        <v>14</v>
      </c>
      <c r="G2620">
        <v>62.1</v>
      </c>
      <c r="H2620" t="s">
        <v>15</v>
      </c>
      <c r="I2620" t="s">
        <v>36</v>
      </c>
      <c r="J2620" t="s">
        <v>82</v>
      </c>
    </row>
    <row r="2621" spans="1:10" x14ac:dyDescent="0.35">
      <c r="A2621" t="s">
        <v>2805</v>
      </c>
      <c r="B2621" s="10">
        <v>46135</v>
      </c>
      <c r="C2621" t="s">
        <v>229</v>
      </c>
      <c r="D2621" t="s">
        <v>54</v>
      </c>
      <c r="E2621" t="s">
        <v>64</v>
      </c>
      <c r="F2621" t="s">
        <v>54</v>
      </c>
      <c r="G2621">
        <v>336.4</v>
      </c>
      <c r="H2621" t="s">
        <v>21</v>
      </c>
      <c r="I2621" t="s">
        <v>47</v>
      </c>
      <c r="J2621" t="s">
        <v>56</v>
      </c>
    </row>
    <row r="2622" spans="1:10" x14ac:dyDescent="0.35">
      <c r="A2622" t="s">
        <v>2806</v>
      </c>
      <c r="B2622" s="10">
        <v>46135</v>
      </c>
      <c r="C2622" t="s">
        <v>28</v>
      </c>
      <c r="D2622" t="s">
        <v>29</v>
      </c>
      <c r="E2622" t="s">
        <v>30</v>
      </c>
      <c r="F2622" t="s">
        <v>14</v>
      </c>
      <c r="G2622">
        <v>32.03</v>
      </c>
      <c r="H2622" t="s">
        <v>98</v>
      </c>
      <c r="I2622" t="s">
        <v>22</v>
      </c>
      <c r="J2622" t="s">
        <v>31</v>
      </c>
    </row>
    <row r="2623" spans="1:10" x14ac:dyDescent="0.35">
      <c r="A2623" t="s">
        <v>2807</v>
      </c>
      <c r="B2623" s="10">
        <v>46135</v>
      </c>
      <c r="C2623" t="s">
        <v>130</v>
      </c>
      <c r="D2623" t="s">
        <v>12</v>
      </c>
      <c r="E2623" t="s">
        <v>26</v>
      </c>
      <c r="F2623" t="s">
        <v>14</v>
      </c>
      <c r="G2623">
        <v>62.08</v>
      </c>
      <c r="H2623" t="s">
        <v>15</v>
      </c>
      <c r="I2623" t="s">
        <v>47</v>
      </c>
      <c r="J2623" t="s">
        <v>48</v>
      </c>
    </row>
    <row r="2624" spans="1:10" x14ac:dyDescent="0.35">
      <c r="A2624" t="s">
        <v>2808</v>
      </c>
      <c r="B2624" s="10">
        <v>46135</v>
      </c>
      <c r="C2624" t="s">
        <v>259</v>
      </c>
      <c r="D2624" t="s">
        <v>59</v>
      </c>
      <c r="E2624" t="s">
        <v>199</v>
      </c>
      <c r="F2624" t="s">
        <v>14</v>
      </c>
      <c r="G2624">
        <v>226.88</v>
      </c>
      <c r="H2624" t="s">
        <v>15</v>
      </c>
      <c r="I2624" t="s">
        <v>22</v>
      </c>
      <c r="J2624" t="s">
        <v>170</v>
      </c>
    </row>
    <row r="2625" spans="1:10" x14ac:dyDescent="0.35">
      <c r="A2625" t="s">
        <v>2809</v>
      </c>
      <c r="B2625" s="10">
        <v>46135</v>
      </c>
      <c r="C2625" t="s">
        <v>63</v>
      </c>
      <c r="D2625" t="s">
        <v>54</v>
      </c>
      <c r="E2625" t="s">
        <v>64</v>
      </c>
      <c r="F2625" t="s">
        <v>54</v>
      </c>
      <c r="G2625">
        <v>334.54</v>
      </c>
      <c r="H2625" t="s">
        <v>15</v>
      </c>
      <c r="I2625" t="s">
        <v>22</v>
      </c>
      <c r="J2625" t="s">
        <v>65</v>
      </c>
    </row>
    <row r="2626" spans="1:10" x14ac:dyDescent="0.35">
      <c r="A2626" t="s">
        <v>2810</v>
      </c>
      <c r="B2626" s="10">
        <v>46135</v>
      </c>
      <c r="C2626" t="s">
        <v>88</v>
      </c>
      <c r="D2626" t="s">
        <v>54</v>
      </c>
      <c r="E2626" t="s">
        <v>74</v>
      </c>
      <c r="F2626" t="s">
        <v>54</v>
      </c>
      <c r="G2626">
        <v>2384.36</v>
      </c>
      <c r="H2626" t="s">
        <v>15</v>
      </c>
      <c r="I2626" t="s">
        <v>84</v>
      </c>
      <c r="J2626" t="s">
        <v>89</v>
      </c>
    </row>
    <row r="2627" spans="1:10" x14ac:dyDescent="0.35">
      <c r="A2627" t="s">
        <v>2811</v>
      </c>
      <c r="B2627" s="10">
        <v>46135</v>
      </c>
      <c r="C2627" t="s">
        <v>153</v>
      </c>
      <c r="D2627" t="s">
        <v>34</v>
      </c>
      <c r="E2627" t="s">
        <v>122</v>
      </c>
      <c r="F2627" t="s">
        <v>14</v>
      </c>
      <c r="G2627">
        <v>142.4</v>
      </c>
      <c r="H2627" t="s">
        <v>15</v>
      </c>
      <c r="I2627" t="s">
        <v>47</v>
      </c>
      <c r="J2627" t="s">
        <v>41</v>
      </c>
    </row>
    <row r="2628" spans="1:10" x14ac:dyDescent="0.35">
      <c r="A2628" t="s">
        <v>2812</v>
      </c>
      <c r="B2628" s="10">
        <v>46135</v>
      </c>
      <c r="C2628" t="s">
        <v>130</v>
      </c>
      <c r="D2628" t="s">
        <v>12</v>
      </c>
      <c r="E2628" t="s">
        <v>26</v>
      </c>
      <c r="F2628" t="s">
        <v>14</v>
      </c>
      <c r="G2628">
        <v>180</v>
      </c>
      <c r="H2628" t="s">
        <v>15</v>
      </c>
      <c r="I2628" t="s">
        <v>22</v>
      </c>
      <c r="J2628" t="s">
        <v>48</v>
      </c>
    </row>
    <row r="2629" spans="1:10" x14ac:dyDescent="0.35">
      <c r="A2629" t="s">
        <v>2813</v>
      </c>
      <c r="B2629" s="10">
        <v>46136</v>
      </c>
      <c r="C2629" t="s">
        <v>73</v>
      </c>
      <c r="D2629" t="s">
        <v>54</v>
      </c>
      <c r="E2629" t="s">
        <v>74</v>
      </c>
      <c r="F2629" t="s">
        <v>54</v>
      </c>
      <c r="G2629">
        <v>2912</v>
      </c>
      <c r="H2629" t="s">
        <v>21</v>
      </c>
      <c r="I2629" t="s">
        <v>22</v>
      </c>
      <c r="J2629" t="s">
        <v>65</v>
      </c>
    </row>
    <row r="2630" spans="1:10" x14ac:dyDescent="0.35">
      <c r="A2630" t="s">
        <v>2814</v>
      </c>
      <c r="B2630" s="10">
        <v>46136</v>
      </c>
      <c r="C2630" t="s">
        <v>132</v>
      </c>
      <c r="D2630" t="s">
        <v>69</v>
      </c>
      <c r="E2630" t="s">
        <v>70</v>
      </c>
      <c r="F2630" t="s">
        <v>14</v>
      </c>
      <c r="G2630">
        <v>303.60000000000002</v>
      </c>
      <c r="H2630" t="s">
        <v>15</v>
      </c>
      <c r="I2630" t="s">
        <v>22</v>
      </c>
      <c r="J2630" t="s">
        <v>133</v>
      </c>
    </row>
    <row r="2631" spans="1:10" x14ac:dyDescent="0.35">
      <c r="A2631" t="s">
        <v>2815</v>
      </c>
      <c r="B2631" s="10">
        <v>46136</v>
      </c>
      <c r="C2631" t="s">
        <v>11</v>
      </c>
      <c r="D2631" t="s">
        <v>12</v>
      </c>
      <c r="E2631" t="s">
        <v>13</v>
      </c>
      <c r="F2631" t="s">
        <v>14</v>
      </c>
      <c r="G2631">
        <v>43.68</v>
      </c>
      <c r="H2631" t="s">
        <v>15</v>
      </c>
      <c r="I2631" t="s">
        <v>47</v>
      </c>
      <c r="J2631" t="s">
        <v>17</v>
      </c>
    </row>
    <row r="2632" spans="1:10" x14ac:dyDescent="0.35">
      <c r="A2632" t="s">
        <v>2816</v>
      </c>
      <c r="B2632" s="10">
        <v>46136</v>
      </c>
      <c r="C2632" t="s">
        <v>324</v>
      </c>
      <c r="D2632" t="s">
        <v>80</v>
      </c>
      <c r="E2632" t="s">
        <v>92</v>
      </c>
      <c r="F2632" t="s">
        <v>14</v>
      </c>
      <c r="G2632">
        <v>29.49</v>
      </c>
      <c r="H2632" t="s">
        <v>21</v>
      </c>
      <c r="I2632" t="s">
        <v>16</v>
      </c>
      <c r="J2632" t="s">
        <v>161</v>
      </c>
    </row>
    <row r="2633" spans="1:10" x14ac:dyDescent="0.35">
      <c r="A2633" t="s">
        <v>2817</v>
      </c>
      <c r="B2633" s="10">
        <v>46136</v>
      </c>
      <c r="C2633" t="s">
        <v>109</v>
      </c>
      <c r="D2633" t="s">
        <v>34</v>
      </c>
      <c r="E2633" t="s">
        <v>35</v>
      </c>
      <c r="F2633" t="s">
        <v>14</v>
      </c>
      <c r="G2633">
        <v>193.51</v>
      </c>
      <c r="H2633" t="s">
        <v>15</v>
      </c>
      <c r="I2633" t="s">
        <v>22</v>
      </c>
      <c r="J2633" t="s">
        <v>41</v>
      </c>
    </row>
    <row r="2634" spans="1:10" x14ac:dyDescent="0.35">
      <c r="A2634" t="s">
        <v>2818</v>
      </c>
      <c r="B2634" s="10">
        <v>46136</v>
      </c>
      <c r="C2634" t="s">
        <v>163</v>
      </c>
      <c r="D2634" t="s">
        <v>80</v>
      </c>
      <c r="E2634" t="s">
        <v>92</v>
      </c>
      <c r="F2634" t="s">
        <v>14</v>
      </c>
      <c r="G2634">
        <v>80.05</v>
      </c>
      <c r="H2634" t="s">
        <v>98</v>
      </c>
      <c r="I2634" t="s">
        <v>36</v>
      </c>
      <c r="J2634" t="s">
        <v>118</v>
      </c>
    </row>
    <row r="2635" spans="1:10" x14ac:dyDescent="0.35">
      <c r="A2635" t="s">
        <v>2819</v>
      </c>
      <c r="B2635" s="10">
        <v>46136</v>
      </c>
      <c r="C2635" t="s">
        <v>25</v>
      </c>
      <c r="D2635" t="s">
        <v>12</v>
      </c>
      <c r="E2635" t="s">
        <v>26</v>
      </c>
      <c r="F2635" t="s">
        <v>14</v>
      </c>
      <c r="G2635">
        <v>110.32</v>
      </c>
      <c r="H2635" t="s">
        <v>21</v>
      </c>
      <c r="I2635" t="s">
        <v>36</v>
      </c>
      <c r="J2635" t="s">
        <v>17</v>
      </c>
    </row>
    <row r="2636" spans="1:10" x14ac:dyDescent="0.35">
      <c r="A2636" t="s">
        <v>2820</v>
      </c>
      <c r="B2636" s="10">
        <v>46136</v>
      </c>
      <c r="C2636" t="s">
        <v>179</v>
      </c>
      <c r="D2636" t="s">
        <v>80</v>
      </c>
      <c r="E2636" t="s">
        <v>117</v>
      </c>
      <c r="F2636" t="s">
        <v>14</v>
      </c>
      <c r="G2636">
        <v>18.920000000000002</v>
      </c>
      <c r="H2636" t="s">
        <v>21</v>
      </c>
      <c r="I2636" t="s">
        <v>36</v>
      </c>
      <c r="J2636" t="s">
        <v>180</v>
      </c>
    </row>
    <row r="2637" spans="1:10" x14ac:dyDescent="0.35">
      <c r="A2637" t="s">
        <v>2821</v>
      </c>
      <c r="B2637" s="10">
        <v>46137</v>
      </c>
      <c r="C2637" t="s">
        <v>253</v>
      </c>
      <c r="D2637" t="s">
        <v>29</v>
      </c>
      <c r="E2637" t="s">
        <v>30</v>
      </c>
      <c r="F2637" t="s">
        <v>14</v>
      </c>
      <c r="G2637">
        <v>47.99</v>
      </c>
      <c r="H2637" t="s">
        <v>15</v>
      </c>
      <c r="I2637" t="s">
        <v>47</v>
      </c>
      <c r="J2637" t="s">
        <v>158</v>
      </c>
    </row>
    <row r="2638" spans="1:10" x14ac:dyDescent="0.35">
      <c r="A2638" t="s">
        <v>2822</v>
      </c>
      <c r="B2638" s="10">
        <v>46137</v>
      </c>
      <c r="C2638" t="s">
        <v>163</v>
      </c>
      <c r="D2638" t="s">
        <v>80</v>
      </c>
      <c r="E2638" t="s">
        <v>92</v>
      </c>
      <c r="F2638" t="s">
        <v>14</v>
      </c>
      <c r="G2638">
        <v>206.68</v>
      </c>
      <c r="H2638" t="s">
        <v>15</v>
      </c>
      <c r="I2638" t="s">
        <v>22</v>
      </c>
      <c r="J2638" t="s">
        <v>118</v>
      </c>
    </row>
    <row r="2639" spans="1:10" x14ac:dyDescent="0.35">
      <c r="A2639" t="s">
        <v>2823</v>
      </c>
      <c r="B2639" s="10">
        <v>46137</v>
      </c>
      <c r="C2639" t="s">
        <v>345</v>
      </c>
      <c r="D2639" t="s">
        <v>59</v>
      </c>
      <c r="E2639" t="s">
        <v>60</v>
      </c>
      <c r="F2639" t="s">
        <v>14</v>
      </c>
      <c r="G2639">
        <v>209.73</v>
      </c>
      <c r="H2639" t="s">
        <v>15</v>
      </c>
      <c r="I2639" t="s">
        <v>47</v>
      </c>
      <c r="J2639" t="s">
        <v>211</v>
      </c>
    </row>
    <row r="2640" spans="1:10" x14ac:dyDescent="0.35">
      <c r="A2640" t="s">
        <v>2824</v>
      </c>
      <c r="B2640" s="10">
        <v>46137</v>
      </c>
      <c r="C2640" t="s">
        <v>39</v>
      </c>
      <c r="D2640" t="s">
        <v>34</v>
      </c>
      <c r="E2640" t="s">
        <v>40</v>
      </c>
      <c r="F2640" t="s">
        <v>14</v>
      </c>
      <c r="G2640">
        <v>232.8</v>
      </c>
      <c r="H2640" t="s">
        <v>15</v>
      </c>
      <c r="I2640" t="s">
        <v>22</v>
      </c>
      <c r="J2640" t="s">
        <v>41</v>
      </c>
    </row>
    <row r="2641" spans="1:10" x14ac:dyDescent="0.35">
      <c r="A2641" t="s">
        <v>2825</v>
      </c>
      <c r="B2641" s="10">
        <v>46138</v>
      </c>
      <c r="C2641" t="s">
        <v>132</v>
      </c>
      <c r="D2641" t="s">
        <v>69</v>
      </c>
      <c r="E2641" t="s">
        <v>70</v>
      </c>
      <c r="F2641" t="s">
        <v>14</v>
      </c>
      <c r="G2641">
        <v>255.38</v>
      </c>
      <c r="H2641" t="s">
        <v>15</v>
      </c>
      <c r="I2641" t="s">
        <v>22</v>
      </c>
      <c r="J2641" t="s">
        <v>133</v>
      </c>
    </row>
    <row r="2642" spans="1:10" x14ac:dyDescent="0.35">
      <c r="A2642" t="s">
        <v>2826</v>
      </c>
      <c r="B2642" s="10">
        <v>46138</v>
      </c>
      <c r="C2642" t="s">
        <v>157</v>
      </c>
      <c r="D2642" t="s">
        <v>29</v>
      </c>
      <c r="E2642" t="s">
        <v>95</v>
      </c>
      <c r="F2642" t="s">
        <v>14</v>
      </c>
      <c r="G2642">
        <v>13.64</v>
      </c>
      <c r="H2642" t="s">
        <v>15</v>
      </c>
      <c r="I2642" t="s">
        <v>47</v>
      </c>
      <c r="J2642" t="s">
        <v>158</v>
      </c>
    </row>
    <row r="2643" spans="1:10" x14ac:dyDescent="0.35">
      <c r="A2643" t="s">
        <v>2827</v>
      </c>
      <c r="B2643" s="10">
        <v>46138</v>
      </c>
      <c r="C2643" t="s">
        <v>269</v>
      </c>
      <c r="D2643" t="s">
        <v>34</v>
      </c>
      <c r="E2643" t="s">
        <v>35</v>
      </c>
      <c r="F2643" t="s">
        <v>14</v>
      </c>
      <c r="G2643">
        <v>249.74</v>
      </c>
      <c r="H2643" t="s">
        <v>21</v>
      </c>
      <c r="I2643" t="s">
        <v>47</v>
      </c>
      <c r="J2643" t="s">
        <v>123</v>
      </c>
    </row>
    <row r="2644" spans="1:10" x14ac:dyDescent="0.35">
      <c r="A2644" t="s">
        <v>2828</v>
      </c>
      <c r="B2644" s="10">
        <v>46138</v>
      </c>
      <c r="C2644" t="s">
        <v>198</v>
      </c>
      <c r="D2644" t="s">
        <v>59</v>
      </c>
      <c r="E2644" t="s">
        <v>199</v>
      </c>
      <c r="F2644" t="s">
        <v>14</v>
      </c>
      <c r="G2644">
        <v>141.53</v>
      </c>
      <c r="H2644" t="s">
        <v>15</v>
      </c>
      <c r="I2644" t="s">
        <v>22</v>
      </c>
      <c r="J2644" t="s">
        <v>61</v>
      </c>
    </row>
    <row r="2645" spans="1:10" x14ac:dyDescent="0.35">
      <c r="A2645" t="s">
        <v>2829</v>
      </c>
      <c r="B2645" s="10">
        <v>46138</v>
      </c>
      <c r="C2645" t="s">
        <v>168</v>
      </c>
      <c r="D2645" t="s">
        <v>59</v>
      </c>
      <c r="E2645" t="s">
        <v>60</v>
      </c>
      <c r="F2645" t="s">
        <v>14</v>
      </c>
      <c r="G2645">
        <v>271.39999999999998</v>
      </c>
      <c r="H2645" t="s">
        <v>15</v>
      </c>
      <c r="I2645" t="s">
        <v>22</v>
      </c>
      <c r="J2645" t="s">
        <v>170</v>
      </c>
    </row>
    <row r="2646" spans="1:10" x14ac:dyDescent="0.35">
      <c r="A2646" t="s">
        <v>2830</v>
      </c>
      <c r="B2646" s="10">
        <v>46138</v>
      </c>
      <c r="C2646" t="s">
        <v>25</v>
      </c>
      <c r="D2646" t="s">
        <v>12</v>
      </c>
      <c r="E2646" t="s">
        <v>26</v>
      </c>
      <c r="F2646" t="s">
        <v>14</v>
      </c>
      <c r="G2646">
        <v>29.55</v>
      </c>
      <c r="H2646" t="s">
        <v>15</v>
      </c>
      <c r="I2646" t="s">
        <v>16</v>
      </c>
      <c r="J2646" t="s">
        <v>17</v>
      </c>
    </row>
    <row r="2647" spans="1:10" x14ac:dyDescent="0.35">
      <c r="A2647" t="s">
        <v>2831</v>
      </c>
      <c r="B2647" s="10">
        <v>46139</v>
      </c>
      <c r="C2647" t="s">
        <v>210</v>
      </c>
      <c r="D2647" t="s">
        <v>59</v>
      </c>
      <c r="E2647" t="s">
        <v>185</v>
      </c>
      <c r="F2647" t="s">
        <v>14</v>
      </c>
      <c r="G2647">
        <v>76.900000000000006</v>
      </c>
      <c r="H2647" t="s">
        <v>15</v>
      </c>
      <c r="I2647" t="s">
        <v>16</v>
      </c>
      <c r="J2647" t="s">
        <v>211</v>
      </c>
    </row>
    <row r="2648" spans="1:10" x14ac:dyDescent="0.35">
      <c r="A2648" t="s">
        <v>2832</v>
      </c>
      <c r="B2648" s="10">
        <v>46139</v>
      </c>
      <c r="C2648" t="s">
        <v>140</v>
      </c>
      <c r="D2648" t="s">
        <v>80</v>
      </c>
      <c r="E2648" t="s">
        <v>81</v>
      </c>
      <c r="F2648" t="s">
        <v>14</v>
      </c>
      <c r="G2648">
        <v>72.61</v>
      </c>
      <c r="H2648" t="s">
        <v>21</v>
      </c>
      <c r="I2648" t="s">
        <v>22</v>
      </c>
      <c r="J2648" t="s">
        <v>141</v>
      </c>
    </row>
    <row r="2649" spans="1:10" x14ac:dyDescent="0.35">
      <c r="A2649" t="s">
        <v>2833</v>
      </c>
      <c r="B2649" s="10">
        <v>46139</v>
      </c>
      <c r="C2649" t="s">
        <v>281</v>
      </c>
      <c r="D2649" t="s">
        <v>34</v>
      </c>
      <c r="E2649" t="s">
        <v>40</v>
      </c>
      <c r="F2649" t="s">
        <v>14</v>
      </c>
      <c r="G2649">
        <v>69.77</v>
      </c>
      <c r="H2649" t="s">
        <v>15</v>
      </c>
      <c r="I2649" t="s">
        <v>47</v>
      </c>
      <c r="J2649" t="s">
        <v>123</v>
      </c>
    </row>
    <row r="2650" spans="1:10" x14ac:dyDescent="0.35">
      <c r="A2650" t="s">
        <v>2834</v>
      </c>
      <c r="B2650" s="10">
        <v>46139</v>
      </c>
      <c r="C2650" t="s">
        <v>121</v>
      </c>
      <c r="D2650" t="s">
        <v>34</v>
      </c>
      <c r="E2650" t="s">
        <v>122</v>
      </c>
      <c r="F2650" t="s">
        <v>14</v>
      </c>
      <c r="G2650">
        <v>177.46</v>
      </c>
      <c r="H2650" t="s">
        <v>15</v>
      </c>
      <c r="I2650" t="s">
        <v>22</v>
      </c>
      <c r="J2650" t="s">
        <v>123</v>
      </c>
    </row>
    <row r="2651" spans="1:10" x14ac:dyDescent="0.35">
      <c r="A2651" t="s">
        <v>2835</v>
      </c>
      <c r="B2651" s="10">
        <v>46139</v>
      </c>
      <c r="C2651" t="s">
        <v>238</v>
      </c>
      <c r="D2651" t="s">
        <v>34</v>
      </c>
      <c r="E2651" t="s">
        <v>35</v>
      </c>
      <c r="F2651" t="s">
        <v>14</v>
      </c>
      <c r="G2651">
        <v>78.75</v>
      </c>
      <c r="H2651" t="s">
        <v>21</v>
      </c>
      <c r="I2651" t="s">
        <v>16</v>
      </c>
      <c r="J2651" t="s">
        <v>239</v>
      </c>
    </row>
    <row r="2652" spans="1:10" x14ac:dyDescent="0.35">
      <c r="A2652" t="s">
        <v>2836</v>
      </c>
      <c r="B2652" s="10">
        <v>46139</v>
      </c>
      <c r="C2652" t="s">
        <v>229</v>
      </c>
      <c r="D2652" t="s">
        <v>54</v>
      </c>
      <c r="E2652" t="s">
        <v>64</v>
      </c>
      <c r="F2652" t="s">
        <v>54</v>
      </c>
      <c r="G2652">
        <v>390.05</v>
      </c>
      <c r="H2652" t="s">
        <v>15</v>
      </c>
      <c r="I2652" t="s">
        <v>36</v>
      </c>
      <c r="J2652" t="s">
        <v>56</v>
      </c>
    </row>
    <row r="2653" spans="1:10" x14ac:dyDescent="0.35">
      <c r="A2653" t="s">
        <v>2837</v>
      </c>
      <c r="B2653" s="10">
        <v>46139</v>
      </c>
      <c r="C2653" t="s">
        <v>33</v>
      </c>
      <c r="D2653" t="s">
        <v>34</v>
      </c>
      <c r="E2653" t="s">
        <v>35</v>
      </c>
      <c r="F2653" t="s">
        <v>14</v>
      </c>
      <c r="G2653">
        <v>135.21</v>
      </c>
      <c r="H2653" t="s">
        <v>15</v>
      </c>
      <c r="I2653" t="s">
        <v>22</v>
      </c>
      <c r="J2653" t="s">
        <v>37</v>
      </c>
    </row>
    <row r="2654" spans="1:10" x14ac:dyDescent="0.35">
      <c r="A2654" t="s">
        <v>2838</v>
      </c>
      <c r="B2654" s="10">
        <v>46139</v>
      </c>
      <c r="C2654" t="s">
        <v>113</v>
      </c>
      <c r="D2654" t="s">
        <v>34</v>
      </c>
      <c r="E2654" t="s">
        <v>40</v>
      </c>
      <c r="F2654" t="s">
        <v>14</v>
      </c>
      <c r="G2654">
        <v>257.86</v>
      </c>
      <c r="H2654" t="s">
        <v>15</v>
      </c>
      <c r="I2654" t="s">
        <v>47</v>
      </c>
      <c r="J2654" t="s">
        <v>37</v>
      </c>
    </row>
    <row r="2655" spans="1:10" x14ac:dyDescent="0.35">
      <c r="A2655" t="s">
        <v>2839</v>
      </c>
      <c r="B2655" s="10">
        <v>46140</v>
      </c>
      <c r="C2655" t="s">
        <v>262</v>
      </c>
      <c r="D2655" t="s">
        <v>101</v>
      </c>
      <c r="E2655" t="s">
        <v>244</v>
      </c>
      <c r="F2655" t="s">
        <v>14</v>
      </c>
      <c r="G2655">
        <v>52.59</v>
      </c>
      <c r="H2655" t="s">
        <v>98</v>
      </c>
      <c r="I2655" t="s">
        <v>22</v>
      </c>
      <c r="J2655" t="s">
        <v>136</v>
      </c>
    </row>
    <row r="2656" spans="1:10" x14ac:dyDescent="0.35">
      <c r="A2656" t="s">
        <v>2840</v>
      </c>
      <c r="B2656" s="10">
        <v>46140</v>
      </c>
      <c r="C2656" t="s">
        <v>63</v>
      </c>
      <c r="D2656" t="s">
        <v>54</v>
      </c>
      <c r="E2656" t="s">
        <v>64</v>
      </c>
      <c r="F2656" t="s">
        <v>54</v>
      </c>
      <c r="G2656">
        <v>417.07</v>
      </c>
      <c r="H2656" t="s">
        <v>15</v>
      </c>
      <c r="I2656" t="s">
        <v>36</v>
      </c>
      <c r="J2656" t="s">
        <v>65</v>
      </c>
    </row>
    <row r="2657" spans="1:10" x14ac:dyDescent="0.35">
      <c r="A2657" t="s">
        <v>2841</v>
      </c>
      <c r="B2657" s="10">
        <v>46140</v>
      </c>
      <c r="C2657" t="s">
        <v>227</v>
      </c>
      <c r="D2657" t="s">
        <v>12</v>
      </c>
      <c r="E2657" t="s">
        <v>51</v>
      </c>
      <c r="F2657" t="s">
        <v>14</v>
      </c>
      <c r="G2657">
        <v>67.28</v>
      </c>
      <c r="H2657" t="s">
        <v>21</v>
      </c>
      <c r="I2657" t="s">
        <v>47</v>
      </c>
      <c r="J2657" t="s">
        <v>17</v>
      </c>
    </row>
    <row r="2658" spans="1:10" x14ac:dyDescent="0.35">
      <c r="A2658" t="s">
        <v>2842</v>
      </c>
      <c r="B2658" s="10">
        <v>46140</v>
      </c>
      <c r="C2658" t="s">
        <v>172</v>
      </c>
      <c r="D2658" t="s">
        <v>101</v>
      </c>
      <c r="E2658" t="s">
        <v>102</v>
      </c>
      <c r="F2658" t="s">
        <v>14</v>
      </c>
      <c r="G2658">
        <v>40.93</v>
      </c>
      <c r="H2658" t="s">
        <v>15</v>
      </c>
      <c r="I2658" t="s">
        <v>36</v>
      </c>
      <c r="J2658" t="s">
        <v>102</v>
      </c>
    </row>
    <row r="2659" spans="1:10" x14ac:dyDescent="0.35">
      <c r="A2659" t="s">
        <v>2843</v>
      </c>
      <c r="B2659" s="10">
        <v>46140</v>
      </c>
      <c r="C2659" t="s">
        <v>63</v>
      </c>
      <c r="D2659" t="s">
        <v>54</v>
      </c>
      <c r="E2659" t="s">
        <v>64</v>
      </c>
      <c r="F2659" t="s">
        <v>54</v>
      </c>
      <c r="G2659">
        <v>365.78</v>
      </c>
      <c r="H2659" t="s">
        <v>15</v>
      </c>
      <c r="I2659" t="s">
        <v>22</v>
      </c>
      <c r="J2659" t="s">
        <v>65</v>
      </c>
    </row>
    <row r="2660" spans="1:10" x14ac:dyDescent="0.35">
      <c r="A2660" t="s">
        <v>2844</v>
      </c>
      <c r="B2660" s="10">
        <v>46140</v>
      </c>
      <c r="C2660" t="s">
        <v>138</v>
      </c>
      <c r="D2660" t="s">
        <v>12</v>
      </c>
      <c r="E2660" t="s">
        <v>26</v>
      </c>
      <c r="F2660" t="s">
        <v>14</v>
      </c>
      <c r="G2660">
        <v>60.98</v>
      </c>
      <c r="H2660" t="s">
        <v>21</v>
      </c>
      <c r="I2660" t="s">
        <v>36</v>
      </c>
      <c r="J2660" t="s">
        <v>77</v>
      </c>
    </row>
    <row r="2661" spans="1:10" x14ac:dyDescent="0.35">
      <c r="A2661" t="s">
        <v>2845</v>
      </c>
      <c r="B2661" s="10">
        <v>46140</v>
      </c>
      <c r="C2661" t="s">
        <v>153</v>
      </c>
      <c r="D2661" t="s">
        <v>34</v>
      </c>
      <c r="E2661" t="s">
        <v>122</v>
      </c>
      <c r="F2661" t="s">
        <v>14</v>
      </c>
      <c r="G2661">
        <v>87.73</v>
      </c>
      <c r="H2661" t="s">
        <v>21</v>
      </c>
      <c r="I2661" t="s">
        <v>36</v>
      </c>
      <c r="J2661" t="s">
        <v>41</v>
      </c>
    </row>
    <row r="2662" spans="1:10" x14ac:dyDescent="0.35">
      <c r="A2662" t="s">
        <v>2846</v>
      </c>
      <c r="B2662" s="10">
        <v>46140</v>
      </c>
      <c r="C2662" t="s">
        <v>324</v>
      </c>
      <c r="D2662" t="s">
        <v>80</v>
      </c>
      <c r="E2662" t="s">
        <v>92</v>
      </c>
      <c r="F2662" t="s">
        <v>14</v>
      </c>
      <c r="G2662">
        <v>54.72</v>
      </c>
      <c r="H2662" t="s">
        <v>21</v>
      </c>
      <c r="I2662" t="s">
        <v>36</v>
      </c>
      <c r="J2662" t="s">
        <v>161</v>
      </c>
    </row>
    <row r="2663" spans="1:10" x14ac:dyDescent="0.35">
      <c r="A2663" t="s">
        <v>2847</v>
      </c>
      <c r="B2663" s="10">
        <v>46141</v>
      </c>
      <c r="C2663" t="s">
        <v>153</v>
      </c>
      <c r="D2663" t="s">
        <v>34</v>
      </c>
      <c r="E2663" t="s">
        <v>122</v>
      </c>
      <c r="F2663" t="s">
        <v>14</v>
      </c>
      <c r="G2663">
        <v>143.82</v>
      </c>
      <c r="H2663" t="s">
        <v>15</v>
      </c>
      <c r="I2663" t="s">
        <v>47</v>
      </c>
      <c r="J2663" t="s">
        <v>41</v>
      </c>
    </row>
    <row r="2664" spans="1:10" x14ac:dyDescent="0.35">
      <c r="A2664" t="s">
        <v>2848</v>
      </c>
      <c r="B2664" s="10">
        <v>46141</v>
      </c>
      <c r="C2664" t="s">
        <v>259</v>
      </c>
      <c r="D2664" t="s">
        <v>59</v>
      </c>
      <c r="E2664" t="s">
        <v>199</v>
      </c>
      <c r="F2664" t="s">
        <v>14</v>
      </c>
      <c r="G2664">
        <v>62.95</v>
      </c>
      <c r="H2664" t="s">
        <v>98</v>
      </c>
      <c r="I2664" t="s">
        <v>16</v>
      </c>
      <c r="J2664" t="s">
        <v>170</v>
      </c>
    </row>
    <row r="2665" spans="1:10" x14ac:dyDescent="0.35">
      <c r="A2665" t="s">
        <v>2849</v>
      </c>
      <c r="B2665" s="10">
        <v>46141</v>
      </c>
      <c r="C2665" t="s">
        <v>168</v>
      </c>
      <c r="D2665" t="s">
        <v>59</v>
      </c>
      <c r="E2665" t="s">
        <v>60</v>
      </c>
      <c r="F2665" t="s">
        <v>14</v>
      </c>
      <c r="G2665">
        <v>204.16</v>
      </c>
      <c r="H2665" t="s">
        <v>15</v>
      </c>
      <c r="I2665" t="s">
        <v>16</v>
      </c>
      <c r="J2665" t="s">
        <v>170</v>
      </c>
    </row>
    <row r="2666" spans="1:10" x14ac:dyDescent="0.35">
      <c r="A2666" t="s">
        <v>2850</v>
      </c>
      <c r="B2666" s="10">
        <v>46141</v>
      </c>
      <c r="C2666" t="s">
        <v>150</v>
      </c>
      <c r="D2666" t="s">
        <v>29</v>
      </c>
      <c r="E2666" t="s">
        <v>30</v>
      </c>
      <c r="F2666" t="s">
        <v>14</v>
      </c>
      <c r="G2666">
        <v>12.4</v>
      </c>
      <c r="H2666" t="s">
        <v>21</v>
      </c>
      <c r="I2666" t="s">
        <v>16</v>
      </c>
      <c r="J2666" t="s">
        <v>151</v>
      </c>
    </row>
    <row r="2667" spans="1:10" x14ac:dyDescent="0.35">
      <c r="A2667" t="s">
        <v>2851</v>
      </c>
      <c r="B2667" s="10">
        <v>46142</v>
      </c>
      <c r="C2667" t="s">
        <v>281</v>
      </c>
      <c r="D2667" t="s">
        <v>34</v>
      </c>
      <c r="E2667" t="s">
        <v>40</v>
      </c>
      <c r="F2667" t="s">
        <v>14</v>
      </c>
      <c r="G2667">
        <v>86.11</v>
      </c>
      <c r="H2667" t="s">
        <v>21</v>
      </c>
      <c r="I2667" t="s">
        <v>22</v>
      </c>
      <c r="J2667" t="s">
        <v>123</v>
      </c>
    </row>
    <row r="2668" spans="1:10" x14ac:dyDescent="0.35">
      <c r="A2668" t="s">
        <v>2852</v>
      </c>
      <c r="B2668" s="10">
        <v>46142</v>
      </c>
      <c r="C2668" t="s">
        <v>88</v>
      </c>
      <c r="D2668" t="s">
        <v>54</v>
      </c>
      <c r="E2668" t="s">
        <v>74</v>
      </c>
      <c r="F2668" t="s">
        <v>54</v>
      </c>
      <c r="G2668">
        <v>2497.0300000000002</v>
      </c>
      <c r="H2668" t="s">
        <v>15</v>
      </c>
      <c r="I2668" t="s">
        <v>16</v>
      </c>
      <c r="J2668" t="s">
        <v>89</v>
      </c>
    </row>
    <row r="2669" spans="1:10" x14ac:dyDescent="0.35">
      <c r="A2669" t="s">
        <v>2853</v>
      </c>
      <c r="B2669" s="10">
        <v>46142</v>
      </c>
      <c r="C2669" t="s">
        <v>73</v>
      </c>
      <c r="D2669" t="s">
        <v>54</v>
      </c>
      <c r="E2669" t="s">
        <v>74</v>
      </c>
      <c r="F2669" t="s">
        <v>54</v>
      </c>
      <c r="G2669">
        <v>2045.84</v>
      </c>
      <c r="H2669" t="s">
        <v>15</v>
      </c>
      <c r="I2669" t="s">
        <v>47</v>
      </c>
      <c r="J2669" t="s">
        <v>65</v>
      </c>
    </row>
    <row r="2670" spans="1:10" x14ac:dyDescent="0.35">
      <c r="A2670" t="s">
        <v>2854</v>
      </c>
      <c r="B2670" s="10">
        <v>46142</v>
      </c>
      <c r="C2670" t="s">
        <v>135</v>
      </c>
      <c r="D2670" t="s">
        <v>101</v>
      </c>
      <c r="E2670" t="s">
        <v>102</v>
      </c>
      <c r="F2670" t="s">
        <v>14</v>
      </c>
      <c r="G2670">
        <v>249.35</v>
      </c>
      <c r="H2670" t="s">
        <v>21</v>
      </c>
      <c r="I2670" t="s">
        <v>84</v>
      </c>
      <c r="J2670" t="s">
        <v>136</v>
      </c>
    </row>
    <row r="2671" spans="1:10" x14ac:dyDescent="0.35">
      <c r="A2671" t="s">
        <v>2855</v>
      </c>
      <c r="B2671" s="10">
        <v>46142</v>
      </c>
      <c r="C2671" t="s">
        <v>109</v>
      </c>
      <c r="D2671" t="s">
        <v>34</v>
      </c>
      <c r="E2671" t="s">
        <v>35</v>
      </c>
      <c r="F2671" t="s">
        <v>14</v>
      </c>
      <c r="G2671">
        <v>43.72</v>
      </c>
      <c r="H2671" t="s">
        <v>15</v>
      </c>
      <c r="I2671" t="s">
        <v>47</v>
      </c>
      <c r="J2671" t="s">
        <v>41</v>
      </c>
    </row>
    <row r="2672" spans="1:10" x14ac:dyDescent="0.35">
      <c r="A2672" t="s">
        <v>2856</v>
      </c>
      <c r="B2672" s="10">
        <v>46142</v>
      </c>
      <c r="C2672" t="s">
        <v>227</v>
      </c>
      <c r="D2672" t="s">
        <v>12</v>
      </c>
      <c r="E2672" t="s">
        <v>51</v>
      </c>
      <c r="F2672" t="s">
        <v>14</v>
      </c>
      <c r="G2672">
        <v>85.2</v>
      </c>
      <c r="H2672" t="s">
        <v>21</v>
      </c>
      <c r="I2672" t="s">
        <v>22</v>
      </c>
      <c r="J2672" t="s">
        <v>17</v>
      </c>
    </row>
    <row r="2673" spans="1:10" x14ac:dyDescent="0.35">
      <c r="A2673" t="s">
        <v>2857</v>
      </c>
      <c r="B2673" s="10">
        <v>46142</v>
      </c>
      <c r="C2673" t="s">
        <v>177</v>
      </c>
      <c r="D2673" t="s">
        <v>54</v>
      </c>
      <c r="E2673" t="s">
        <v>74</v>
      </c>
      <c r="F2673" t="s">
        <v>54</v>
      </c>
      <c r="G2673">
        <v>2702.7</v>
      </c>
      <c r="H2673" t="s">
        <v>21</v>
      </c>
      <c r="I2673" t="s">
        <v>84</v>
      </c>
      <c r="J2673" t="s">
        <v>56</v>
      </c>
    </row>
    <row r="2674" spans="1:10" x14ac:dyDescent="0.35">
      <c r="A2674" t="s">
        <v>2858</v>
      </c>
      <c r="B2674" s="10">
        <v>46143</v>
      </c>
      <c r="C2674" t="s">
        <v>111</v>
      </c>
      <c r="D2674" t="s">
        <v>12</v>
      </c>
      <c r="E2674" t="s">
        <v>26</v>
      </c>
      <c r="F2674" t="s">
        <v>14</v>
      </c>
      <c r="G2674">
        <v>41.45</v>
      </c>
      <c r="H2674" t="s">
        <v>21</v>
      </c>
      <c r="I2674" t="s">
        <v>36</v>
      </c>
      <c r="J2674" t="s">
        <v>23</v>
      </c>
    </row>
    <row r="2675" spans="1:10" x14ac:dyDescent="0.35">
      <c r="A2675" t="s">
        <v>2859</v>
      </c>
      <c r="B2675" s="10">
        <v>46143</v>
      </c>
      <c r="C2675" t="s">
        <v>88</v>
      </c>
      <c r="D2675" t="s">
        <v>54</v>
      </c>
      <c r="E2675" t="s">
        <v>74</v>
      </c>
      <c r="F2675" t="s">
        <v>54</v>
      </c>
      <c r="G2675">
        <v>2739.08</v>
      </c>
      <c r="H2675" t="s">
        <v>15</v>
      </c>
      <c r="I2675" t="s">
        <v>36</v>
      </c>
      <c r="J2675" t="s">
        <v>89</v>
      </c>
    </row>
    <row r="2676" spans="1:10" x14ac:dyDescent="0.35">
      <c r="A2676" t="s">
        <v>2860</v>
      </c>
      <c r="B2676" s="10">
        <v>46144</v>
      </c>
      <c r="C2676" t="s">
        <v>272</v>
      </c>
      <c r="D2676" t="s">
        <v>54</v>
      </c>
      <c r="E2676" t="s">
        <v>55</v>
      </c>
      <c r="F2676" t="s">
        <v>54</v>
      </c>
      <c r="G2676">
        <v>708.12</v>
      </c>
      <c r="H2676" t="s">
        <v>15</v>
      </c>
      <c r="I2676" t="s">
        <v>22</v>
      </c>
      <c r="J2676" t="s">
        <v>65</v>
      </c>
    </row>
    <row r="2677" spans="1:10" x14ac:dyDescent="0.35">
      <c r="A2677" t="s">
        <v>2861</v>
      </c>
      <c r="B2677" s="10">
        <v>46144</v>
      </c>
      <c r="C2677" t="s">
        <v>94</v>
      </c>
      <c r="D2677" t="s">
        <v>29</v>
      </c>
      <c r="E2677" t="s">
        <v>95</v>
      </c>
      <c r="F2677" t="s">
        <v>14</v>
      </c>
      <c r="G2677">
        <v>44.26</v>
      </c>
      <c r="H2677" t="s">
        <v>21</v>
      </c>
      <c r="I2677" t="s">
        <v>22</v>
      </c>
      <c r="J2677" t="s">
        <v>96</v>
      </c>
    </row>
    <row r="2678" spans="1:10" x14ac:dyDescent="0.35">
      <c r="A2678" t="s">
        <v>2862</v>
      </c>
      <c r="B2678" s="10">
        <v>46144</v>
      </c>
      <c r="C2678" t="s">
        <v>256</v>
      </c>
      <c r="D2678" t="s">
        <v>34</v>
      </c>
      <c r="E2678" t="s">
        <v>40</v>
      </c>
      <c r="F2678" t="s">
        <v>14</v>
      </c>
      <c r="G2678">
        <v>188.32</v>
      </c>
      <c r="H2678" t="s">
        <v>21</v>
      </c>
      <c r="I2678" t="s">
        <v>22</v>
      </c>
      <c r="J2678" t="s">
        <v>239</v>
      </c>
    </row>
    <row r="2679" spans="1:10" x14ac:dyDescent="0.35">
      <c r="A2679" t="s">
        <v>2863</v>
      </c>
      <c r="B2679" s="10">
        <v>46145</v>
      </c>
      <c r="C2679" t="s">
        <v>138</v>
      </c>
      <c r="D2679" t="s">
        <v>12</v>
      </c>
      <c r="E2679" t="s">
        <v>26</v>
      </c>
      <c r="F2679" t="s">
        <v>14</v>
      </c>
      <c r="G2679">
        <v>31.74</v>
      </c>
      <c r="H2679" t="s">
        <v>15</v>
      </c>
      <c r="I2679" t="s">
        <v>84</v>
      </c>
      <c r="J2679" t="s">
        <v>77</v>
      </c>
    </row>
    <row r="2680" spans="1:10" x14ac:dyDescent="0.35">
      <c r="A2680" t="s">
        <v>2864</v>
      </c>
      <c r="B2680" s="10">
        <v>46145</v>
      </c>
      <c r="C2680" t="s">
        <v>58</v>
      </c>
      <c r="D2680" t="s">
        <v>59</v>
      </c>
      <c r="E2680" t="s">
        <v>60</v>
      </c>
      <c r="F2680" t="s">
        <v>14</v>
      </c>
      <c r="G2680">
        <v>205.92</v>
      </c>
      <c r="H2680" t="s">
        <v>21</v>
      </c>
      <c r="I2680" t="s">
        <v>22</v>
      </c>
      <c r="J2680" t="s">
        <v>61</v>
      </c>
    </row>
    <row r="2681" spans="1:10" x14ac:dyDescent="0.35">
      <c r="A2681" t="s">
        <v>2865</v>
      </c>
      <c r="B2681" s="10">
        <v>46145</v>
      </c>
      <c r="C2681" t="s">
        <v>63</v>
      </c>
      <c r="D2681" t="s">
        <v>54</v>
      </c>
      <c r="E2681" t="s">
        <v>64</v>
      </c>
      <c r="F2681" t="s">
        <v>54</v>
      </c>
      <c r="G2681">
        <v>409.88</v>
      </c>
      <c r="H2681" t="s">
        <v>21</v>
      </c>
      <c r="I2681" t="s">
        <v>22</v>
      </c>
      <c r="J2681" t="s">
        <v>65</v>
      </c>
    </row>
    <row r="2682" spans="1:10" x14ac:dyDescent="0.35">
      <c r="A2682" t="s">
        <v>2866</v>
      </c>
      <c r="B2682" s="10">
        <v>46145</v>
      </c>
      <c r="C2682" t="s">
        <v>411</v>
      </c>
      <c r="D2682" t="s">
        <v>29</v>
      </c>
      <c r="E2682" t="s">
        <v>151</v>
      </c>
      <c r="F2682" t="s">
        <v>14</v>
      </c>
      <c r="G2682">
        <v>31.03</v>
      </c>
      <c r="H2682" t="s">
        <v>15</v>
      </c>
      <c r="I2682" t="s">
        <v>22</v>
      </c>
      <c r="J2682" t="s">
        <v>151</v>
      </c>
    </row>
    <row r="2683" spans="1:10" x14ac:dyDescent="0.35">
      <c r="A2683" t="s">
        <v>2867</v>
      </c>
      <c r="B2683" s="10">
        <v>46145</v>
      </c>
      <c r="C2683" t="s">
        <v>251</v>
      </c>
      <c r="D2683" t="s">
        <v>29</v>
      </c>
      <c r="E2683" t="s">
        <v>151</v>
      </c>
      <c r="F2683" t="s">
        <v>14</v>
      </c>
      <c r="G2683">
        <v>57.73</v>
      </c>
      <c r="H2683" t="s">
        <v>21</v>
      </c>
      <c r="I2683" t="s">
        <v>47</v>
      </c>
      <c r="J2683" t="s">
        <v>31</v>
      </c>
    </row>
    <row r="2684" spans="1:10" x14ac:dyDescent="0.35">
      <c r="A2684" t="s">
        <v>2868</v>
      </c>
      <c r="B2684" s="10">
        <v>46145</v>
      </c>
      <c r="C2684" t="s">
        <v>179</v>
      </c>
      <c r="D2684" t="s">
        <v>80</v>
      </c>
      <c r="E2684" t="s">
        <v>117</v>
      </c>
      <c r="F2684" t="s">
        <v>14</v>
      </c>
      <c r="G2684">
        <v>57.01</v>
      </c>
      <c r="H2684" t="s">
        <v>21</v>
      </c>
      <c r="I2684" t="s">
        <v>22</v>
      </c>
      <c r="J2684" t="s">
        <v>180</v>
      </c>
    </row>
    <row r="2685" spans="1:10" x14ac:dyDescent="0.35">
      <c r="A2685" t="s">
        <v>2870</v>
      </c>
      <c r="B2685" s="10">
        <v>46145</v>
      </c>
      <c r="C2685" t="s">
        <v>376</v>
      </c>
      <c r="D2685" t="s">
        <v>80</v>
      </c>
      <c r="E2685" t="s">
        <v>117</v>
      </c>
      <c r="F2685" t="s">
        <v>14</v>
      </c>
      <c r="G2685">
        <v>154.63999999999999</v>
      </c>
      <c r="H2685" t="s">
        <v>21</v>
      </c>
      <c r="I2685" t="s">
        <v>36</v>
      </c>
      <c r="J2685" t="s">
        <v>82</v>
      </c>
    </row>
    <row r="2686" spans="1:10" x14ac:dyDescent="0.35">
      <c r="A2686" t="s">
        <v>2871</v>
      </c>
      <c r="B2686" s="10">
        <v>46146</v>
      </c>
      <c r="C2686" t="s">
        <v>210</v>
      </c>
      <c r="D2686" t="s">
        <v>59</v>
      </c>
      <c r="E2686" t="s">
        <v>185</v>
      </c>
      <c r="F2686" t="s">
        <v>14</v>
      </c>
      <c r="G2686">
        <v>104.69</v>
      </c>
      <c r="H2686" t="s">
        <v>98</v>
      </c>
      <c r="I2686" t="s">
        <v>22</v>
      </c>
      <c r="J2686" t="s">
        <v>211</v>
      </c>
    </row>
    <row r="2687" spans="1:10" x14ac:dyDescent="0.35">
      <c r="A2687" t="s">
        <v>2872</v>
      </c>
      <c r="B2687" s="10">
        <v>46146</v>
      </c>
      <c r="C2687" t="s">
        <v>33</v>
      </c>
      <c r="D2687" t="s">
        <v>34</v>
      </c>
      <c r="E2687" t="s">
        <v>35</v>
      </c>
      <c r="F2687" t="s">
        <v>14</v>
      </c>
      <c r="G2687">
        <v>500</v>
      </c>
      <c r="H2687" t="s">
        <v>21</v>
      </c>
      <c r="I2687" t="s">
        <v>36</v>
      </c>
      <c r="J2687" t="s">
        <v>37</v>
      </c>
    </row>
    <row r="2688" spans="1:10" x14ac:dyDescent="0.35">
      <c r="A2688" t="s">
        <v>2873</v>
      </c>
      <c r="B2688" s="10">
        <v>46146</v>
      </c>
      <c r="C2688" t="s">
        <v>281</v>
      </c>
      <c r="D2688" t="s">
        <v>34</v>
      </c>
      <c r="E2688" t="s">
        <v>40</v>
      </c>
      <c r="F2688" t="s">
        <v>14</v>
      </c>
      <c r="G2688">
        <v>269.86</v>
      </c>
      <c r="H2688" t="s">
        <v>98</v>
      </c>
      <c r="I2688" t="s">
        <v>16</v>
      </c>
      <c r="J2688" t="s">
        <v>123</v>
      </c>
    </row>
    <row r="2689" spans="1:10" x14ac:dyDescent="0.35">
      <c r="A2689" t="s">
        <v>2874</v>
      </c>
      <c r="B2689" s="10">
        <v>46146</v>
      </c>
      <c r="C2689" t="s">
        <v>298</v>
      </c>
      <c r="D2689" t="s">
        <v>59</v>
      </c>
      <c r="E2689" t="s">
        <v>185</v>
      </c>
      <c r="F2689" t="s">
        <v>14</v>
      </c>
      <c r="G2689">
        <v>290.22000000000003</v>
      </c>
      <c r="H2689" t="s">
        <v>98</v>
      </c>
      <c r="I2689" t="s">
        <v>36</v>
      </c>
      <c r="J2689" t="s">
        <v>170</v>
      </c>
    </row>
    <row r="2690" spans="1:10" x14ac:dyDescent="0.35">
      <c r="A2690" t="s">
        <v>2875</v>
      </c>
      <c r="B2690" s="10">
        <v>46146</v>
      </c>
      <c r="C2690" t="s">
        <v>253</v>
      </c>
      <c r="D2690" t="s">
        <v>29</v>
      </c>
      <c r="E2690" t="s">
        <v>30</v>
      </c>
      <c r="F2690" t="s">
        <v>14</v>
      </c>
      <c r="G2690">
        <v>11.01</v>
      </c>
      <c r="H2690" t="s">
        <v>15</v>
      </c>
      <c r="I2690" t="s">
        <v>22</v>
      </c>
      <c r="J2690" t="s">
        <v>158</v>
      </c>
    </row>
    <row r="2691" spans="1:10" x14ac:dyDescent="0.35">
      <c r="A2691" t="s">
        <v>2876</v>
      </c>
      <c r="B2691" s="10">
        <v>46146</v>
      </c>
      <c r="C2691" t="s">
        <v>272</v>
      </c>
      <c r="D2691" t="s">
        <v>54</v>
      </c>
      <c r="E2691" t="s">
        <v>55</v>
      </c>
      <c r="F2691" t="s">
        <v>54</v>
      </c>
      <c r="G2691">
        <v>744.49</v>
      </c>
      <c r="H2691" t="s">
        <v>15</v>
      </c>
      <c r="I2691" t="s">
        <v>36</v>
      </c>
      <c r="J2691" t="s">
        <v>65</v>
      </c>
    </row>
    <row r="2692" spans="1:10" x14ac:dyDescent="0.35">
      <c r="A2692" t="s">
        <v>2877</v>
      </c>
      <c r="B2692" s="10">
        <v>46147</v>
      </c>
      <c r="C2692" t="s">
        <v>138</v>
      </c>
      <c r="D2692" t="s">
        <v>12</v>
      </c>
      <c r="E2692" t="s">
        <v>26</v>
      </c>
      <c r="F2692" t="s">
        <v>14</v>
      </c>
      <c r="G2692">
        <v>31.17</v>
      </c>
      <c r="H2692" t="s">
        <v>98</v>
      </c>
      <c r="I2692" t="s">
        <v>22</v>
      </c>
      <c r="J2692" t="s">
        <v>77</v>
      </c>
    </row>
    <row r="2693" spans="1:10" x14ac:dyDescent="0.35">
      <c r="A2693" t="s">
        <v>2878</v>
      </c>
      <c r="B2693" s="10">
        <v>46147</v>
      </c>
      <c r="C2693" t="s">
        <v>232</v>
      </c>
      <c r="D2693" t="s">
        <v>69</v>
      </c>
      <c r="E2693" t="s">
        <v>233</v>
      </c>
      <c r="F2693" t="s">
        <v>14</v>
      </c>
      <c r="G2693">
        <v>298.74</v>
      </c>
      <c r="H2693" t="s">
        <v>15</v>
      </c>
      <c r="I2693" t="s">
        <v>36</v>
      </c>
      <c r="J2693" t="s">
        <v>71</v>
      </c>
    </row>
    <row r="2694" spans="1:10" x14ac:dyDescent="0.35">
      <c r="A2694" t="s">
        <v>2879</v>
      </c>
      <c r="B2694" s="10">
        <v>46148</v>
      </c>
      <c r="C2694" t="s">
        <v>111</v>
      </c>
      <c r="D2694" t="s">
        <v>12</v>
      </c>
      <c r="E2694" t="s">
        <v>26</v>
      </c>
      <c r="F2694" t="s">
        <v>14</v>
      </c>
      <c r="G2694">
        <v>20.95</v>
      </c>
      <c r="H2694" t="s">
        <v>21</v>
      </c>
      <c r="I2694" t="s">
        <v>22</v>
      </c>
      <c r="J2694" t="s">
        <v>23</v>
      </c>
    </row>
    <row r="2695" spans="1:10" x14ac:dyDescent="0.35">
      <c r="A2695" t="s">
        <v>2880</v>
      </c>
      <c r="B2695" s="10">
        <v>46148</v>
      </c>
      <c r="C2695" t="s">
        <v>262</v>
      </c>
      <c r="D2695" t="s">
        <v>101</v>
      </c>
      <c r="E2695" t="s">
        <v>244</v>
      </c>
      <c r="F2695" t="s">
        <v>14</v>
      </c>
      <c r="G2695">
        <v>113.85</v>
      </c>
      <c r="H2695" t="s">
        <v>21</v>
      </c>
      <c r="I2695" t="s">
        <v>22</v>
      </c>
      <c r="J2695" t="s">
        <v>136</v>
      </c>
    </row>
    <row r="2696" spans="1:10" x14ac:dyDescent="0.35">
      <c r="A2696" t="s">
        <v>2881</v>
      </c>
      <c r="B2696" s="10">
        <v>46148</v>
      </c>
      <c r="C2696" t="s">
        <v>143</v>
      </c>
      <c r="D2696" t="s">
        <v>54</v>
      </c>
      <c r="E2696" t="s">
        <v>55</v>
      </c>
      <c r="F2696" t="s">
        <v>54</v>
      </c>
      <c r="G2696">
        <v>595.16</v>
      </c>
      <c r="H2696" t="s">
        <v>98</v>
      </c>
      <c r="I2696" t="s">
        <v>16</v>
      </c>
      <c r="J2696" t="s">
        <v>89</v>
      </c>
    </row>
    <row r="2697" spans="1:10" x14ac:dyDescent="0.35">
      <c r="A2697" t="s">
        <v>2882</v>
      </c>
      <c r="B2697" s="10">
        <v>46148</v>
      </c>
      <c r="C2697" t="s">
        <v>415</v>
      </c>
      <c r="D2697" t="s">
        <v>12</v>
      </c>
      <c r="E2697" t="s">
        <v>51</v>
      </c>
      <c r="F2697" t="s">
        <v>14</v>
      </c>
      <c r="G2697">
        <v>10.76</v>
      </c>
      <c r="H2697" t="s">
        <v>15</v>
      </c>
      <c r="I2697" t="s">
        <v>22</v>
      </c>
      <c r="J2697" t="s">
        <v>77</v>
      </c>
    </row>
    <row r="2698" spans="1:10" x14ac:dyDescent="0.35">
      <c r="A2698" t="s">
        <v>2883</v>
      </c>
      <c r="B2698" s="10">
        <v>46148</v>
      </c>
      <c r="C2698" t="s">
        <v>163</v>
      </c>
      <c r="D2698" t="s">
        <v>80</v>
      </c>
      <c r="E2698" t="s">
        <v>92</v>
      </c>
      <c r="F2698" t="s">
        <v>14</v>
      </c>
      <c r="G2698">
        <v>55.84</v>
      </c>
      <c r="H2698" t="s">
        <v>21</v>
      </c>
      <c r="I2698" t="s">
        <v>22</v>
      </c>
      <c r="J2698" t="s">
        <v>118</v>
      </c>
    </row>
    <row r="2699" spans="1:10" x14ac:dyDescent="0.35">
      <c r="A2699" t="s">
        <v>2884</v>
      </c>
      <c r="B2699" s="10">
        <v>46149</v>
      </c>
      <c r="C2699" t="s">
        <v>259</v>
      </c>
      <c r="D2699" t="s">
        <v>59</v>
      </c>
      <c r="E2699" t="s">
        <v>199</v>
      </c>
      <c r="F2699" t="s">
        <v>14</v>
      </c>
      <c r="G2699">
        <v>237.69</v>
      </c>
      <c r="H2699" t="s">
        <v>21</v>
      </c>
      <c r="I2699" t="s">
        <v>22</v>
      </c>
      <c r="J2699" t="s">
        <v>170</v>
      </c>
    </row>
    <row r="2700" spans="1:10" x14ac:dyDescent="0.35">
      <c r="A2700" t="s">
        <v>2885</v>
      </c>
      <c r="B2700" s="10">
        <v>46149</v>
      </c>
      <c r="C2700" t="s">
        <v>204</v>
      </c>
      <c r="D2700" t="s">
        <v>12</v>
      </c>
      <c r="E2700" t="s">
        <v>51</v>
      </c>
      <c r="F2700" t="s">
        <v>14</v>
      </c>
      <c r="G2700">
        <v>49.29</v>
      </c>
      <c r="H2700" t="s">
        <v>21</v>
      </c>
      <c r="I2700" t="s">
        <v>22</v>
      </c>
      <c r="J2700" t="s">
        <v>23</v>
      </c>
    </row>
    <row r="2701" spans="1:10" x14ac:dyDescent="0.35">
      <c r="A2701" t="s">
        <v>2886</v>
      </c>
      <c r="B2701" s="10">
        <v>46149</v>
      </c>
      <c r="C2701" t="s">
        <v>272</v>
      </c>
      <c r="D2701" t="s">
        <v>54</v>
      </c>
      <c r="E2701" t="s">
        <v>55</v>
      </c>
      <c r="F2701" t="s">
        <v>54</v>
      </c>
      <c r="G2701">
        <v>656.5</v>
      </c>
      <c r="H2701" t="s">
        <v>15</v>
      </c>
      <c r="I2701" t="s">
        <v>36</v>
      </c>
      <c r="J2701" t="s">
        <v>65</v>
      </c>
    </row>
    <row r="2702" spans="1:10" x14ac:dyDescent="0.35">
      <c r="A2702" t="s">
        <v>2887</v>
      </c>
      <c r="B2702" s="10">
        <v>46149</v>
      </c>
      <c r="C2702" t="s">
        <v>143</v>
      </c>
      <c r="D2702" t="s">
        <v>54</v>
      </c>
      <c r="E2702" t="s">
        <v>55</v>
      </c>
      <c r="F2702" t="s">
        <v>54</v>
      </c>
      <c r="G2702">
        <v>807.31</v>
      </c>
      <c r="H2702" t="s">
        <v>21</v>
      </c>
      <c r="I2702" t="s">
        <v>22</v>
      </c>
      <c r="J2702" t="s">
        <v>89</v>
      </c>
    </row>
    <row r="2703" spans="1:10" x14ac:dyDescent="0.35">
      <c r="A2703" t="s">
        <v>2888</v>
      </c>
      <c r="B2703" s="10">
        <v>46149</v>
      </c>
      <c r="C2703" t="s">
        <v>111</v>
      </c>
      <c r="D2703" t="s">
        <v>12</v>
      </c>
      <c r="E2703" t="s">
        <v>26</v>
      </c>
      <c r="F2703" t="s">
        <v>14</v>
      </c>
      <c r="G2703">
        <v>16.190000000000001</v>
      </c>
      <c r="H2703" t="s">
        <v>15</v>
      </c>
      <c r="I2703" t="s">
        <v>36</v>
      </c>
      <c r="J2703" t="s">
        <v>23</v>
      </c>
    </row>
    <row r="2704" spans="1:10" x14ac:dyDescent="0.35">
      <c r="A2704" t="s">
        <v>2889</v>
      </c>
      <c r="B2704" s="10">
        <v>46149</v>
      </c>
      <c r="C2704" t="s">
        <v>198</v>
      </c>
      <c r="D2704" t="s">
        <v>59</v>
      </c>
      <c r="E2704" t="s">
        <v>199</v>
      </c>
      <c r="F2704" t="s">
        <v>14</v>
      </c>
      <c r="G2704">
        <v>433.76</v>
      </c>
      <c r="H2704" t="s">
        <v>15</v>
      </c>
      <c r="I2704" t="s">
        <v>22</v>
      </c>
      <c r="J2704" t="s">
        <v>61</v>
      </c>
    </row>
    <row r="2705" spans="1:10" x14ac:dyDescent="0.35">
      <c r="A2705" t="s">
        <v>2890</v>
      </c>
      <c r="B2705" s="10">
        <v>46150</v>
      </c>
      <c r="C2705" t="s">
        <v>172</v>
      </c>
      <c r="D2705" t="s">
        <v>101</v>
      </c>
      <c r="E2705" t="s">
        <v>102</v>
      </c>
      <c r="F2705" t="s">
        <v>14</v>
      </c>
      <c r="G2705">
        <v>66.900000000000006</v>
      </c>
      <c r="H2705" t="s">
        <v>98</v>
      </c>
      <c r="I2705" t="s">
        <v>22</v>
      </c>
      <c r="J2705" t="s">
        <v>102</v>
      </c>
    </row>
    <row r="2706" spans="1:10" x14ac:dyDescent="0.35">
      <c r="A2706" t="s">
        <v>2891</v>
      </c>
      <c r="B2706" s="10">
        <v>46150</v>
      </c>
      <c r="C2706" t="s">
        <v>411</v>
      </c>
      <c r="D2706" t="s">
        <v>29</v>
      </c>
      <c r="E2706" t="s">
        <v>151</v>
      </c>
      <c r="F2706" t="s">
        <v>14</v>
      </c>
      <c r="G2706">
        <v>54.69</v>
      </c>
      <c r="H2706" t="s">
        <v>21</v>
      </c>
      <c r="I2706" t="s">
        <v>84</v>
      </c>
      <c r="J2706" t="s">
        <v>151</v>
      </c>
    </row>
    <row r="2707" spans="1:10" x14ac:dyDescent="0.35">
      <c r="A2707" t="s">
        <v>2892</v>
      </c>
      <c r="B2707" s="10">
        <v>46150</v>
      </c>
      <c r="C2707" t="s">
        <v>28</v>
      </c>
      <c r="D2707" t="s">
        <v>29</v>
      </c>
      <c r="E2707" t="s">
        <v>30</v>
      </c>
      <c r="F2707" t="s">
        <v>14</v>
      </c>
      <c r="G2707">
        <v>18.989999999999998</v>
      </c>
      <c r="H2707" t="s">
        <v>21</v>
      </c>
      <c r="I2707" t="s">
        <v>47</v>
      </c>
      <c r="J2707" t="s">
        <v>31</v>
      </c>
    </row>
    <row r="2708" spans="1:10" x14ac:dyDescent="0.35">
      <c r="A2708" t="s">
        <v>2894</v>
      </c>
      <c r="B2708" s="10">
        <v>46150</v>
      </c>
      <c r="C2708" t="s">
        <v>331</v>
      </c>
      <c r="D2708" t="s">
        <v>29</v>
      </c>
      <c r="E2708" t="s">
        <v>95</v>
      </c>
      <c r="F2708" t="s">
        <v>14</v>
      </c>
      <c r="G2708">
        <v>32.07</v>
      </c>
      <c r="H2708" t="s">
        <v>21</v>
      </c>
      <c r="I2708" t="s">
        <v>22</v>
      </c>
      <c r="J2708" t="s">
        <v>151</v>
      </c>
    </row>
    <row r="2709" spans="1:10" x14ac:dyDescent="0.35">
      <c r="A2709" t="s">
        <v>2895</v>
      </c>
      <c r="B2709" s="10">
        <v>46150</v>
      </c>
      <c r="C2709" t="s">
        <v>46</v>
      </c>
      <c r="D2709" t="s">
        <v>12</v>
      </c>
      <c r="E2709" t="s">
        <v>13</v>
      </c>
      <c r="F2709" t="s">
        <v>14</v>
      </c>
      <c r="G2709">
        <v>88.53</v>
      </c>
      <c r="H2709" t="s">
        <v>15</v>
      </c>
      <c r="I2709" t="s">
        <v>47</v>
      </c>
      <c r="J2709" t="s">
        <v>48</v>
      </c>
    </row>
    <row r="2710" spans="1:10" x14ac:dyDescent="0.35">
      <c r="A2710" t="s">
        <v>2896</v>
      </c>
      <c r="B2710" s="10">
        <v>46150</v>
      </c>
      <c r="C2710" t="s">
        <v>125</v>
      </c>
      <c r="D2710" t="s">
        <v>12</v>
      </c>
      <c r="E2710" t="s">
        <v>13</v>
      </c>
      <c r="F2710" t="s">
        <v>14</v>
      </c>
      <c r="G2710">
        <v>122.26</v>
      </c>
      <c r="H2710" t="s">
        <v>21</v>
      </c>
      <c r="I2710" t="s">
        <v>36</v>
      </c>
      <c r="J2710" t="s">
        <v>44</v>
      </c>
    </row>
    <row r="2711" spans="1:10" x14ac:dyDescent="0.35">
      <c r="A2711" t="s">
        <v>2897</v>
      </c>
      <c r="B2711" s="10">
        <v>46150</v>
      </c>
      <c r="C2711" t="s">
        <v>138</v>
      </c>
      <c r="D2711" t="s">
        <v>12</v>
      </c>
      <c r="E2711" t="s">
        <v>26</v>
      </c>
      <c r="F2711" t="s">
        <v>14</v>
      </c>
      <c r="G2711">
        <v>52.75</v>
      </c>
      <c r="H2711" t="s">
        <v>15</v>
      </c>
      <c r="I2711" t="s">
        <v>22</v>
      </c>
      <c r="J2711" t="s">
        <v>77</v>
      </c>
    </row>
    <row r="2712" spans="1:10" x14ac:dyDescent="0.35">
      <c r="A2712" t="s">
        <v>2898</v>
      </c>
      <c r="B2712" s="10">
        <v>46151</v>
      </c>
      <c r="C2712" t="s">
        <v>210</v>
      </c>
      <c r="D2712" t="s">
        <v>59</v>
      </c>
      <c r="E2712" t="s">
        <v>185</v>
      </c>
      <c r="F2712" t="s">
        <v>14</v>
      </c>
      <c r="G2712">
        <v>329.73</v>
      </c>
      <c r="H2712" t="s">
        <v>15</v>
      </c>
      <c r="I2712" t="s">
        <v>16</v>
      </c>
      <c r="J2712" t="s">
        <v>211</v>
      </c>
    </row>
    <row r="2713" spans="1:10" x14ac:dyDescent="0.35">
      <c r="A2713" t="s">
        <v>2899</v>
      </c>
      <c r="B2713" s="10">
        <v>46151</v>
      </c>
      <c r="C2713" t="s">
        <v>184</v>
      </c>
      <c r="D2713" t="s">
        <v>59</v>
      </c>
      <c r="E2713" t="s">
        <v>185</v>
      </c>
      <c r="F2713" t="s">
        <v>14</v>
      </c>
      <c r="G2713">
        <v>213.41</v>
      </c>
      <c r="H2713" t="s">
        <v>15</v>
      </c>
      <c r="I2713" t="s">
        <v>36</v>
      </c>
      <c r="J2713" t="s">
        <v>61</v>
      </c>
    </row>
    <row r="2714" spans="1:10" x14ac:dyDescent="0.35">
      <c r="A2714" t="s">
        <v>2900</v>
      </c>
      <c r="B2714" s="10">
        <v>46151</v>
      </c>
      <c r="C2714" t="s">
        <v>238</v>
      </c>
      <c r="D2714" t="s">
        <v>34</v>
      </c>
      <c r="E2714" t="s">
        <v>35</v>
      </c>
      <c r="F2714" t="s">
        <v>14</v>
      </c>
      <c r="G2714">
        <v>37.26</v>
      </c>
      <c r="H2714" t="s">
        <v>21</v>
      </c>
      <c r="I2714" t="s">
        <v>16</v>
      </c>
      <c r="J2714" t="s">
        <v>239</v>
      </c>
    </row>
    <row r="2715" spans="1:10" x14ac:dyDescent="0.35">
      <c r="A2715" t="s">
        <v>2901</v>
      </c>
      <c r="B2715" s="10">
        <v>46151</v>
      </c>
      <c r="C2715" t="s">
        <v>445</v>
      </c>
      <c r="D2715" t="s">
        <v>101</v>
      </c>
      <c r="E2715" t="s">
        <v>244</v>
      </c>
      <c r="F2715" t="s">
        <v>14</v>
      </c>
      <c r="G2715">
        <v>137.63999999999999</v>
      </c>
      <c r="H2715" t="s">
        <v>15</v>
      </c>
      <c r="I2715" t="s">
        <v>22</v>
      </c>
      <c r="J2715" t="s">
        <v>103</v>
      </c>
    </row>
    <row r="2716" spans="1:10" x14ac:dyDescent="0.35">
      <c r="A2716" t="s">
        <v>2902</v>
      </c>
      <c r="B2716" s="10">
        <v>46152</v>
      </c>
      <c r="C2716" t="s">
        <v>155</v>
      </c>
      <c r="D2716" t="s">
        <v>12</v>
      </c>
      <c r="E2716" t="s">
        <v>51</v>
      </c>
      <c r="F2716" t="s">
        <v>14</v>
      </c>
      <c r="G2716">
        <v>7.47</v>
      </c>
      <c r="H2716" t="s">
        <v>15</v>
      </c>
      <c r="I2716" t="s">
        <v>36</v>
      </c>
      <c r="J2716" t="s">
        <v>48</v>
      </c>
    </row>
    <row r="2717" spans="1:10" x14ac:dyDescent="0.35">
      <c r="A2717" t="s">
        <v>2903</v>
      </c>
      <c r="B2717" s="10">
        <v>46152</v>
      </c>
      <c r="C2717" t="s">
        <v>125</v>
      </c>
      <c r="D2717" t="s">
        <v>12</v>
      </c>
      <c r="E2717" t="s">
        <v>13</v>
      </c>
      <c r="F2717" t="s">
        <v>14</v>
      </c>
      <c r="G2717">
        <v>13.57</v>
      </c>
      <c r="H2717" t="s">
        <v>98</v>
      </c>
      <c r="I2717" t="s">
        <v>22</v>
      </c>
      <c r="J2717" t="s">
        <v>44</v>
      </c>
    </row>
    <row r="2718" spans="1:10" x14ac:dyDescent="0.35">
      <c r="A2718" t="s">
        <v>2904</v>
      </c>
      <c r="B2718" s="10">
        <v>46152</v>
      </c>
      <c r="C2718" t="s">
        <v>73</v>
      </c>
      <c r="D2718" t="s">
        <v>54</v>
      </c>
      <c r="E2718" t="s">
        <v>74</v>
      </c>
      <c r="F2718" t="s">
        <v>54</v>
      </c>
      <c r="G2718">
        <v>2118.2800000000002</v>
      </c>
      <c r="H2718" t="s">
        <v>15</v>
      </c>
      <c r="I2718" t="s">
        <v>16</v>
      </c>
      <c r="J2718" t="s">
        <v>65</v>
      </c>
    </row>
    <row r="2719" spans="1:10" x14ac:dyDescent="0.35">
      <c r="A2719" t="s">
        <v>2905</v>
      </c>
      <c r="B2719" s="10">
        <v>46152</v>
      </c>
      <c r="C2719" t="s">
        <v>53</v>
      </c>
      <c r="D2719" t="s">
        <v>54</v>
      </c>
      <c r="E2719" t="s">
        <v>55</v>
      </c>
      <c r="F2719" t="s">
        <v>54</v>
      </c>
      <c r="G2719">
        <v>793.84</v>
      </c>
      <c r="H2719" t="s">
        <v>21</v>
      </c>
      <c r="I2719" t="s">
        <v>47</v>
      </c>
      <c r="J2719" t="s">
        <v>56</v>
      </c>
    </row>
    <row r="2720" spans="1:10" x14ac:dyDescent="0.35">
      <c r="A2720" t="s">
        <v>2906</v>
      </c>
      <c r="B2720" s="10">
        <v>46152</v>
      </c>
      <c r="C2720" t="s">
        <v>155</v>
      </c>
      <c r="D2720" t="s">
        <v>12</v>
      </c>
      <c r="E2720" t="s">
        <v>51</v>
      </c>
      <c r="F2720" t="s">
        <v>14</v>
      </c>
      <c r="G2720">
        <v>76.92</v>
      </c>
      <c r="H2720" t="s">
        <v>15</v>
      </c>
      <c r="I2720" t="s">
        <v>36</v>
      </c>
      <c r="J2720" t="s">
        <v>48</v>
      </c>
    </row>
    <row r="2721" spans="1:10" x14ac:dyDescent="0.35">
      <c r="A2721" t="s">
        <v>2907</v>
      </c>
      <c r="B2721" s="10">
        <v>46153</v>
      </c>
      <c r="C2721" t="s">
        <v>324</v>
      </c>
      <c r="D2721" t="s">
        <v>80</v>
      </c>
      <c r="E2721" t="s">
        <v>92</v>
      </c>
      <c r="F2721" t="s">
        <v>14</v>
      </c>
      <c r="G2721">
        <v>59.53</v>
      </c>
      <c r="H2721" t="s">
        <v>21</v>
      </c>
      <c r="I2721" t="s">
        <v>36</v>
      </c>
      <c r="J2721" t="s">
        <v>161</v>
      </c>
    </row>
    <row r="2722" spans="1:10" x14ac:dyDescent="0.35">
      <c r="A2722" t="s">
        <v>2908</v>
      </c>
      <c r="B2722" s="10">
        <v>46153</v>
      </c>
      <c r="C2722" t="s">
        <v>259</v>
      </c>
      <c r="D2722" t="s">
        <v>59</v>
      </c>
      <c r="E2722" t="s">
        <v>199</v>
      </c>
      <c r="F2722" t="s">
        <v>14</v>
      </c>
      <c r="G2722">
        <v>115.31</v>
      </c>
      <c r="H2722" t="s">
        <v>21</v>
      </c>
      <c r="I2722" t="s">
        <v>47</v>
      </c>
      <c r="J2722" t="s">
        <v>170</v>
      </c>
    </row>
    <row r="2723" spans="1:10" x14ac:dyDescent="0.35">
      <c r="A2723" t="s">
        <v>2909</v>
      </c>
      <c r="B2723" s="10">
        <v>46153</v>
      </c>
      <c r="C2723" t="s">
        <v>204</v>
      </c>
      <c r="D2723" t="s">
        <v>12</v>
      </c>
      <c r="E2723" t="s">
        <v>51</v>
      </c>
      <c r="F2723" t="s">
        <v>14</v>
      </c>
      <c r="G2723">
        <v>175.23</v>
      </c>
      <c r="H2723" t="s">
        <v>15</v>
      </c>
      <c r="I2723" t="s">
        <v>36</v>
      </c>
      <c r="J2723" t="s">
        <v>23</v>
      </c>
    </row>
    <row r="2724" spans="1:10" x14ac:dyDescent="0.35">
      <c r="A2724" t="s">
        <v>2910</v>
      </c>
      <c r="B2724" s="10">
        <v>46153</v>
      </c>
      <c r="C2724" t="s">
        <v>229</v>
      </c>
      <c r="D2724" t="s">
        <v>54</v>
      </c>
      <c r="E2724" t="s">
        <v>64</v>
      </c>
      <c r="F2724" t="s">
        <v>54</v>
      </c>
      <c r="G2724">
        <v>358.2</v>
      </c>
      <c r="H2724" t="s">
        <v>21</v>
      </c>
      <c r="I2724" t="s">
        <v>36</v>
      </c>
      <c r="J2724" t="s">
        <v>56</v>
      </c>
    </row>
    <row r="2725" spans="1:10" x14ac:dyDescent="0.35">
      <c r="A2725" t="s">
        <v>2911</v>
      </c>
      <c r="B2725" s="10">
        <v>46153</v>
      </c>
      <c r="C2725" t="s">
        <v>308</v>
      </c>
      <c r="D2725" t="s">
        <v>54</v>
      </c>
      <c r="E2725" t="s">
        <v>64</v>
      </c>
      <c r="F2725" t="s">
        <v>54</v>
      </c>
      <c r="G2725">
        <v>380.75</v>
      </c>
      <c r="H2725" t="s">
        <v>21</v>
      </c>
      <c r="I2725" t="s">
        <v>22</v>
      </c>
      <c r="J2725" t="s">
        <v>89</v>
      </c>
    </row>
    <row r="2726" spans="1:10" x14ac:dyDescent="0.35">
      <c r="A2726" t="s">
        <v>2912</v>
      </c>
      <c r="B2726" s="10">
        <v>46154</v>
      </c>
      <c r="C2726" t="s">
        <v>229</v>
      </c>
      <c r="D2726" t="s">
        <v>54</v>
      </c>
      <c r="E2726" t="s">
        <v>64</v>
      </c>
      <c r="F2726" t="s">
        <v>54</v>
      </c>
      <c r="G2726">
        <v>282.77</v>
      </c>
      <c r="H2726" t="s">
        <v>98</v>
      </c>
      <c r="I2726" t="s">
        <v>22</v>
      </c>
      <c r="J2726" t="s">
        <v>56</v>
      </c>
    </row>
    <row r="2727" spans="1:10" x14ac:dyDescent="0.35">
      <c r="A2727" t="s">
        <v>2913</v>
      </c>
      <c r="B2727" s="10">
        <v>46154</v>
      </c>
      <c r="C2727" t="s">
        <v>125</v>
      </c>
      <c r="D2727" t="s">
        <v>12</v>
      </c>
      <c r="E2727" t="s">
        <v>13</v>
      </c>
      <c r="F2727" t="s">
        <v>14</v>
      </c>
      <c r="G2727">
        <v>45.59</v>
      </c>
      <c r="H2727" t="s">
        <v>98</v>
      </c>
      <c r="I2727" t="s">
        <v>22</v>
      </c>
      <c r="J2727" t="s">
        <v>44</v>
      </c>
    </row>
    <row r="2728" spans="1:10" x14ac:dyDescent="0.35">
      <c r="A2728" t="s">
        <v>2914</v>
      </c>
      <c r="B2728" s="10">
        <v>46154</v>
      </c>
      <c r="C2728" t="s">
        <v>229</v>
      </c>
      <c r="D2728" t="s">
        <v>54</v>
      </c>
      <c r="E2728" t="s">
        <v>64</v>
      </c>
      <c r="F2728" t="s">
        <v>54</v>
      </c>
      <c r="G2728">
        <v>378.41</v>
      </c>
      <c r="H2728" t="s">
        <v>15</v>
      </c>
      <c r="I2728" t="s">
        <v>22</v>
      </c>
      <c r="J2728" t="s">
        <v>56</v>
      </c>
    </row>
    <row r="2729" spans="1:10" x14ac:dyDescent="0.35">
      <c r="A2729" t="s">
        <v>2915</v>
      </c>
      <c r="B2729" s="10">
        <v>46154</v>
      </c>
      <c r="C2729" t="s">
        <v>229</v>
      </c>
      <c r="D2729" t="s">
        <v>54</v>
      </c>
      <c r="E2729" t="s">
        <v>64</v>
      </c>
      <c r="F2729" t="s">
        <v>54</v>
      </c>
      <c r="G2729">
        <v>322.64</v>
      </c>
      <c r="H2729" t="s">
        <v>15</v>
      </c>
      <c r="I2729" t="s">
        <v>36</v>
      </c>
      <c r="J2729" t="s">
        <v>56</v>
      </c>
    </row>
    <row r="2730" spans="1:10" x14ac:dyDescent="0.35">
      <c r="A2730" t="s">
        <v>2916</v>
      </c>
      <c r="B2730" s="10">
        <v>46154</v>
      </c>
      <c r="C2730" t="s">
        <v>179</v>
      </c>
      <c r="D2730" t="s">
        <v>80</v>
      </c>
      <c r="E2730" t="s">
        <v>117</v>
      </c>
      <c r="F2730" t="s">
        <v>14</v>
      </c>
      <c r="G2730">
        <v>31.53</v>
      </c>
      <c r="H2730" t="s">
        <v>15</v>
      </c>
      <c r="I2730" t="s">
        <v>36</v>
      </c>
      <c r="J2730" t="s">
        <v>180</v>
      </c>
    </row>
    <row r="2731" spans="1:10" x14ac:dyDescent="0.35">
      <c r="A2731" t="s">
        <v>2917</v>
      </c>
      <c r="B2731" s="10">
        <v>46155</v>
      </c>
      <c r="C2731" t="s">
        <v>267</v>
      </c>
      <c r="D2731" t="s">
        <v>29</v>
      </c>
      <c r="E2731" t="s">
        <v>30</v>
      </c>
      <c r="F2731" t="s">
        <v>14</v>
      </c>
      <c r="G2731">
        <v>42.5</v>
      </c>
      <c r="H2731" t="s">
        <v>15</v>
      </c>
      <c r="I2731" t="s">
        <v>22</v>
      </c>
      <c r="J2731" t="s">
        <v>96</v>
      </c>
    </row>
    <row r="2732" spans="1:10" x14ac:dyDescent="0.35">
      <c r="A2732" t="s">
        <v>2918</v>
      </c>
      <c r="B2732" s="10">
        <v>46155</v>
      </c>
      <c r="C2732" t="s">
        <v>824</v>
      </c>
      <c r="D2732" t="s">
        <v>69</v>
      </c>
      <c r="E2732" t="s">
        <v>233</v>
      </c>
      <c r="F2732" t="s">
        <v>14</v>
      </c>
      <c r="G2732">
        <v>449.62</v>
      </c>
      <c r="H2732" t="s">
        <v>15</v>
      </c>
      <c r="I2732" t="s">
        <v>22</v>
      </c>
      <c r="J2732" t="s">
        <v>133</v>
      </c>
    </row>
    <row r="2733" spans="1:10" x14ac:dyDescent="0.35">
      <c r="A2733" t="s">
        <v>2919</v>
      </c>
      <c r="B2733" s="10">
        <v>46155</v>
      </c>
      <c r="C2733" t="s">
        <v>73</v>
      </c>
      <c r="D2733" t="s">
        <v>54</v>
      </c>
      <c r="E2733" t="s">
        <v>74</v>
      </c>
      <c r="F2733" t="s">
        <v>54</v>
      </c>
      <c r="G2733">
        <v>2659.66</v>
      </c>
      <c r="H2733" t="s">
        <v>21</v>
      </c>
      <c r="I2733" t="s">
        <v>16</v>
      </c>
      <c r="J2733" t="s">
        <v>65</v>
      </c>
    </row>
    <row r="2734" spans="1:10" x14ac:dyDescent="0.35">
      <c r="A2734" t="s">
        <v>2920</v>
      </c>
      <c r="B2734" s="10">
        <v>46155</v>
      </c>
      <c r="C2734" t="s">
        <v>426</v>
      </c>
      <c r="D2734" t="s">
        <v>69</v>
      </c>
      <c r="E2734" t="s">
        <v>70</v>
      </c>
      <c r="F2734" t="s">
        <v>14</v>
      </c>
      <c r="G2734">
        <v>438.22</v>
      </c>
      <c r="H2734" t="s">
        <v>21</v>
      </c>
      <c r="I2734" t="s">
        <v>22</v>
      </c>
      <c r="J2734" t="s">
        <v>396</v>
      </c>
    </row>
    <row r="2735" spans="1:10" x14ac:dyDescent="0.35">
      <c r="A2735" t="s">
        <v>2921</v>
      </c>
      <c r="B2735" s="10">
        <v>46155</v>
      </c>
      <c r="C2735" t="s">
        <v>138</v>
      </c>
      <c r="D2735" t="s">
        <v>12</v>
      </c>
      <c r="E2735" t="s">
        <v>26</v>
      </c>
      <c r="F2735" t="s">
        <v>14</v>
      </c>
      <c r="G2735">
        <v>53.88</v>
      </c>
      <c r="H2735" t="s">
        <v>21</v>
      </c>
      <c r="I2735" t="s">
        <v>84</v>
      </c>
      <c r="J2735" t="s">
        <v>77</v>
      </c>
    </row>
    <row r="2736" spans="1:10" x14ac:dyDescent="0.35">
      <c r="A2736" t="s">
        <v>2922</v>
      </c>
      <c r="B2736" s="10">
        <v>46155</v>
      </c>
      <c r="C2736" t="s">
        <v>39</v>
      </c>
      <c r="D2736" t="s">
        <v>34</v>
      </c>
      <c r="E2736" t="s">
        <v>40</v>
      </c>
      <c r="F2736" t="s">
        <v>14</v>
      </c>
      <c r="G2736">
        <v>37.159999999999997</v>
      </c>
      <c r="H2736" t="s">
        <v>15</v>
      </c>
      <c r="I2736" t="s">
        <v>36</v>
      </c>
      <c r="J2736" t="s">
        <v>41</v>
      </c>
    </row>
    <row r="2737" spans="1:10" x14ac:dyDescent="0.35">
      <c r="A2737" t="s">
        <v>2923</v>
      </c>
      <c r="B2737" s="10">
        <v>46155</v>
      </c>
      <c r="C2737" t="s">
        <v>172</v>
      </c>
      <c r="D2737" t="s">
        <v>101</v>
      </c>
      <c r="E2737" t="s">
        <v>102</v>
      </c>
      <c r="F2737" t="s">
        <v>14</v>
      </c>
      <c r="G2737">
        <v>172.02</v>
      </c>
      <c r="H2737" t="s">
        <v>98</v>
      </c>
      <c r="I2737" t="s">
        <v>22</v>
      </c>
      <c r="J2737" t="s">
        <v>102</v>
      </c>
    </row>
    <row r="2738" spans="1:10" x14ac:dyDescent="0.35">
      <c r="A2738" t="s">
        <v>2924</v>
      </c>
      <c r="B2738" s="10">
        <v>46155</v>
      </c>
      <c r="C2738" t="s">
        <v>88</v>
      </c>
      <c r="D2738" t="s">
        <v>54</v>
      </c>
      <c r="E2738" t="s">
        <v>74</v>
      </c>
      <c r="F2738" t="s">
        <v>54</v>
      </c>
      <c r="G2738">
        <v>2450.65</v>
      </c>
      <c r="H2738" t="s">
        <v>98</v>
      </c>
      <c r="I2738" t="s">
        <v>36</v>
      </c>
      <c r="J2738" t="s">
        <v>89</v>
      </c>
    </row>
    <row r="2739" spans="1:10" x14ac:dyDescent="0.35">
      <c r="A2739" t="s">
        <v>2925</v>
      </c>
      <c r="B2739" s="10">
        <v>46155</v>
      </c>
      <c r="C2739" t="s">
        <v>184</v>
      </c>
      <c r="D2739" t="s">
        <v>59</v>
      </c>
      <c r="E2739" t="s">
        <v>185</v>
      </c>
      <c r="F2739" t="s">
        <v>14</v>
      </c>
      <c r="G2739">
        <v>190.52</v>
      </c>
      <c r="H2739" t="s">
        <v>15</v>
      </c>
      <c r="I2739" t="s">
        <v>22</v>
      </c>
      <c r="J2739" t="s">
        <v>61</v>
      </c>
    </row>
    <row r="2740" spans="1:10" x14ac:dyDescent="0.35">
      <c r="A2740" t="s">
        <v>2926</v>
      </c>
      <c r="B2740" s="10">
        <v>46155</v>
      </c>
      <c r="C2740" t="s">
        <v>308</v>
      </c>
      <c r="D2740" t="s">
        <v>54</v>
      </c>
      <c r="E2740" t="s">
        <v>64</v>
      </c>
      <c r="F2740" t="s">
        <v>54</v>
      </c>
      <c r="G2740">
        <v>382.98</v>
      </c>
      <c r="H2740" t="s">
        <v>15</v>
      </c>
      <c r="I2740" t="s">
        <v>47</v>
      </c>
      <c r="J2740" t="s">
        <v>89</v>
      </c>
    </row>
    <row r="2741" spans="1:10" x14ac:dyDescent="0.35">
      <c r="A2741" t="s">
        <v>2927</v>
      </c>
      <c r="B2741" s="10">
        <v>46155</v>
      </c>
      <c r="C2741" t="s">
        <v>296</v>
      </c>
      <c r="D2741" t="s">
        <v>101</v>
      </c>
      <c r="E2741" t="s">
        <v>136</v>
      </c>
      <c r="F2741" t="s">
        <v>14</v>
      </c>
      <c r="G2741">
        <v>15.39</v>
      </c>
      <c r="H2741" t="s">
        <v>15</v>
      </c>
      <c r="I2741" t="s">
        <v>22</v>
      </c>
      <c r="J2741" t="s">
        <v>136</v>
      </c>
    </row>
    <row r="2742" spans="1:10" x14ac:dyDescent="0.35">
      <c r="A2742" t="s">
        <v>2928</v>
      </c>
      <c r="B2742" s="10">
        <v>46156</v>
      </c>
      <c r="C2742" t="s">
        <v>269</v>
      </c>
      <c r="D2742" t="s">
        <v>34</v>
      </c>
      <c r="E2742" t="s">
        <v>35</v>
      </c>
      <c r="F2742" t="s">
        <v>14</v>
      </c>
      <c r="G2742">
        <v>149.13999999999999</v>
      </c>
      <c r="H2742" t="s">
        <v>21</v>
      </c>
      <c r="I2742" t="s">
        <v>84</v>
      </c>
      <c r="J2742" t="s">
        <v>123</v>
      </c>
    </row>
    <row r="2743" spans="1:10" x14ac:dyDescent="0.35">
      <c r="A2743" t="s">
        <v>2929</v>
      </c>
      <c r="B2743" s="10">
        <v>46156</v>
      </c>
      <c r="C2743" t="s">
        <v>189</v>
      </c>
      <c r="D2743" t="s">
        <v>34</v>
      </c>
      <c r="E2743" t="s">
        <v>122</v>
      </c>
      <c r="F2743" t="s">
        <v>14</v>
      </c>
      <c r="G2743">
        <v>40.450000000000003</v>
      </c>
      <c r="H2743" t="s">
        <v>15</v>
      </c>
      <c r="I2743" t="s">
        <v>22</v>
      </c>
      <c r="J2743" t="s">
        <v>37</v>
      </c>
    </row>
    <row r="2744" spans="1:10" x14ac:dyDescent="0.35">
      <c r="A2744" t="s">
        <v>2930</v>
      </c>
      <c r="B2744" s="10">
        <v>46156</v>
      </c>
      <c r="C2744" t="s">
        <v>580</v>
      </c>
      <c r="D2744" t="s">
        <v>80</v>
      </c>
      <c r="E2744" t="s">
        <v>81</v>
      </c>
      <c r="F2744" t="s">
        <v>14</v>
      </c>
      <c r="G2744">
        <v>240.28</v>
      </c>
      <c r="H2744" t="s">
        <v>21</v>
      </c>
      <c r="I2744" t="s">
        <v>22</v>
      </c>
      <c r="J2744" t="s">
        <v>118</v>
      </c>
    </row>
    <row r="2745" spans="1:10" x14ac:dyDescent="0.35">
      <c r="A2745" t="s">
        <v>2931</v>
      </c>
      <c r="B2745" s="10">
        <v>46156</v>
      </c>
      <c r="C2745" t="s">
        <v>138</v>
      </c>
      <c r="D2745" t="s">
        <v>12</v>
      </c>
      <c r="E2745" t="s">
        <v>26</v>
      </c>
      <c r="F2745" t="s">
        <v>14</v>
      </c>
      <c r="G2745">
        <v>89.73</v>
      </c>
      <c r="H2745" t="s">
        <v>98</v>
      </c>
      <c r="I2745" t="s">
        <v>47</v>
      </c>
      <c r="J2745" t="s">
        <v>77</v>
      </c>
    </row>
    <row r="2746" spans="1:10" x14ac:dyDescent="0.35">
      <c r="A2746" t="s">
        <v>2932</v>
      </c>
      <c r="B2746" s="10">
        <v>46156</v>
      </c>
      <c r="C2746" t="s">
        <v>217</v>
      </c>
      <c r="D2746" t="s">
        <v>80</v>
      </c>
      <c r="E2746" t="s">
        <v>81</v>
      </c>
      <c r="F2746" t="s">
        <v>14</v>
      </c>
      <c r="G2746">
        <v>90.05</v>
      </c>
      <c r="H2746" t="s">
        <v>15</v>
      </c>
      <c r="I2746" t="s">
        <v>22</v>
      </c>
      <c r="J2746" t="s">
        <v>180</v>
      </c>
    </row>
    <row r="2747" spans="1:10" x14ac:dyDescent="0.35">
      <c r="A2747" t="s">
        <v>2933</v>
      </c>
      <c r="B2747" s="10">
        <v>46156</v>
      </c>
      <c r="C2747" t="s">
        <v>177</v>
      </c>
      <c r="D2747" t="s">
        <v>54</v>
      </c>
      <c r="E2747" t="s">
        <v>74</v>
      </c>
      <c r="F2747" t="s">
        <v>54</v>
      </c>
      <c r="G2747">
        <v>2794.18</v>
      </c>
      <c r="H2747" t="s">
        <v>21</v>
      </c>
      <c r="I2747" t="s">
        <v>84</v>
      </c>
      <c r="J2747" t="s">
        <v>56</v>
      </c>
    </row>
    <row r="2748" spans="1:10" x14ac:dyDescent="0.35">
      <c r="A2748" t="s">
        <v>2934</v>
      </c>
      <c r="B2748" s="10">
        <v>46156</v>
      </c>
      <c r="C2748" t="s">
        <v>91</v>
      </c>
      <c r="D2748" t="s">
        <v>80</v>
      </c>
      <c r="E2748" t="s">
        <v>92</v>
      </c>
      <c r="F2748" t="s">
        <v>14</v>
      </c>
      <c r="G2748">
        <v>76.489999999999995</v>
      </c>
      <c r="H2748" t="s">
        <v>21</v>
      </c>
      <c r="I2748" t="s">
        <v>47</v>
      </c>
      <c r="J2748" t="s">
        <v>82</v>
      </c>
    </row>
    <row r="2749" spans="1:10" x14ac:dyDescent="0.35">
      <c r="A2749" t="s">
        <v>2935</v>
      </c>
      <c r="B2749" s="10">
        <v>46156</v>
      </c>
      <c r="C2749" t="s">
        <v>46</v>
      </c>
      <c r="D2749" t="s">
        <v>12</v>
      </c>
      <c r="E2749" t="s">
        <v>13</v>
      </c>
      <c r="F2749" t="s">
        <v>14</v>
      </c>
      <c r="G2749">
        <v>121.79</v>
      </c>
      <c r="H2749" t="s">
        <v>15</v>
      </c>
      <c r="I2749" t="s">
        <v>36</v>
      </c>
      <c r="J2749" t="s">
        <v>48</v>
      </c>
    </row>
    <row r="2750" spans="1:10" x14ac:dyDescent="0.35">
      <c r="A2750" t="s">
        <v>2936</v>
      </c>
      <c r="B2750" s="10">
        <v>46157</v>
      </c>
      <c r="C2750" t="s">
        <v>198</v>
      </c>
      <c r="D2750" t="s">
        <v>59</v>
      </c>
      <c r="E2750" t="s">
        <v>199</v>
      </c>
      <c r="F2750" t="s">
        <v>14</v>
      </c>
      <c r="G2750">
        <v>252.52</v>
      </c>
      <c r="H2750" t="s">
        <v>21</v>
      </c>
      <c r="I2750" t="s">
        <v>36</v>
      </c>
      <c r="J2750" t="s">
        <v>61</v>
      </c>
    </row>
    <row r="2751" spans="1:10" x14ac:dyDescent="0.35">
      <c r="A2751" t="s">
        <v>2937</v>
      </c>
      <c r="B2751" s="10">
        <v>46157</v>
      </c>
      <c r="C2751" t="s">
        <v>19</v>
      </c>
      <c r="D2751" t="s">
        <v>12</v>
      </c>
      <c r="E2751" t="s">
        <v>13</v>
      </c>
      <c r="F2751" t="s">
        <v>14</v>
      </c>
      <c r="G2751">
        <v>99.57</v>
      </c>
      <c r="H2751" t="s">
        <v>15</v>
      </c>
      <c r="I2751" t="s">
        <v>22</v>
      </c>
      <c r="J2751" t="s">
        <v>23</v>
      </c>
    </row>
    <row r="2752" spans="1:10" x14ac:dyDescent="0.35">
      <c r="A2752" t="s">
        <v>2938</v>
      </c>
      <c r="B2752" s="10">
        <v>46157</v>
      </c>
      <c r="C2752" t="s">
        <v>46</v>
      </c>
      <c r="D2752" t="s">
        <v>12</v>
      </c>
      <c r="E2752" t="s">
        <v>13</v>
      </c>
      <c r="F2752" t="s">
        <v>14</v>
      </c>
      <c r="G2752">
        <v>54.81</v>
      </c>
      <c r="H2752" t="s">
        <v>15</v>
      </c>
      <c r="I2752" t="s">
        <v>22</v>
      </c>
      <c r="J2752" t="s">
        <v>48</v>
      </c>
    </row>
    <row r="2753" spans="1:10" x14ac:dyDescent="0.35">
      <c r="A2753" t="s">
        <v>2939</v>
      </c>
      <c r="B2753" s="10">
        <v>46157</v>
      </c>
      <c r="C2753" t="s">
        <v>253</v>
      </c>
      <c r="D2753" t="s">
        <v>29</v>
      </c>
      <c r="E2753" t="s">
        <v>30</v>
      </c>
      <c r="F2753" t="s">
        <v>14</v>
      </c>
      <c r="G2753">
        <v>48.58</v>
      </c>
      <c r="H2753" t="s">
        <v>15</v>
      </c>
      <c r="I2753" t="s">
        <v>36</v>
      </c>
      <c r="J2753" t="s">
        <v>158</v>
      </c>
    </row>
    <row r="2754" spans="1:10" x14ac:dyDescent="0.35">
      <c r="A2754" t="s">
        <v>2940</v>
      </c>
      <c r="B2754" s="10">
        <v>46157</v>
      </c>
      <c r="C2754" t="s">
        <v>76</v>
      </c>
      <c r="D2754" t="s">
        <v>12</v>
      </c>
      <c r="E2754" t="s">
        <v>13</v>
      </c>
      <c r="F2754" t="s">
        <v>14</v>
      </c>
      <c r="G2754">
        <v>16.16</v>
      </c>
      <c r="H2754" t="s">
        <v>15</v>
      </c>
      <c r="I2754" t="s">
        <v>47</v>
      </c>
      <c r="J2754" t="s">
        <v>77</v>
      </c>
    </row>
    <row r="2755" spans="1:10" x14ac:dyDescent="0.35">
      <c r="A2755" t="s">
        <v>2941</v>
      </c>
      <c r="B2755" s="10">
        <v>46157</v>
      </c>
      <c r="C2755" t="s">
        <v>189</v>
      </c>
      <c r="D2755" t="s">
        <v>34</v>
      </c>
      <c r="E2755" t="s">
        <v>122</v>
      </c>
      <c r="F2755" t="s">
        <v>14</v>
      </c>
      <c r="G2755">
        <v>276.13</v>
      </c>
      <c r="H2755" t="s">
        <v>21</v>
      </c>
      <c r="I2755" t="s">
        <v>47</v>
      </c>
      <c r="J2755" t="s">
        <v>37</v>
      </c>
    </row>
    <row r="2756" spans="1:10" x14ac:dyDescent="0.35">
      <c r="A2756" t="s">
        <v>2942</v>
      </c>
      <c r="B2756" s="10">
        <v>46157</v>
      </c>
      <c r="C2756" t="s">
        <v>138</v>
      </c>
      <c r="D2756" t="s">
        <v>12</v>
      </c>
      <c r="E2756" t="s">
        <v>26</v>
      </c>
      <c r="F2756" t="s">
        <v>14</v>
      </c>
      <c r="G2756">
        <v>43.91</v>
      </c>
      <c r="H2756" t="s">
        <v>15</v>
      </c>
      <c r="I2756" t="s">
        <v>36</v>
      </c>
      <c r="J2756" t="s">
        <v>77</v>
      </c>
    </row>
    <row r="2757" spans="1:10" x14ac:dyDescent="0.35">
      <c r="A2757" t="s">
        <v>2943</v>
      </c>
      <c r="B2757" s="10">
        <v>46158</v>
      </c>
      <c r="C2757" t="s">
        <v>39</v>
      </c>
      <c r="D2757" t="s">
        <v>34</v>
      </c>
      <c r="E2757" t="s">
        <v>40</v>
      </c>
      <c r="F2757" t="s">
        <v>14</v>
      </c>
      <c r="G2757">
        <v>137.13999999999999</v>
      </c>
      <c r="H2757" t="s">
        <v>15</v>
      </c>
      <c r="I2757" t="s">
        <v>84</v>
      </c>
      <c r="J2757" t="s">
        <v>41</v>
      </c>
    </row>
    <row r="2758" spans="1:10" x14ac:dyDescent="0.35">
      <c r="A2758" t="s">
        <v>2944</v>
      </c>
      <c r="B2758" s="10">
        <v>46158</v>
      </c>
      <c r="C2758" t="s">
        <v>445</v>
      </c>
      <c r="D2758" t="s">
        <v>101</v>
      </c>
      <c r="E2758" t="s">
        <v>244</v>
      </c>
      <c r="F2758" t="s">
        <v>14</v>
      </c>
      <c r="G2758">
        <v>100.57</v>
      </c>
      <c r="H2758" t="s">
        <v>15</v>
      </c>
      <c r="I2758" t="s">
        <v>22</v>
      </c>
      <c r="J2758" t="s">
        <v>103</v>
      </c>
    </row>
    <row r="2759" spans="1:10" x14ac:dyDescent="0.35">
      <c r="A2759" t="s">
        <v>2945</v>
      </c>
      <c r="B2759" s="10">
        <v>46158</v>
      </c>
      <c r="C2759" t="s">
        <v>153</v>
      </c>
      <c r="D2759" t="s">
        <v>34</v>
      </c>
      <c r="E2759" t="s">
        <v>122</v>
      </c>
      <c r="F2759" t="s">
        <v>14</v>
      </c>
      <c r="G2759">
        <v>76.33</v>
      </c>
      <c r="H2759" t="s">
        <v>21</v>
      </c>
      <c r="I2759" t="s">
        <v>22</v>
      </c>
      <c r="J2759" t="s">
        <v>41</v>
      </c>
    </row>
    <row r="2760" spans="1:10" x14ac:dyDescent="0.35">
      <c r="A2760" t="s">
        <v>2946</v>
      </c>
      <c r="B2760" s="10">
        <v>46158</v>
      </c>
      <c r="C2760" t="s">
        <v>168</v>
      </c>
      <c r="D2760" t="s">
        <v>59</v>
      </c>
      <c r="E2760" t="s">
        <v>60</v>
      </c>
      <c r="F2760" t="s">
        <v>14</v>
      </c>
      <c r="G2760">
        <v>671.13</v>
      </c>
      <c r="H2760" t="s">
        <v>15</v>
      </c>
      <c r="I2760" t="s">
        <v>47</v>
      </c>
      <c r="J2760" t="s">
        <v>170</v>
      </c>
    </row>
    <row r="2761" spans="1:10" x14ac:dyDescent="0.35">
      <c r="A2761" t="s">
        <v>2947</v>
      </c>
      <c r="B2761" s="10">
        <v>46159</v>
      </c>
      <c r="C2761" t="s">
        <v>308</v>
      </c>
      <c r="D2761" t="s">
        <v>54</v>
      </c>
      <c r="E2761" t="s">
        <v>64</v>
      </c>
      <c r="F2761" t="s">
        <v>54</v>
      </c>
      <c r="G2761">
        <v>447.46</v>
      </c>
      <c r="H2761" t="s">
        <v>15</v>
      </c>
      <c r="I2761" t="s">
        <v>22</v>
      </c>
      <c r="J2761" t="s">
        <v>89</v>
      </c>
    </row>
    <row r="2762" spans="1:10" x14ac:dyDescent="0.35">
      <c r="A2762" t="s">
        <v>2948</v>
      </c>
      <c r="B2762" s="10">
        <v>46159</v>
      </c>
      <c r="C2762" t="s">
        <v>43</v>
      </c>
      <c r="D2762" t="s">
        <v>12</v>
      </c>
      <c r="E2762" t="s">
        <v>26</v>
      </c>
      <c r="F2762" t="s">
        <v>14</v>
      </c>
      <c r="G2762">
        <v>49.45</v>
      </c>
      <c r="H2762" t="s">
        <v>15</v>
      </c>
      <c r="I2762" t="s">
        <v>22</v>
      </c>
      <c r="J2762" t="s">
        <v>44</v>
      </c>
    </row>
    <row r="2763" spans="1:10" x14ac:dyDescent="0.35">
      <c r="A2763" t="s">
        <v>2949</v>
      </c>
      <c r="B2763" s="10">
        <v>46159</v>
      </c>
      <c r="C2763" t="s">
        <v>175</v>
      </c>
      <c r="D2763" t="s">
        <v>80</v>
      </c>
      <c r="E2763" t="s">
        <v>92</v>
      </c>
      <c r="F2763" t="s">
        <v>14</v>
      </c>
      <c r="G2763">
        <v>158.16999999999999</v>
      </c>
      <c r="H2763" t="s">
        <v>15</v>
      </c>
      <c r="I2763" t="s">
        <v>22</v>
      </c>
      <c r="J2763" t="s">
        <v>141</v>
      </c>
    </row>
    <row r="2764" spans="1:10" x14ac:dyDescent="0.35">
      <c r="A2764" t="s">
        <v>2950</v>
      </c>
      <c r="B2764" s="10">
        <v>46159</v>
      </c>
      <c r="C2764" t="s">
        <v>324</v>
      </c>
      <c r="D2764" t="s">
        <v>80</v>
      </c>
      <c r="E2764" t="s">
        <v>92</v>
      </c>
      <c r="F2764" t="s">
        <v>14</v>
      </c>
      <c r="G2764">
        <v>80.319999999999993</v>
      </c>
      <c r="H2764" t="s">
        <v>21</v>
      </c>
      <c r="I2764" t="s">
        <v>47</v>
      </c>
      <c r="J2764" t="s">
        <v>161</v>
      </c>
    </row>
    <row r="2765" spans="1:10" x14ac:dyDescent="0.35">
      <c r="A2765" t="s">
        <v>2951</v>
      </c>
      <c r="B2765" s="10">
        <v>46160</v>
      </c>
      <c r="C2765" t="s">
        <v>267</v>
      </c>
      <c r="D2765" t="s">
        <v>29</v>
      </c>
      <c r="E2765" t="s">
        <v>30</v>
      </c>
      <c r="F2765" t="s">
        <v>14</v>
      </c>
      <c r="G2765">
        <v>53.18</v>
      </c>
      <c r="H2765" t="s">
        <v>21</v>
      </c>
      <c r="I2765" t="s">
        <v>22</v>
      </c>
      <c r="J2765" t="s">
        <v>96</v>
      </c>
    </row>
    <row r="2766" spans="1:10" x14ac:dyDescent="0.35">
      <c r="A2766" t="s">
        <v>2952</v>
      </c>
      <c r="B2766" s="10">
        <v>46160</v>
      </c>
      <c r="C2766" t="s">
        <v>1491</v>
      </c>
      <c r="D2766" t="s">
        <v>69</v>
      </c>
      <c r="E2766" t="s">
        <v>233</v>
      </c>
      <c r="F2766" t="s">
        <v>14</v>
      </c>
      <c r="G2766">
        <v>169.65</v>
      </c>
      <c r="H2766" t="s">
        <v>21</v>
      </c>
      <c r="I2766" t="s">
        <v>36</v>
      </c>
      <c r="J2766" t="s">
        <v>396</v>
      </c>
    </row>
    <row r="2767" spans="1:10" x14ac:dyDescent="0.35">
      <c r="A2767" t="s">
        <v>2953</v>
      </c>
      <c r="B2767" s="10">
        <v>46160</v>
      </c>
      <c r="C2767" t="s">
        <v>88</v>
      </c>
      <c r="D2767" t="s">
        <v>54</v>
      </c>
      <c r="E2767" t="s">
        <v>74</v>
      </c>
      <c r="F2767" t="s">
        <v>54</v>
      </c>
      <c r="G2767">
        <v>2164.1999999999998</v>
      </c>
      <c r="H2767" t="s">
        <v>21</v>
      </c>
      <c r="I2767" t="s">
        <v>36</v>
      </c>
      <c r="J2767" t="s">
        <v>89</v>
      </c>
    </row>
    <row r="2768" spans="1:10" x14ac:dyDescent="0.35">
      <c r="A2768" t="s">
        <v>2954</v>
      </c>
      <c r="B2768" s="10">
        <v>46160</v>
      </c>
      <c r="C2768" t="s">
        <v>238</v>
      </c>
      <c r="D2768" t="s">
        <v>34</v>
      </c>
      <c r="E2768" t="s">
        <v>35</v>
      </c>
      <c r="F2768" t="s">
        <v>14</v>
      </c>
      <c r="G2768">
        <v>59.57</v>
      </c>
      <c r="H2768" t="s">
        <v>21</v>
      </c>
      <c r="I2768" t="s">
        <v>84</v>
      </c>
      <c r="J2768" t="s">
        <v>239</v>
      </c>
    </row>
    <row r="2769" spans="1:10" x14ac:dyDescent="0.35">
      <c r="A2769" t="s">
        <v>2955</v>
      </c>
      <c r="B2769" s="10">
        <v>46160</v>
      </c>
      <c r="C2769" t="s">
        <v>262</v>
      </c>
      <c r="D2769" t="s">
        <v>101</v>
      </c>
      <c r="E2769" t="s">
        <v>244</v>
      </c>
      <c r="F2769" t="s">
        <v>14</v>
      </c>
      <c r="G2769">
        <v>158.47999999999999</v>
      </c>
      <c r="H2769" t="s">
        <v>98</v>
      </c>
      <c r="I2769" t="s">
        <v>22</v>
      </c>
      <c r="J2769" t="s">
        <v>136</v>
      </c>
    </row>
    <row r="2770" spans="1:10" x14ac:dyDescent="0.35">
      <c r="A2770" t="s">
        <v>2956</v>
      </c>
      <c r="B2770" s="10">
        <v>46160</v>
      </c>
      <c r="C2770" t="s">
        <v>415</v>
      </c>
      <c r="D2770" t="s">
        <v>12</v>
      </c>
      <c r="E2770" t="s">
        <v>51</v>
      </c>
      <c r="F2770" t="s">
        <v>14</v>
      </c>
      <c r="G2770">
        <v>36.700000000000003</v>
      </c>
      <c r="H2770" t="s">
        <v>15</v>
      </c>
      <c r="I2770" t="s">
        <v>84</v>
      </c>
      <c r="J2770" t="s">
        <v>77</v>
      </c>
    </row>
    <row r="2771" spans="1:10" x14ac:dyDescent="0.35">
      <c r="A2771" t="s">
        <v>2957</v>
      </c>
      <c r="B2771" s="10">
        <v>46160</v>
      </c>
      <c r="C2771" t="s">
        <v>210</v>
      </c>
      <c r="D2771" t="s">
        <v>59</v>
      </c>
      <c r="E2771" t="s">
        <v>185</v>
      </c>
      <c r="F2771" t="s">
        <v>14</v>
      </c>
      <c r="G2771">
        <v>107.35</v>
      </c>
      <c r="H2771" t="s">
        <v>21</v>
      </c>
      <c r="I2771" t="s">
        <v>22</v>
      </c>
      <c r="J2771" t="s">
        <v>211</v>
      </c>
    </row>
    <row r="2772" spans="1:10" x14ac:dyDescent="0.35">
      <c r="A2772" t="s">
        <v>2958</v>
      </c>
      <c r="B2772" s="10">
        <v>46161</v>
      </c>
      <c r="C2772" t="s">
        <v>189</v>
      </c>
      <c r="D2772" t="s">
        <v>34</v>
      </c>
      <c r="E2772" t="s">
        <v>122</v>
      </c>
      <c r="F2772" t="s">
        <v>14</v>
      </c>
      <c r="G2772">
        <v>310.20999999999998</v>
      </c>
      <c r="H2772" t="s">
        <v>21</v>
      </c>
      <c r="I2772" t="s">
        <v>22</v>
      </c>
      <c r="J2772" t="s">
        <v>37</v>
      </c>
    </row>
    <row r="2773" spans="1:10" x14ac:dyDescent="0.35">
      <c r="A2773" t="s">
        <v>2959</v>
      </c>
      <c r="B2773" s="10">
        <v>46161</v>
      </c>
      <c r="C2773" t="s">
        <v>53</v>
      </c>
      <c r="D2773" t="s">
        <v>54</v>
      </c>
      <c r="E2773" t="s">
        <v>55</v>
      </c>
      <c r="F2773" t="s">
        <v>54</v>
      </c>
      <c r="G2773">
        <v>784.62</v>
      </c>
      <c r="H2773" t="s">
        <v>15</v>
      </c>
      <c r="I2773" t="s">
        <v>16</v>
      </c>
      <c r="J2773" t="s">
        <v>56</v>
      </c>
    </row>
    <row r="2774" spans="1:10" x14ac:dyDescent="0.35">
      <c r="A2774" t="s">
        <v>2960</v>
      </c>
      <c r="B2774" s="10">
        <v>46162</v>
      </c>
      <c r="C2774" t="s">
        <v>217</v>
      </c>
      <c r="D2774" t="s">
        <v>80</v>
      </c>
      <c r="E2774" t="s">
        <v>81</v>
      </c>
      <c r="F2774" t="s">
        <v>14</v>
      </c>
      <c r="G2774">
        <v>16.47</v>
      </c>
      <c r="H2774" t="s">
        <v>21</v>
      </c>
      <c r="I2774" t="s">
        <v>36</v>
      </c>
      <c r="J2774" t="s">
        <v>180</v>
      </c>
    </row>
    <row r="2775" spans="1:10" x14ac:dyDescent="0.35">
      <c r="A2775" t="s">
        <v>2961</v>
      </c>
      <c r="B2775" s="10">
        <v>46162</v>
      </c>
      <c r="C2775" t="s">
        <v>308</v>
      </c>
      <c r="D2775" t="s">
        <v>54</v>
      </c>
      <c r="E2775" t="s">
        <v>64</v>
      </c>
      <c r="F2775" t="s">
        <v>54</v>
      </c>
      <c r="G2775">
        <v>407.57</v>
      </c>
      <c r="H2775" t="s">
        <v>15</v>
      </c>
      <c r="I2775" t="s">
        <v>22</v>
      </c>
      <c r="J2775" t="s">
        <v>89</v>
      </c>
    </row>
    <row r="2776" spans="1:10" x14ac:dyDescent="0.35">
      <c r="A2776" t="s">
        <v>2962</v>
      </c>
      <c r="B2776" s="10">
        <v>46162</v>
      </c>
      <c r="C2776" t="s">
        <v>153</v>
      </c>
      <c r="D2776" t="s">
        <v>34</v>
      </c>
      <c r="E2776" t="s">
        <v>122</v>
      </c>
      <c r="F2776" t="s">
        <v>14</v>
      </c>
      <c r="G2776">
        <v>117.66</v>
      </c>
      <c r="H2776" t="s">
        <v>21</v>
      </c>
      <c r="I2776" t="s">
        <v>22</v>
      </c>
      <c r="J2776" t="s">
        <v>41</v>
      </c>
    </row>
    <row r="2777" spans="1:10" x14ac:dyDescent="0.35">
      <c r="A2777" t="s">
        <v>2963</v>
      </c>
      <c r="B2777" s="10">
        <v>46162</v>
      </c>
      <c r="C2777" t="s">
        <v>464</v>
      </c>
      <c r="D2777" t="s">
        <v>34</v>
      </c>
      <c r="E2777" t="s">
        <v>122</v>
      </c>
      <c r="F2777" t="s">
        <v>14</v>
      </c>
      <c r="G2777">
        <v>188.23</v>
      </c>
      <c r="H2777" t="s">
        <v>98</v>
      </c>
      <c r="I2777" t="s">
        <v>36</v>
      </c>
      <c r="J2777" t="s">
        <v>239</v>
      </c>
    </row>
    <row r="2778" spans="1:10" x14ac:dyDescent="0.35">
      <c r="A2778" t="s">
        <v>2964</v>
      </c>
      <c r="B2778" s="10">
        <v>46162</v>
      </c>
      <c r="C2778" t="s">
        <v>238</v>
      </c>
      <c r="D2778" t="s">
        <v>34</v>
      </c>
      <c r="E2778" t="s">
        <v>35</v>
      </c>
      <c r="F2778" t="s">
        <v>14</v>
      </c>
      <c r="G2778">
        <v>105.46</v>
      </c>
      <c r="H2778" t="s">
        <v>15</v>
      </c>
      <c r="I2778" t="s">
        <v>22</v>
      </c>
      <c r="J2778" t="s">
        <v>239</v>
      </c>
    </row>
    <row r="2779" spans="1:10" x14ac:dyDescent="0.35">
      <c r="A2779" t="s">
        <v>2965</v>
      </c>
      <c r="B2779" s="10">
        <v>46162</v>
      </c>
      <c r="C2779" t="s">
        <v>345</v>
      </c>
      <c r="D2779" t="s">
        <v>59</v>
      </c>
      <c r="E2779" t="s">
        <v>60</v>
      </c>
      <c r="F2779" t="s">
        <v>14</v>
      </c>
      <c r="G2779">
        <v>201.5</v>
      </c>
      <c r="H2779" t="s">
        <v>15</v>
      </c>
      <c r="I2779" t="s">
        <v>16</v>
      </c>
      <c r="J2779" t="s">
        <v>211</v>
      </c>
    </row>
    <row r="2780" spans="1:10" x14ac:dyDescent="0.35">
      <c r="A2780" t="s">
        <v>2966</v>
      </c>
      <c r="B2780" s="10">
        <v>46163</v>
      </c>
      <c r="C2780" t="s">
        <v>227</v>
      </c>
      <c r="D2780" t="s">
        <v>12</v>
      </c>
      <c r="E2780" t="s">
        <v>51</v>
      </c>
      <c r="F2780" t="s">
        <v>14</v>
      </c>
      <c r="G2780">
        <v>30.63</v>
      </c>
      <c r="H2780" t="s">
        <v>21</v>
      </c>
      <c r="I2780" t="s">
        <v>84</v>
      </c>
      <c r="J2780" t="s">
        <v>17</v>
      </c>
    </row>
    <row r="2781" spans="1:10" x14ac:dyDescent="0.35">
      <c r="A2781" t="s">
        <v>2967</v>
      </c>
      <c r="B2781" s="10">
        <v>46163</v>
      </c>
      <c r="C2781" t="s">
        <v>138</v>
      </c>
      <c r="D2781" t="s">
        <v>12</v>
      </c>
      <c r="E2781" t="s">
        <v>26</v>
      </c>
      <c r="F2781" t="s">
        <v>14</v>
      </c>
      <c r="G2781">
        <v>52.75</v>
      </c>
      <c r="H2781" t="s">
        <v>21</v>
      </c>
      <c r="I2781" t="s">
        <v>22</v>
      </c>
      <c r="J2781" t="s">
        <v>77</v>
      </c>
    </row>
    <row r="2782" spans="1:10" x14ac:dyDescent="0.35">
      <c r="A2782" t="s">
        <v>2968</v>
      </c>
      <c r="B2782" s="10">
        <v>46163</v>
      </c>
      <c r="C2782" t="s">
        <v>50</v>
      </c>
      <c r="D2782" t="s">
        <v>12</v>
      </c>
      <c r="E2782" t="s">
        <v>51</v>
      </c>
      <c r="F2782" t="s">
        <v>14</v>
      </c>
      <c r="G2782">
        <v>101.22</v>
      </c>
      <c r="H2782" t="s">
        <v>21</v>
      </c>
      <c r="I2782" t="s">
        <v>22</v>
      </c>
      <c r="J2782" t="s">
        <v>44</v>
      </c>
    </row>
    <row r="2783" spans="1:10" x14ac:dyDescent="0.35">
      <c r="A2783" t="s">
        <v>2969</v>
      </c>
      <c r="B2783" s="10">
        <v>46163</v>
      </c>
      <c r="C2783" t="s">
        <v>143</v>
      </c>
      <c r="D2783" t="s">
        <v>54</v>
      </c>
      <c r="E2783" t="s">
        <v>55</v>
      </c>
      <c r="F2783" t="s">
        <v>54</v>
      </c>
      <c r="G2783">
        <v>626.66999999999996</v>
      </c>
      <c r="H2783" t="s">
        <v>98</v>
      </c>
      <c r="I2783" t="s">
        <v>36</v>
      </c>
      <c r="J2783" t="s">
        <v>89</v>
      </c>
    </row>
    <row r="2784" spans="1:10" x14ac:dyDescent="0.35">
      <c r="A2784" t="s">
        <v>2970</v>
      </c>
      <c r="B2784" s="10">
        <v>46163</v>
      </c>
      <c r="C2784" t="s">
        <v>411</v>
      </c>
      <c r="D2784" t="s">
        <v>29</v>
      </c>
      <c r="E2784" t="s">
        <v>151</v>
      </c>
      <c r="F2784" t="s">
        <v>14</v>
      </c>
      <c r="G2784">
        <v>7.72</v>
      </c>
      <c r="H2784" t="s">
        <v>21</v>
      </c>
      <c r="I2784" t="s">
        <v>47</v>
      </c>
      <c r="J2784" t="s">
        <v>151</v>
      </c>
    </row>
    <row r="2785" spans="1:10" x14ac:dyDescent="0.35">
      <c r="A2785" t="s">
        <v>2971</v>
      </c>
      <c r="B2785" s="10">
        <v>46163</v>
      </c>
      <c r="C2785" t="s">
        <v>168</v>
      </c>
      <c r="D2785" t="s">
        <v>59</v>
      </c>
      <c r="E2785" t="s">
        <v>60</v>
      </c>
      <c r="F2785" t="s">
        <v>14</v>
      </c>
      <c r="G2785">
        <v>212.47</v>
      </c>
      <c r="H2785" t="s">
        <v>15</v>
      </c>
      <c r="I2785" t="s">
        <v>16</v>
      </c>
      <c r="J2785" t="s">
        <v>170</v>
      </c>
    </row>
    <row r="2786" spans="1:10" x14ac:dyDescent="0.35">
      <c r="A2786" t="s">
        <v>2973</v>
      </c>
      <c r="B2786" s="10">
        <v>46163</v>
      </c>
      <c r="C2786" t="s">
        <v>68</v>
      </c>
      <c r="D2786" t="s">
        <v>69</v>
      </c>
      <c r="E2786" t="s">
        <v>70</v>
      </c>
      <c r="F2786" t="s">
        <v>14</v>
      </c>
      <c r="G2786">
        <v>650.84</v>
      </c>
      <c r="H2786" t="s">
        <v>21</v>
      </c>
      <c r="I2786" t="s">
        <v>22</v>
      </c>
      <c r="J2786" t="s">
        <v>71</v>
      </c>
    </row>
    <row r="2787" spans="1:10" x14ac:dyDescent="0.35">
      <c r="A2787" t="s">
        <v>2974</v>
      </c>
      <c r="B2787" s="10">
        <v>46163</v>
      </c>
      <c r="C2787" t="s">
        <v>824</v>
      </c>
      <c r="D2787" t="s">
        <v>69</v>
      </c>
      <c r="E2787" t="s">
        <v>233</v>
      </c>
      <c r="F2787" t="s">
        <v>14</v>
      </c>
      <c r="G2787">
        <v>476.3</v>
      </c>
      <c r="H2787" t="s">
        <v>15</v>
      </c>
      <c r="I2787" t="s">
        <v>22</v>
      </c>
      <c r="J2787" t="s">
        <v>133</v>
      </c>
    </row>
    <row r="2788" spans="1:10" x14ac:dyDescent="0.35">
      <c r="A2788" t="s">
        <v>2975</v>
      </c>
      <c r="B2788" s="10">
        <v>46164</v>
      </c>
      <c r="C2788" t="s">
        <v>50</v>
      </c>
      <c r="D2788" t="s">
        <v>12</v>
      </c>
      <c r="E2788" t="s">
        <v>51</v>
      </c>
      <c r="F2788" t="s">
        <v>14</v>
      </c>
      <c r="G2788">
        <v>65.459999999999994</v>
      </c>
      <c r="H2788" t="s">
        <v>21</v>
      </c>
      <c r="I2788" t="s">
        <v>36</v>
      </c>
      <c r="J2788" t="s">
        <v>44</v>
      </c>
    </row>
    <row r="2789" spans="1:10" x14ac:dyDescent="0.35">
      <c r="A2789" t="s">
        <v>2976</v>
      </c>
      <c r="B2789" s="10">
        <v>46164</v>
      </c>
      <c r="C2789" t="s">
        <v>184</v>
      </c>
      <c r="D2789" t="s">
        <v>59</v>
      </c>
      <c r="E2789" t="s">
        <v>185</v>
      </c>
      <c r="F2789" t="s">
        <v>14</v>
      </c>
      <c r="G2789">
        <v>198.5</v>
      </c>
      <c r="H2789" t="s">
        <v>15</v>
      </c>
      <c r="I2789" t="s">
        <v>22</v>
      </c>
      <c r="J2789" t="s">
        <v>61</v>
      </c>
    </row>
    <row r="2790" spans="1:10" x14ac:dyDescent="0.35">
      <c r="A2790" t="s">
        <v>2977</v>
      </c>
      <c r="B2790" s="10">
        <v>46165</v>
      </c>
      <c r="C2790" t="s">
        <v>121</v>
      </c>
      <c r="D2790" t="s">
        <v>34</v>
      </c>
      <c r="E2790" t="s">
        <v>122</v>
      </c>
      <c r="F2790" t="s">
        <v>14</v>
      </c>
      <c r="G2790">
        <v>135.6</v>
      </c>
      <c r="H2790" t="s">
        <v>15</v>
      </c>
      <c r="I2790" t="s">
        <v>16</v>
      </c>
      <c r="J2790" t="s">
        <v>123</v>
      </c>
    </row>
    <row r="2791" spans="1:10" x14ac:dyDescent="0.35">
      <c r="A2791" t="s">
        <v>2978</v>
      </c>
      <c r="B2791" s="10">
        <v>46165</v>
      </c>
      <c r="C2791" t="s">
        <v>46</v>
      </c>
      <c r="D2791" t="s">
        <v>12</v>
      </c>
      <c r="E2791" t="s">
        <v>13</v>
      </c>
      <c r="F2791" t="s">
        <v>14</v>
      </c>
      <c r="G2791">
        <v>29.05</v>
      </c>
      <c r="H2791" t="s">
        <v>15</v>
      </c>
      <c r="I2791" t="s">
        <v>47</v>
      </c>
      <c r="J2791" t="s">
        <v>48</v>
      </c>
    </row>
    <row r="2792" spans="1:10" x14ac:dyDescent="0.35">
      <c r="A2792" t="s">
        <v>2979</v>
      </c>
      <c r="B2792" s="10">
        <v>46165</v>
      </c>
      <c r="C2792" t="s">
        <v>269</v>
      </c>
      <c r="D2792" t="s">
        <v>34</v>
      </c>
      <c r="E2792" t="s">
        <v>35</v>
      </c>
      <c r="F2792" t="s">
        <v>14</v>
      </c>
      <c r="G2792">
        <v>69.849999999999994</v>
      </c>
      <c r="H2792" t="s">
        <v>15</v>
      </c>
      <c r="I2792" t="s">
        <v>36</v>
      </c>
      <c r="J2792" t="s">
        <v>123</v>
      </c>
    </row>
    <row r="2793" spans="1:10" x14ac:dyDescent="0.35">
      <c r="A2793" t="s">
        <v>2980</v>
      </c>
      <c r="B2793" s="10">
        <v>46166</v>
      </c>
      <c r="C2793" t="s">
        <v>543</v>
      </c>
      <c r="D2793" t="s">
        <v>69</v>
      </c>
      <c r="E2793" t="s">
        <v>70</v>
      </c>
      <c r="F2793" t="s">
        <v>14</v>
      </c>
      <c r="G2793">
        <v>141.94999999999999</v>
      </c>
      <c r="H2793" t="s">
        <v>15</v>
      </c>
      <c r="I2793" t="s">
        <v>22</v>
      </c>
      <c r="J2793" t="s">
        <v>292</v>
      </c>
    </row>
    <row r="2794" spans="1:10" x14ac:dyDescent="0.35">
      <c r="A2794" t="s">
        <v>2981</v>
      </c>
      <c r="B2794" s="10">
        <v>46166</v>
      </c>
      <c r="C2794" t="s">
        <v>58</v>
      </c>
      <c r="D2794" t="s">
        <v>59</v>
      </c>
      <c r="E2794" t="s">
        <v>60</v>
      </c>
      <c r="F2794" t="s">
        <v>14</v>
      </c>
      <c r="G2794">
        <v>270.64</v>
      </c>
      <c r="H2794" t="s">
        <v>15</v>
      </c>
      <c r="I2794" t="s">
        <v>47</v>
      </c>
      <c r="J2794" t="s">
        <v>61</v>
      </c>
    </row>
    <row r="2795" spans="1:10" x14ac:dyDescent="0.35">
      <c r="A2795" t="s">
        <v>2982</v>
      </c>
      <c r="B2795" s="10">
        <v>46166</v>
      </c>
      <c r="C2795" t="s">
        <v>11</v>
      </c>
      <c r="D2795" t="s">
        <v>12</v>
      </c>
      <c r="E2795" t="s">
        <v>13</v>
      </c>
      <c r="F2795" t="s">
        <v>14</v>
      </c>
      <c r="G2795">
        <v>67.94</v>
      </c>
      <c r="H2795" t="s">
        <v>21</v>
      </c>
      <c r="I2795" t="s">
        <v>22</v>
      </c>
      <c r="J2795" t="s">
        <v>17</v>
      </c>
    </row>
    <row r="2796" spans="1:10" x14ac:dyDescent="0.35">
      <c r="A2796" t="s">
        <v>2983</v>
      </c>
      <c r="B2796" s="10">
        <v>46166</v>
      </c>
      <c r="C2796" t="s">
        <v>248</v>
      </c>
      <c r="D2796" t="s">
        <v>80</v>
      </c>
      <c r="E2796" t="s">
        <v>81</v>
      </c>
      <c r="F2796" t="s">
        <v>14</v>
      </c>
      <c r="G2796">
        <v>59.59</v>
      </c>
      <c r="H2796" t="s">
        <v>15</v>
      </c>
      <c r="I2796" t="s">
        <v>22</v>
      </c>
      <c r="J2796" t="s">
        <v>161</v>
      </c>
    </row>
    <row r="2797" spans="1:10" x14ac:dyDescent="0.35">
      <c r="A2797" t="s">
        <v>2984</v>
      </c>
      <c r="B2797" s="10">
        <v>46166</v>
      </c>
      <c r="C2797" t="s">
        <v>109</v>
      </c>
      <c r="D2797" t="s">
        <v>34</v>
      </c>
      <c r="E2797" t="s">
        <v>35</v>
      </c>
      <c r="F2797" t="s">
        <v>14</v>
      </c>
      <c r="G2797">
        <v>122.08</v>
      </c>
      <c r="H2797" t="s">
        <v>15</v>
      </c>
      <c r="I2797" t="s">
        <v>47</v>
      </c>
      <c r="J2797" t="s">
        <v>41</v>
      </c>
    </row>
    <row r="2798" spans="1:10" x14ac:dyDescent="0.35">
      <c r="A2798" t="s">
        <v>2985</v>
      </c>
      <c r="B2798" s="10">
        <v>46166</v>
      </c>
      <c r="C2798" t="s">
        <v>251</v>
      </c>
      <c r="D2798" t="s">
        <v>29</v>
      </c>
      <c r="E2798" t="s">
        <v>151</v>
      </c>
      <c r="F2798" t="s">
        <v>14</v>
      </c>
      <c r="G2798">
        <v>42.22</v>
      </c>
      <c r="H2798" t="s">
        <v>15</v>
      </c>
      <c r="I2798" t="s">
        <v>22</v>
      </c>
      <c r="J2798" t="s">
        <v>31</v>
      </c>
    </row>
    <row r="2799" spans="1:10" x14ac:dyDescent="0.35">
      <c r="A2799" t="s">
        <v>2986</v>
      </c>
      <c r="B2799" s="10">
        <v>46166</v>
      </c>
      <c r="C2799" t="s">
        <v>308</v>
      </c>
      <c r="D2799" t="s">
        <v>54</v>
      </c>
      <c r="E2799" t="s">
        <v>64</v>
      </c>
      <c r="F2799" t="s">
        <v>54</v>
      </c>
      <c r="G2799">
        <v>396.7</v>
      </c>
      <c r="H2799" t="s">
        <v>15</v>
      </c>
      <c r="I2799" t="s">
        <v>36</v>
      </c>
      <c r="J2799" t="s">
        <v>89</v>
      </c>
    </row>
    <row r="2800" spans="1:10" x14ac:dyDescent="0.35">
      <c r="A2800" t="s">
        <v>2987</v>
      </c>
      <c r="B2800" s="10">
        <v>46166</v>
      </c>
      <c r="C2800" t="s">
        <v>130</v>
      </c>
      <c r="D2800" t="s">
        <v>12</v>
      </c>
      <c r="E2800" t="s">
        <v>26</v>
      </c>
      <c r="F2800" t="s">
        <v>14</v>
      </c>
      <c r="G2800">
        <v>63.15</v>
      </c>
      <c r="H2800" t="s">
        <v>21</v>
      </c>
      <c r="I2800" t="s">
        <v>22</v>
      </c>
      <c r="J2800" t="s">
        <v>48</v>
      </c>
    </row>
    <row r="2801" spans="1:10" x14ac:dyDescent="0.35">
      <c r="A2801" t="s">
        <v>2988</v>
      </c>
      <c r="B2801" s="10">
        <v>46167</v>
      </c>
      <c r="C2801" t="s">
        <v>168</v>
      </c>
      <c r="D2801" t="s">
        <v>59</v>
      </c>
      <c r="E2801" t="s">
        <v>60</v>
      </c>
      <c r="F2801" t="s">
        <v>14</v>
      </c>
      <c r="G2801">
        <v>226.41</v>
      </c>
      <c r="H2801" t="s">
        <v>15</v>
      </c>
      <c r="I2801" t="s">
        <v>22</v>
      </c>
      <c r="J2801" t="s">
        <v>170</v>
      </c>
    </row>
    <row r="2802" spans="1:10" x14ac:dyDescent="0.35">
      <c r="A2802" t="s">
        <v>2989</v>
      </c>
      <c r="B2802" s="10">
        <v>46167</v>
      </c>
      <c r="C2802" t="s">
        <v>113</v>
      </c>
      <c r="D2802" t="s">
        <v>34</v>
      </c>
      <c r="E2802" t="s">
        <v>40</v>
      </c>
      <c r="F2802" t="s">
        <v>14</v>
      </c>
      <c r="G2802">
        <v>177.86</v>
      </c>
      <c r="H2802" t="s">
        <v>98</v>
      </c>
      <c r="I2802" t="s">
        <v>22</v>
      </c>
      <c r="J2802" t="s">
        <v>37</v>
      </c>
    </row>
    <row r="2803" spans="1:10" x14ac:dyDescent="0.35">
      <c r="A2803" t="s">
        <v>2990</v>
      </c>
      <c r="B2803" s="10">
        <v>46167</v>
      </c>
      <c r="C2803" t="s">
        <v>229</v>
      </c>
      <c r="D2803" t="s">
        <v>54</v>
      </c>
      <c r="E2803" t="s">
        <v>64</v>
      </c>
      <c r="F2803" t="s">
        <v>54</v>
      </c>
      <c r="G2803">
        <v>328.49</v>
      </c>
      <c r="H2803" t="s">
        <v>21</v>
      </c>
      <c r="I2803" t="s">
        <v>22</v>
      </c>
      <c r="J2803" t="s">
        <v>56</v>
      </c>
    </row>
    <row r="2804" spans="1:10" x14ac:dyDescent="0.35">
      <c r="A2804" t="s">
        <v>2991</v>
      </c>
      <c r="B2804" s="10">
        <v>46167</v>
      </c>
      <c r="C2804" t="s">
        <v>262</v>
      </c>
      <c r="D2804" t="s">
        <v>101</v>
      </c>
      <c r="E2804" t="s">
        <v>244</v>
      </c>
      <c r="F2804" t="s">
        <v>14</v>
      </c>
      <c r="G2804">
        <v>62.39</v>
      </c>
      <c r="H2804" t="s">
        <v>15</v>
      </c>
      <c r="I2804" t="s">
        <v>16</v>
      </c>
      <c r="J2804" t="s">
        <v>136</v>
      </c>
    </row>
    <row r="2805" spans="1:10" x14ac:dyDescent="0.35">
      <c r="A2805" t="s">
        <v>2992</v>
      </c>
      <c r="B2805" s="10">
        <v>46167</v>
      </c>
      <c r="C2805" t="s">
        <v>269</v>
      </c>
      <c r="D2805" t="s">
        <v>34</v>
      </c>
      <c r="E2805" t="s">
        <v>35</v>
      </c>
      <c r="F2805" t="s">
        <v>14</v>
      </c>
      <c r="G2805">
        <v>62.84</v>
      </c>
      <c r="H2805" t="s">
        <v>15</v>
      </c>
      <c r="I2805" t="s">
        <v>36</v>
      </c>
      <c r="J2805" t="s">
        <v>123</v>
      </c>
    </row>
    <row r="2806" spans="1:10" x14ac:dyDescent="0.35">
      <c r="A2806" t="s">
        <v>2993</v>
      </c>
      <c r="B2806" s="10">
        <v>46167</v>
      </c>
      <c r="C2806" t="s">
        <v>308</v>
      </c>
      <c r="D2806" t="s">
        <v>54</v>
      </c>
      <c r="E2806" t="s">
        <v>64</v>
      </c>
      <c r="F2806" t="s">
        <v>54</v>
      </c>
      <c r="G2806">
        <v>349.03</v>
      </c>
      <c r="H2806" t="s">
        <v>15</v>
      </c>
      <c r="I2806" t="s">
        <v>84</v>
      </c>
      <c r="J2806" t="s">
        <v>89</v>
      </c>
    </row>
    <row r="2807" spans="1:10" x14ac:dyDescent="0.35">
      <c r="A2807" t="s">
        <v>2994</v>
      </c>
      <c r="B2807" s="10">
        <v>46167</v>
      </c>
      <c r="C2807" t="s">
        <v>76</v>
      </c>
      <c r="D2807" t="s">
        <v>12</v>
      </c>
      <c r="E2807" t="s">
        <v>13</v>
      </c>
      <c r="F2807" t="s">
        <v>14</v>
      </c>
      <c r="G2807">
        <v>22.58</v>
      </c>
      <c r="H2807" t="s">
        <v>15</v>
      </c>
      <c r="I2807" t="s">
        <v>22</v>
      </c>
      <c r="J2807" t="s">
        <v>77</v>
      </c>
    </row>
    <row r="2808" spans="1:10" x14ac:dyDescent="0.35">
      <c r="A2808" t="s">
        <v>2995</v>
      </c>
      <c r="B2808" s="10">
        <v>46168</v>
      </c>
      <c r="C2808" t="s">
        <v>140</v>
      </c>
      <c r="D2808" t="s">
        <v>80</v>
      </c>
      <c r="E2808" t="s">
        <v>81</v>
      </c>
      <c r="F2808" t="s">
        <v>14</v>
      </c>
      <c r="G2808">
        <v>128.31</v>
      </c>
      <c r="H2808" t="s">
        <v>15</v>
      </c>
      <c r="I2808" t="s">
        <v>22</v>
      </c>
      <c r="J2808" t="s">
        <v>141</v>
      </c>
    </row>
    <row r="2809" spans="1:10" x14ac:dyDescent="0.35">
      <c r="A2809" t="s">
        <v>2996</v>
      </c>
      <c r="B2809" s="10">
        <v>46168</v>
      </c>
      <c r="C2809" t="s">
        <v>88</v>
      </c>
      <c r="D2809" t="s">
        <v>54</v>
      </c>
      <c r="E2809" t="s">
        <v>74</v>
      </c>
      <c r="F2809" t="s">
        <v>54</v>
      </c>
      <c r="G2809">
        <v>2200.19</v>
      </c>
      <c r="H2809" t="s">
        <v>15</v>
      </c>
      <c r="I2809" t="s">
        <v>36</v>
      </c>
      <c r="J2809" t="s">
        <v>89</v>
      </c>
    </row>
    <row r="2810" spans="1:10" x14ac:dyDescent="0.35">
      <c r="A2810" t="s">
        <v>2997</v>
      </c>
      <c r="B2810" s="10">
        <v>46168</v>
      </c>
      <c r="C2810" t="s">
        <v>109</v>
      </c>
      <c r="D2810" t="s">
        <v>34</v>
      </c>
      <c r="E2810" t="s">
        <v>35</v>
      </c>
      <c r="F2810" t="s">
        <v>14</v>
      </c>
      <c r="G2810">
        <v>267.24</v>
      </c>
      <c r="H2810" t="s">
        <v>15</v>
      </c>
      <c r="I2810" t="s">
        <v>36</v>
      </c>
      <c r="J2810" t="s">
        <v>41</v>
      </c>
    </row>
    <row r="2811" spans="1:10" x14ac:dyDescent="0.35">
      <c r="A2811" t="s">
        <v>2998</v>
      </c>
      <c r="B2811" s="10">
        <v>46168</v>
      </c>
      <c r="C2811" t="s">
        <v>229</v>
      </c>
      <c r="D2811" t="s">
        <v>54</v>
      </c>
      <c r="E2811" t="s">
        <v>64</v>
      </c>
      <c r="F2811" t="s">
        <v>54</v>
      </c>
      <c r="G2811">
        <v>318.20999999999998</v>
      </c>
      <c r="H2811" t="s">
        <v>15</v>
      </c>
      <c r="I2811" t="s">
        <v>36</v>
      </c>
      <c r="J2811" t="s">
        <v>56</v>
      </c>
    </row>
    <row r="2812" spans="1:10" x14ac:dyDescent="0.35">
      <c r="A2812" t="s">
        <v>2999</v>
      </c>
      <c r="B2812" s="10">
        <v>46168</v>
      </c>
      <c r="C2812" t="s">
        <v>19</v>
      </c>
      <c r="D2812" t="s">
        <v>12</v>
      </c>
      <c r="E2812" t="s">
        <v>13</v>
      </c>
      <c r="F2812" t="s">
        <v>14</v>
      </c>
      <c r="G2812">
        <v>21.67</v>
      </c>
      <c r="H2812" t="s">
        <v>21</v>
      </c>
      <c r="I2812" t="s">
        <v>22</v>
      </c>
      <c r="J2812" t="s">
        <v>23</v>
      </c>
    </row>
    <row r="2813" spans="1:10" x14ac:dyDescent="0.35">
      <c r="A2813" t="s">
        <v>3000</v>
      </c>
      <c r="B2813" s="10">
        <v>46168</v>
      </c>
      <c r="C2813" t="s">
        <v>138</v>
      </c>
      <c r="D2813" t="s">
        <v>12</v>
      </c>
      <c r="E2813" t="s">
        <v>26</v>
      </c>
      <c r="F2813" t="s">
        <v>14</v>
      </c>
      <c r="G2813">
        <v>98.32</v>
      </c>
      <c r="H2813" t="s">
        <v>15</v>
      </c>
      <c r="I2813" t="s">
        <v>22</v>
      </c>
      <c r="J2813" t="s">
        <v>77</v>
      </c>
    </row>
    <row r="2814" spans="1:10" x14ac:dyDescent="0.35">
      <c r="A2814" t="s">
        <v>3001</v>
      </c>
      <c r="B2814" s="10">
        <v>46168</v>
      </c>
      <c r="C2814" t="s">
        <v>269</v>
      </c>
      <c r="D2814" t="s">
        <v>34</v>
      </c>
      <c r="E2814" t="s">
        <v>35</v>
      </c>
      <c r="F2814" t="s">
        <v>14</v>
      </c>
      <c r="G2814">
        <v>107.74</v>
      </c>
      <c r="H2814" t="s">
        <v>15</v>
      </c>
      <c r="I2814" t="s">
        <v>22</v>
      </c>
      <c r="J2814" t="s">
        <v>123</v>
      </c>
    </row>
    <row r="2815" spans="1:10" x14ac:dyDescent="0.35">
      <c r="A2815" t="s">
        <v>3002</v>
      </c>
      <c r="B2815" s="10">
        <v>46168</v>
      </c>
      <c r="C2815" t="s">
        <v>155</v>
      </c>
      <c r="D2815" t="s">
        <v>12</v>
      </c>
      <c r="E2815" t="s">
        <v>51</v>
      </c>
      <c r="F2815" t="s">
        <v>14</v>
      </c>
      <c r="G2815">
        <v>38.81</v>
      </c>
      <c r="H2815" t="s">
        <v>21</v>
      </c>
      <c r="I2815" t="s">
        <v>47</v>
      </c>
      <c r="J2815" t="s">
        <v>48</v>
      </c>
    </row>
    <row r="2816" spans="1:10" x14ac:dyDescent="0.35">
      <c r="A2816" t="s">
        <v>3003</v>
      </c>
      <c r="B2816" s="10">
        <v>46169</v>
      </c>
      <c r="C2816" t="s">
        <v>163</v>
      </c>
      <c r="D2816" t="s">
        <v>80</v>
      </c>
      <c r="E2816" t="s">
        <v>92</v>
      </c>
      <c r="F2816" t="s">
        <v>14</v>
      </c>
      <c r="G2816">
        <v>100</v>
      </c>
      <c r="H2816" t="s">
        <v>15</v>
      </c>
      <c r="I2816" t="s">
        <v>47</v>
      </c>
      <c r="J2816" t="s">
        <v>118</v>
      </c>
    </row>
    <row r="2817" spans="1:10" x14ac:dyDescent="0.35">
      <c r="A2817" t="s">
        <v>3004</v>
      </c>
      <c r="B2817" s="10">
        <v>46169</v>
      </c>
      <c r="C2817" t="s">
        <v>198</v>
      </c>
      <c r="D2817" t="s">
        <v>59</v>
      </c>
      <c r="E2817" t="s">
        <v>199</v>
      </c>
      <c r="F2817" t="s">
        <v>14</v>
      </c>
      <c r="G2817">
        <v>218.89</v>
      </c>
      <c r="H2817" t="s">
        <v>21</v>
      </c>
      <c r="I2817" t="s">
        <v>47</v>
      </c>
      <c r="J2817" t="s">
        <v>61</v>
      </c>
    </row>
    <row r="2818" spans="1:10" x14ac:dyDescent="0.35">
      <c r="A2818" t="s">
        <v>3005</v>
      </c>
      <c r="B2818" s="10">
        <v>46169</v>
      </c>
      <c r="C2818" t="s">
        <v>46</v>
      </c>
      <c r="D2818" t="s">
        <v>12</v>
      </c>
      <c r="E2818" t="s">
        <v>13</v>
      </c>
      <c r="F2818" t="s">
        <v>14</v>
      </c>
      <c r="G2818">
        <v>9.94</v>
      </c>
      <c r="H2818" t="s">
        <v>21</v>
      </c>
      <c r="I2818" t="s">
        <v>16</v>
      </c>
      <c r="J2818" t="s">
        <v>48</v>
      </c>
    </row>
    <row r="2819" spans="1:10" x14ac:dyDescent="0.35">
      <c r="A2819" t="s">
        <v>3006</v>
      </c>
      <c r="B2819" s="10">
        <v>46169</v>
      </c>
      <c r="C2819" t="s">
        <v>331</v>
      </c>
      <c r="D2819" t="s">
        <v>29</v>
      </c>
      <c r="E2819" t="s">
        <v>95</v>
      </c>
      <c r="F2819" t="s">
        <v>14</v>
      </c>
      <c r="G2819">
        <v>6.61</v>
      </c>
      <c r="H2819" t="s">
        <v>15</v>
      </c>
      <c r="I2819" t="s">
        <v>47</v>
      </c>
      <c r="J2819" t="s">
        <v>151</v>
      </c>
    </row>
    <row r="2820" spans="1:10" x14ac:dyDescent="0.35">
      <c r="A2820" t="s">
        <v>3007</v>
      </c>
      <c r="B2820" s="10">
        <v>46169</v>
      </c>
      <c r="C2820" t="s">
        <v>111</v>
      </c>
      <c r="D2820" t="s">
        <v>12</v>
      </c>
      <c r="E2820" t="s">
        <v>26</v>
      </c>
      <c r="F2820" t="s">
        <v>14</v>
      </c>
      <c r="G2820">
        <v>32.590000000000003</v>
      </c>
      <c r="H2820" t="s">
        <v>21</v>
      </c>
      <c r="I2820" t="s">
        <v>47</v>
      </c>
      <c r="J2820" t="s">
        <v>23</v>
      </c>
    </row>
    <row r="2821" spans="1:10" x14ac:dyDescent="0.35">
      <c r="A2821" t="s">
        <v>3008</v>
      </c>
      <c r="B2821" s="10">
        <v>46170</v>
      </c>
      <c r="C2821" t="s">
        <v>179</v>
      </c>
      <c r="D2821" t="s">
        <v>80</v>
      </c>
      <c r="E2821" t="s">
        <v>117</v>
      </c>
      <c r="F2821" t="s">
        <v>14</v>
      </c>
      <c r="G2821">
        <v>127.49</v>
      </c>
      <c r="H2821" t="s">
        <v>21</v>
      </c>
      <c r="I2821" t="s">
        <v>47</v>
      </c>
      <c r="J2821" t="s">
        <v>180</v>
      </c>
    </row>
    <row r="2822" spans="1:10" x14ac:dyDescent="0.35">
      <c r="A2822" t="s">
        <v>3009</v>
      </c>
      <c r="B2822" s="10">
        <v>46170</v>
      </c>
      <c r="C2822" t="s">
        <v>229</v>
      </c>
      <c r="D2822" t="s">
        <v>54</v>
      </c>
      <c r="E2822" t="s">
        <v>64</v>
      </c>
      <c r="F2822" t="s">
        <v>54</v>
      </c>
      <c r="G2822">
        <v>296.17</v>
      </c>
      <c r="H2822" t="s">
        <v>15</v>
      </c>
      <c r="I2822" t="s">
        <v>22</v>
      </c>
      <c r="J2822" t="s">
        <v>56</v>
      </c>
    </row>
    <row r="2823" spans="1:10" x14ac:dyDescent="0.35">
      <c r="A2823" t="s">
        <v>3010</v>
      </c>
      <c r="B2823" s="10">
        <v>46171</v>
      </c>
      <c r="C2823" t="s">
        <v>206</v>
      </c>
      <c r="D2823" t="s">
        <v>29</v>
      </c>
      <c r="E2823" t="s">
        <v>95</v>
      </c>
      <c r="F2823" t="s">
        <v>14</v>
      </c>
      <c r="G2823">
        <v>32.94</v>
      </c>
      <c r="H2823" t="s">
        <v>21</v>
      </c>
      <c r="I2823" t="s">
        <v>47</v>
      </c>
      <c r="J2823" t="s">
        <v>31</v>
      </c>
    </row>
    <row r="2824" spans="1:10" x14ac:dyDescent="0.35">
      <c r="A2824" t="s">
        <v>3011</v>
      </c>
      <c r="B2824" s="10">
        <v>46171</v>
      </c>
      <c r="C2824" t="s">
        <v>215</v>
      </c>
      <c r="D2824" t="s">
        <v>80</v>
      </c>
      <c r="E2824" t="s">
        <v>117</v>
      </c>
      <c r="F2824" t="s">
        <v>14</v>
      </c>
      <c r="G2824">
        <v>91.94</v>
      </c>
      <c r="H2824" t="s">
        <v>98</v>
      </c>
      <c r="I2824" t="s">
        <v>16</v>
      </c>
      <c r="J2824" t="s">
        <v>141</v>
      </c>
    </row>
    <row r="2825" spans="1:10" x14ac:dyDescent="0.35">
      <c r="A2825" t="s">
        <v>3012</v>
      </c>
      <c r="B2825" s="10">
        <v>46171</v>
      </c>
      <c r="C2825" t="s">
        <v>220</v>
      </c>
      <c r="D2825" t="s">
        <v>59</v>
      </c>
      <c r="E2825" t="s">
        <v>199</v>
      </c>
      <c r="F2825" t="s">
        <v>14</v>
      </c>
      <c r="G2825">
        <v>185.3</v>
      </c>
      <c r="H2825" t="s">
        <v>21</v>
      </c>
      <c r="I2825" t="s">
        <v>47</v>
      </c>
      <c r="J2825" t="s">
        <v>211</v>
      </c>
    </row>
    <row r="2826" spans="1:10" x14ac:dyDescent="0.35">
      <c r="A2826" t="s">
        <v>3013</v>
      </c>
      <c r="B2826" s="10">
        <v>46171</v>
      </c>
      <c r="C2826" t="s">
        <v>210</v>
      </c>
      <c r="D2826" t="s">
        <v>59</v>
      </c>
      <c r="E2826" t="s">
        <v>185</v>
      </c>
      <c r="F2826" t="s">
        <v>14</v>
      </c>
      <c r="G2826">
        <v>447.34</v>
      </c>
      <c r="H2826" t="s">
        <v>98</v>
      </c>
      <c r="I2826" t="s">
        <v>47</v>
      </c>
      <c r="J2826" t="s">
        <v>211</v>
      </c>
    </row>
    <row r="2827" spans="1:10" x14ac:dyDescent="0.35">
      <c r="A2827" t="s">
        <v>3014</v>
      </c>
      <c r="B2827" s="10">
        <v>46171</v>
      </c>
      <c r="C2827" t="s">
        <v>215</v>
      </c>
      <c r="D2827" t="s">
        <v>80</v>
      </c>
      <c r="E2827" t="s">
        <v>117</v>
      </c>
      <c r="F2827" t="s">
        <v>14</v>
      </c>
      <c r="G2827">
        <v>50.06</v>
      </c>
      <c r="H2827" t="s">
        <v>21</v>
      </c>
      <c r="I2827" t="s">
        <v>84</v>
      </c>
      <c r="J2827" t="s">
        <v>141</v>
      </c>
    </row>
    <row r="2828" spans="1:10" x14ac:dyDescent="0.35">
      <c r="A2828" t="s">
        <v>3015</v>
      </c>
      <c r="B2828" s="10">
        <v>46171</v>
      </c>
      <c r="C2828" t="s">
        <v>445</v>
      </c>
      <c r="D2828" t="s">
        <v>101</v>
      </c>
      <c r="E2828" t="s">
        <v>244</v>
      </c>
      <c r="F2828" t="s">
        <v>14</v>
      </c>
      <c r="G2828">
        <v>30.82</v>
      </c>
      <c r="H2828" t="s">
        <v>15</v>
      </c>
      <c r="I2828" t="s">
        <v>36</v>
      </c>
      <c r="J2828" t="s">
        <v>103</v>
      </c>
    </row>
    <row r="2829" spans="1:10" x14ac:dyDescent="0.35">
      <c r="A2829" t="s">
        <v>3016</v>
      </c>
      <c r="B2829" s="10">
        <v>46172</v>
      </c>
      <c r="C2829" t="s">
        <v>43</v>
      </c>
      <c r="D2829" t="s">
        <v>12</v>
      </c>
      <c r="E2829" t="s">
        <v>26</v>
      </c>
      <c r="F2829" t="s">
        <v>14</v>
      </c>
      <c r="G2829">
        <v>22.4</v>
      </c>
      <c r="H2829" t="s">
        <v>21</v>
      </c>
      <c r="I2829" t="s">
        <v>36</v>
      </c>
      <c r="J2829" t="s">
        <v>44</v>
      </c>
    </row>
    <row r="2830" spans="1:10" x14ac:dyDescent="0.35">
      <c r="A2830" t="s">
        <v>3017</v>
      </c>
      <c r="B2830" s="10">
        <v>46172</v>
      </c>
      <c r="C2830" t="s">
        <v>76</v>
      </c>
      <c r="D2830" t="s">
        <v>12</v>
      </c>
      <c r="E2830" t="s">
        <v>13</v>
      </c>
      <c r="F2830" t="s">
        <v>14</v>
      </c>
      <c r="G2830">
        <v>91.43</v>
      </c>
      <c r="H2830" t="s">
        <v>21</v>
      </c>
      <c r="I2830" t="s">
        <v>84</v>
      </c>
      <c r="J2830" t="s">
        <v>77</v>
      </c>
    </row>
    <row r="2831" spans="1:10" x14ac:dyDescent="0.35">
      <c r="A2831" t="s">
        <v>3018</v>
      </c>
      <c r="B2831" s="10">
        <v>46172</v>
      </c>
      <c r="C2831" t="s">
        <v>269</v>
      </c>
      <c r="D2831" t="s">
        <v>34</v>
      </c>
      <c r="E2831" t="s">
        <v>35</v>
      </c>
      <c r="F2831" t="s">
        <v>14</v>
      </c>
      <c r="G2831">
        <v>119.18</v>
      </c>
      <c r="H2831" t="s">
        <v>21</v>
      </c>
      <c r="I2831" t="s">
        <v>22</v>
      </c>
      <c r="J2831" t="s">
        <v>123</v>
      </c>
    </row>
    <row r="2832" spans="1:10" x14ac:dyDescent="0.35">
      <c r="A2832" t="s">
        <v>3019</v>
      </c>
      <c r="B2832" s="10">
        <v>46172</v>
      </c>
      <c r="C2832" t="s">
        <v>39</v>
      </c>
      <c r="D2832" t="s">
        <v>34</v>
      </c>
      <c r="E2832" t="s">
        <v>40</v>
      </c>
      <c r="F2832" t="s">
        <v>14</v>
      </c>
      <c r="G2832">
        <v>88.08</v>
      </c>
      <c r="H2832" t="s">
        <v>15</v>
      </c>
      <c r="I2832" t="s">
        <v>47</v>
      </c>
      <c r="J2832" t="s">
        <v>41</v>
      </c>
    </row>
    <row r="2833" spans="1:10" x14ac:dyDescent="0.35">
      <c r="A2833" t="s">
        <v>3020</v>
      </c>
      <c r="B2833" s="10">
        <v>46173</v>
      </c>
      <c r="C2833" t="s">
        <v>298</v>
      </c>
      <c r="D2833" t="s">
        <v>59</v>
      </c>
      <c r="E2833" t="s">
        <v>185</v>
      </c>
      <c r="F2833" t="s">
        <v>14</v>
      </c>
      <c r="G2833">
        <v>186.73</v>
      </c>
      <c r="H2833" t="s">
        <v>15</v>
      </c>
      <c r="I2833" t="s">
        <v>16</v>
      </c>
      <c r="J2833" t="s">
        <v>170</v>
      </c>
    </row>
    <row r="2834" spans="1:10" x14ac:dyDescent="0.35">
      <c r="A2834" t="s">
        <v>3021</v>
      </c>
      <c r="B2834" s="10">
        <v>46173</v>
      </c>
      <c r="C2834" t="s">
        <v>543</v>
      </c>
      <c r="D2834" t="s">
        <v>69</v>
      </c>
      <c r="E2834" t="s">
        <v>70</v>
      </c>
      <c r="F2834" t="s">
        <v>14</v>
      </c>
      <c r="G2834">
        <v>314.3</v>
      </c>
      <c r="H2834" t="s">
        <v>15</v>
      </c>
      <c r="I2834" t="s">
        <v>47</v>
      </c>
      <c r="J2834" t="s">
        <v>292</v>
      </c>
    </row>
    <row r="2835" spans="1:10" x14ac:dyDescent="0.35">
      <c r="A2835" t="s">
        <v>3022</v>
      </c>
      <c r="B2835" s="10">
        <v>46173</v>
      </c>
      <c r="C2835" t="s">
        <v>308</v>
      </c>
      <c r="D2835" t="s">
        <v>54</v>
      </c>
      <c r="E2835" t="s">
        <v>64</v>
      </c>
      <c r="F2835" t="s">
        <v>54</v>
      </c>
      <c r="G2835">
        <v>360.92</v>
      </c>
      <c r="H2835" t="s">
        <v>21</v>
      </c>
      <c r="I2835" t="s">
        <v>36</v>
      </c>
      <c r="J2835" t="s">
        <v>89</v>
      </c>
    </row>
    <row r="2836" spans="1:10" x14ac:dyDescent="0.35">
      <c r="A2836" t="s">
        <v>3023</v>
      </c>
      <c r="B2836" s="10">
        <v>46173</v>
      </c>
      <c r="C2836" t="s">
        <v>298</v>
      </c>
      <c r="D2836" t="s">
        <v>59</v>
      </c>
      <c r="E2836" t="s">
        <v>185</v>
      </c>
      <c r="F2836" t="s">
        <v>14</v>
      </c>
      <c r="G2836">
        <v>190.49</v>
      </c>
      <c r="H2836" t="s">
        <v>15</v>
      </c>
      <c r="I2836" t="s">
        <v>22</v>
      </c>
      <c r="J2836" t="s">
        <v>170</v>
      </c>
    </row>
    <row r="2837" spans="1:10" x14ac:dyDescent="0.35">
      <c r="A2837" t="s">
        <v>3024</v>
      </c>
      <c r="B2837" s="10">
        <v>46173</v>
      </c>
      <c r="C2837" t="s">
        <v>206</v>
      </c>
      <c r="D2837" t="s">
        <v>29</v>
      </c>
      <c r="E2837" t="s">
        <v>95</v>
      </c>
      <c r="F2837" t="s">
        <v>14</v>
      </c>
      <c r="G2837">
        <v>44.6</v>
      </c>
      <c r="H2837" t="s">
        <v>15</v>
      </c>
      <c r="I2837" t="s">
        <v>36</v>
      </c>
      <c r="J2837" t="s">
        <v>31</v>
      </c>
    </row>
    <row r="2838" spans="1:10" x14ac:dyDescent="0.35">
      <c r="A2838" t="s">
        <v>3025</v>
      </c>
      <c r="B2838" s="10">
        <v>46173</v>
      </c>
      <c r="C2838" t="s">
        <v>411</v>
      </c>
      <c r="D2838" t="s">
        <v>29</v>
      </c>
      <c r="E2838" t="s">
        <v>151</v>
      </c>
      <c r="F2838" t="s">
        <v>14</v>
      </c>
      <c r="G2838">
        <v>29.52</v>
      </c>
      <c r="H2838" t="s">
        <v>15</v>
      </c>
      <c r="I2838" t="s">
        <v>47</v>
      </c>
      <c r="J2838" t="s">
        <v>151</v>
      </c>
    </row>
    <row r="2839" spans="1:10" x14ac:dyDescent="0.35">
      <c r="A2839" t="s">
        <v>3026</v>
      </c>
      <c r="B2839" s="10">
        <v>46173</v>
      </c>
      <c r="C2839" t="s">
        <v>125</v>
      </c>
      <c r="D2839" t="s">
        <v>12</v>
      </c>
      <c r="E2839" t="s">
        <v>13</v>
      </c>
      <c r="F2839" t="s">
        <v>14</v>
      </c>
      <c r="G2839">
        <v>112.91</v>
      </c>
      <c r="H2839" t="s">
        <v>15</v>
      </c>
      <c r="I2839" t="s">
        <v>84</v>
      </c>
      <c r="J2839" t="s">
        <v>44</v>
      </c>
    </row>
    <row r="2840" spans="1:10" x14ac:dyDescent="0.35">
      <c r="A2840" t="s">
        <v>3027</v>
      </c>
      <c r="B2840" s="10">
        <v>46173</v>
      </c>
      <c r="C2840" t="s">
        <v>109</v>
      </c>
      <c r="D2840" t="s">
        <v>34</v>
      </c>
      <c r="E2840" t="s">
        <v>35</v>
      </c>
      <c r="F2840" t="s">
        <v>14</v>
      </c>
      <c r="G2840">
        <v>291.45</v>
      </c>
      <c r="H2840" t="s">
        <v>15</v>
      </c>
      <c r="I2840" t="s">
        <v>36</v>
      </c>
      <c r="J2840" t="s">
        <v>41</v>
      </c>
    </row>
    <row r="2841" spans="1:10" x14ac:dyDescent="0.35">
      <c r="A2841" t="s">
        <v>3028</v>
      </c>
      <c r="B2841" s="10">
        <v>46173</v>
      </c>
      <c r="C2841" t="s">
        <v>192</v>
      </c>
      <c r="D2841" t="s">
        <v>80</v>
      </c>
      <c r="E2841" t="s">
        <v>92</v>
      </c>
      <c r="F2841" t="s">
        <v>14</v>
      </c>
      <c r="G2841">
        <v>148.94</v>
      </c>
      <c r="H2841" t="s">
        <v>15</v>
      </c>
      <c r="I2841" t="s">
        <v>36</v>
      </c>
      <c r="J2841" t="s">
        <v>180</v>
      </c>
    </row>
    <row r="2842" spans="1:10" x14ac:dyDescent="0.35">
      <c r="A2842" t="s">
        <v>3029</v>
      </c>
      <c r="B2842" s="10">
        <v>46173</v>
      </c>
      <c r="C2842" t="s">
        <v>43</v>
      </c>
      <c r="D2842" t="s">
        <v>12</v>
      </c>
      <c r="E2842" t="s">
        <v>26</v>
      </c>
      <c r="F2842" t="s">
        <v>14</v>
      </c>
      <c r="G2842">
        <v>39.99</v>
      </c>
      <c r="H2842" t="s">
        <v>15</v>
      </c>
      <c r="I2842" t="s">
        <v>22</v>
      </c>
      <c r="J2842" t="s">
        <v>44</v>
      </c>
    </row>
    <row r="2843" spans="1:10" x14ac:dyDescent="0.35">
      <c r="A2843" t="s">
        <v>3030</v>
      </c>
      <c r="B2843" s="10">
        <v>46173</v>
      </c>
      <c r="C2843" t="s">
        <v>272</v>
      </c>
      <c r="D2843" t="s">
        <v>54</v>
      </c>
      <c r="E2843" t="s">
        <v>55</v>
      </c>
      <c r="F2843" t="s">
        <v>54</v>
      </c>
      <c r="G2843">
        <v>698.32</v>
      </c>
      <c r="H2843" t="s">
        <v>98</v>
      </c>
      <c r="I2843" t="s">
        <v>84</v>
      </c>
      <c r="J2843" t="s">
        <v>65</v>
      </c>
    </row>
    <row r="2844" spans="1:10" x14ac:dyDescent="0.35">
      <c r="A2844" t="s">
        <v>3031</v>
      </c>
      <c r="B2844" s="10">
        <v>46174</v>
      </c>
      <c r="C2844" t="s">
        <v>155</v>
      </c>
      <c r="D2844" t="s">
        <v>12</v>
      </c>
      <c r="E2844" t="s">
        <v>51</v>
      </c>
      <c r="F2844" t="s">
        <v>14</v>
      </c>
      <c r="G2844">
        <v>70.17</v>
      </c>
      <c r="H2844" t="s">
        <v>15</v>
      </c>
      <c r="I2844" t="s">
        <v>22</v>
      </c>
      <c r="J2844" t="s">
        <v>48</v>
      </c>
    </row>
    <row r="2845" spans="1:10" x14ac:dyDescent="0.35">
      <c r="A2845" t="s">
        <v>3032</v>
      </c>
      <c r="B2845" s="10">
        <v>46174</v>
      </c>
      <c r="C2845" t="s">
        <v>94</v>
      </c>
      <c r="D2845" t="s">
        <v>29</v>
      </c>
      <c r="E2845" t="s">
        <v>95</v>
      </c>
      <c r="F2845" t="s">
        <v>14</v>
      </c>
      <c r="G2845">
        <v>48.11</v>
      </c>
      <c r="H2845" t="s">
        <v>98</v>
      </c>
      <c r="I2845" t="s">
        <v>16</v>
      </c>
      <c r="J2845" t="s">
        <v>96</v>
      </c>
    </row>
    <row r="2846" spans="1:10" x14ac:dyDescent="0.35">
      <c r="A2846" t="s">
        <v>3033</v>
      </c>
      <c r="B2846" s="10">
        <v>46175</v>
      </c>
      <c r="C2846" t="s">
        <v>88</v>
      </c>
      <c r="D2846" t="s">
        <v>54</v>
      </c>
      <c r="E2846" t="s">
        <v>74</v>
      </c>
      <c r="F2846" t="s">
        <v>54</v>
      </c>
      <c r="G2846">
        <v>2579.36</v>
      </c>
      <c r="H2846" t="s">
        <v>15</v>
      </c>
      <c r="I2846" t="s">
        <v>16</v>
      </c>
      <c r="J2846" t="s">
        <v>89</v>
      </c>
    </row>
    <row r="2847" spans="1:10" x14ac:dyDescent="0.35">
      <c r="A2847" t="s">
        <v>3034</v>
      </c>
      <c r="B2847" s="10">
        <v>46175</v>
      </c>
      <c r="C2847" t="s">
        <v>298</v>
      </c>
      <c r="D2847" t="s">
        <v>59</v>
      </c>
      <c r="E2847" t="s">
        <v>185</v>
      </c>
      <c r="F2847" t="s">
        <v>14</v>
      </c>
      <c r="G2847">
        <v>164.57</v>
      </c>
      <c r="H2847" t="s">
        <v>15</v>
      </c>
      <c r="I2847" t="s">
        <v>22</v>
      </c>
      <c r="J2847" t="s">
        <v>170</v>
      </c>
    </row>
    <row r="2848" spans="1:10" x14ac:dyDescent="0.35">
      <c r="A2848" t="s">
        <v>3035</v>
      </c>
      <c r="B2848" s="10">
        <v>46175</v>
      </c>
      <c r="C2848" t="s">
        <v>143</v>
      </c>
      <c r="D2848" t="s">
        <v>54</v>
      </c>
      <c r="E2848" t="s">
        <v>55</v>
      </c>
      <c r="F2848" t="s">
        <v>54</v>
      </c>
      <c r="G2848">
        <v>706.07</v>
      </c>
      <c r="H2848" t="s">
        <v>15</v>
      </c>
      <c r="I2848" t="s">
        <v>36</v>
      </c>
      <c r="J2848" t="s">
        <v>89</v>
      </c>
    </row>
    <row r="2849" spans="1:10" x14ac:dyDescent="0.35">
      <c r="A2849" t="s">
        <v>3036</v>
      </c>
      <c r="B2849" s="10">
        <v>46175</v>
      </c>
      <c r="C2849" t="s">
        <v>135</v>
      </c>
      <c r="D2849" t="s">
        <v>101</v>
      </c>
      <c r="E2849" t="s">
        <v>102</v>
      </c>
      <c r="F2849" t="s">
        <v>14</v>
      </c>
      <c r="G2849">
        <v>28.36</v>
      </c>
      <c r="H2849" t="s">
        <v>98</v>
      </c>
      <c r="I2849" t="s">
        <v>36</v>
      </c>
      <c r="J2849" t="s">
        <v>136</v>
      </c>
    </row>
    <row r="2850" spans="1:10" x14ac:dyDescent="0.35">
      <c r="A2850" t="s">
        <v>3037</v>
      </c>
      <c r="B2850" s="10">
        <v>46175</v>
      </c>
      <c r="C2850" t="s">
        <v>227</v>
      </c>
      <c r="D2850" t="s">
        <v>12</v>
      </c>
      <c r="E2850" t="s">
        <v>51</v>
      </c>
      <c r="F2850" t="s">
        <v>14</v>
      </c>
      <c r="G2850">
        <v>50.83</v>
      </c>
      <c r="H2850" t="s">
        <v>98</v>
      </c>
      <c r="I2850" t="s">
        <v>36</v>
      </c>
      <c r="J2850" t="s">
        <v>17</v>
      </c>
    </row>
    <row r="2851" spans="1:10" x14ac:dyDescent="0.35">
      <c r="A2851" t="s">
        <v>3038</v>
      </c>
      <c r="B2851" s="10">
        <v>46175</v>
      </c>
      <c r="C2851" t="s">
        <v>210</v>
      </c>
      <c r="D2851" t="s">
        <v>59</v>
      </c>
      <c r="E2851" t="s">
        <v>185</v>
      </c>
      <c r="F2851" t="s">
        <v>14</v>
      </c>
      <c r="G2851">
        <v>358.61</v>
      </c>
      <c r="H2851" t="s">
        <v>21</v>
      </c>
      <c r="I2851" t="s">
        <v>47</v>
      </c>
      <c r="J2851" t="s">
        <v>211</v>
      </c>
    </row>
    <row r="2852" spans="1:10" x14ac:dyDescent="0.35">
      <c r="A2852" t="s">
        <v>3039</v>
      </c>
      <c r="B2852" s="10">
        <v>46175</v>
      </c>
      <c r="C2852" t="s">
        <v>138</v>
      </c>
      <c r="D2852" t="s">
        <v>12</v>
      </c>
      <c r="E2852" t="s">
        <v>26</v>
      </c>
      <c r="F2852" t="s">
        <v>14</v>
      </c>
      <c r="G2852">
        <v>48.8</v>
      </c>
      <c r="H2852" t="s">
        <v>15</v>
      </c>
      <c r="I2852" t="s">
        <v>22</v>
      </c>
      <c r="J2852" t="s">
        <v>77</v>
      </c>
    </row>
    <row r="2853" spans="1:10" x14ac:dyDescent="0.35">
      <c r="A2853" t="s">
        <v>3040</v>
      </c>
      <c r="B2853" s="10">
        <v>46176</v>
      </c>
      <c r="C2853" t="s">
        <v>138</v>
      </c>
      <c r="D2853" t="s">
        <v>12</v>
      </c>
      <c r="E2853" t="s">
        <v>26</v>
      </c>
      <c r="F2853" t="s">
        <v>14</v>
      </c>
      <c r="G2853">
        <v>118.39</v>
      </c>
      <c r="H2853" t="s">
        <v>15</v>
      </c>
      <c r="I2853" t="s">
        <v>22</v>
      </c>
      <c r="J2853" t="s">
        <v>77</v>
      </c>
    </row>
    <row r="2854" spans="1:10" x14ac:dyDescent="0.35">
      <c r="A2854" t="s">
        <v>3041</v>
      </c>
      <c r="B2854" s="10">
        <v>46176</v>
      </c>
      <c r="C2854" t="s">
        <v>345</v>
      </c>
      <c r="D2854" t="s">
        <v>59</v>
      </c>
      <c r="E2854" t="s">
        <v>60</v>
      </c>
      <c r="F2854" t="s">
        <v>14</v>
      </c>
      <c r="G2854">
        <v>685.57</v>
      </c>
      <c r="H2854" t="s">
        <v>15</v>
      </c>
      <c r="I2854" t="s">
        <v>22</v>
      </c>
      <c r="J2854" t="s">
        <v>211</v>
      </c>
    </row>
    <row r="2855" spans="1:10" x14ac:dyDescent="0.35">
      <c r="A2855" t="s">
        <v>3042</v>
      </c>
      <c r="B2855" s="10">
        <v>46176</v>
      </c>
      <c r="C2855" t="s">
        <v>143</v>
      </c>
      <c r="D2855" t="s">
        <v>54</v>
      </c>
      <c r="E2855" t="s">
        <v>55</v>
      </c>
      <c r="F2855" t="s">
        <v>54</v>
      </c>
      <c r="G2855">
        <v>676.84</v>
      </c>
      <c r="H2855" t="s">
        <v>15</v>
      </c>
      <c r="I2855" t="s">
        <v>36</v>
      </c>
      <c r="J2855" t="s">
        <v>89</v>
      </c>
    </row>
    <row r="2856" spans="1:10" x14ac:dyDescent="0.35">
      <c r="A2856" t="s">
        <v>3044</v>
      </c>
      <c r="B2856" s="10">
        <v>46176</v>
      </c>
      <c r="C2856" t="s">
        <v>227</v>
      </c>
      <c r="D2856" t="s">
        <v>12</v>
      </c>
      <c r="E2856" t="s">
        <v>51</v>
      </c>
      <c r="F2856" t="s">
        <v>14</v>
      </c>
      <c r="G2856">
        <v>38.39</v>
      </c>
      <c r="H2856" t="s">
        <v>21</v>
      </c>
      <c r="I2856" t="s">
        <v>47</v>
      </c>
      <c r="J2856" t="s">
        <v>17</v>
      </c>
    </row>
    <row r="2857" spans="1:10" x14ac:dyDescent="0.35">
      <c r="A2857" t="s">
        <v>3045</v>
      </c>
      <c r="B2857" s="10">
        <v>46176</v>
      </c>
      <c r="C2857" t="s">
        <v>229</v>
      </c>
      <c r="D2857" t="s">
        <v>54</v>
      </c>
      <c r="E2857" t="s">
        <v>64</v>
      </c>
      <c r="F2857" t="s">
        <v>54</v>
      </c>
      <c r="G2857">
        <v>300.39999999999998</v>
      </c>
      <c r="H2857" t="s">
        <v>15</v>
      </c>
      <c r="I2857" t="s">
        <v>47</v>
      </c>
      <c r="J2857" t="s">
        <v>56</v>
      </c>
    </row>
    <row r="2858" spans="1:10" x14ac:dyDescent="0.35">
      <c r="A2858" t="s">
        <v>3046</v>
      </c>
      <c r="B2858" s="10">
        <v>46176</v>
      </c>
      <c r="C2858" t="s">
        <v>308</v>
      </c>
      <c r="D2858" t="s">
        <v>54</v>
      </c>
      <c r="E2858" t="s">
        <v>64</v>
      </c>
      <c r="F2858" t="s">
        <v>54</v>
      </c>
      <c r="G2858">
        <v>334.02</v>
      </c>
      <c r="H2858" t="s">
        <v>21</v>
      </c>
      <c r="I2858" t="s">
        <v>36</v>
      </c>
      <c r="J2858" t="s">
        <v>89</v>
      </c>
    </row>
    <row r="2859" spans="1:10" x14ac:dyDescent="0.35">
      <c r="A2859" t="s">
        <v>3047</v>
      </c>
      <c r="B2859" s="10">
        <v>46176</v>
      </c>
      <c r="C2859" t="s">
        <v>25</v>
      </c>
      <c r="D2859" t="s">
        <v>12</v>
      </c>
      <c r="E2859" t="s">
        <v>26</v>
      </c>
      <c r="F2859" t="s">
        <v>14</v>
      </c>
      <c r="G2859">
        <v>52.25</v>
      </c>
      <c r="H2859" t="s">
        <v>15</v>
      </c>
      <c r="I2859" t="s">
        <v>36</v>
      </c>
      <c r="J2859" t="s">
        <v>17</v>
      </c>
    </row>
    <row r="2860" spans="1:10" x14ac:dyDescent="0.35">
      <c r="A2860" t="s">
        <v>3048</v>
      </c>
      <c r="B2860" s="10">
        <v>46177</v>
      </c>
      <c r="C2860" t="s">
        <v>143</v>
      </c>
      <c r="D2860" t="s">
        <v>54</v>
      </c>
      <c r="E2860" t="s">
        <v>55</v>
      </c>
      <c r="F2860" t="s">
        <v>54</v>
      </c>
      <c r="G2860">
        <v>727.3</v>
      </c>
      <c r="H2860" t="s">
        <v>15</v>
      </c>
      <c r="I2860" t="s">
        <v>22</v>
      </c>
      <c r="J2860" t="s">
        <v>89</v>
      </c>
    </row>
    <row r="2861" spans="1:10" x14ac:dyDescent="0.35">
      <c r="A2861" t="s">
        <v>3049</v>
      </c>
      <c r="B2861" s="10">
        <v>46177</v>
      </c>
      <c r="C2861" t="s">
        <v>376</v>
      </c>
      <c r="D2861" t="s">
        <v>80</v>
      </c>
      <c r="E2861" t="s">
        <v>117</v>
      </c>
      <c r="F2861" t="s">
        <v>14</v>
      </c>
      <c r="G2861">
        <v>99.77</v>
      </c>
      <c r="H2861" t="s">
        <v>21</v>
      </c>
      <c r="I2861" t="s">
        <v>47</v>
      </c>
      <c r="J2861" t="s">
        <v>82</v>
      </c>
    </row>
    <row r="2862" spans="1:10" x14ac:dyDescent="0.35">
      <c r="A2862" t="s">
        <v>3050</v>
      </c>
      <c r="B2862" s="10">
        <v>46177</v>
      </c>
      <c r="C2862" t="s">
        <v>259</v>
      </c>
      <c r="D2862" t="s">
        <v>59</v>
      </c>
      <c r="E2862" t="s">
        <v>199</v>
      </c>
      <c r="F2862" t="s">
        <v>14</v>
      </c>
      <c r="G2862">
        <v>355.44</v>
      </c>
      <c r="H2862" t="s">
        <v>15</v>
      </c>
      <c r="I2862" t="s">
        <v>22</v>
      </c>
      <c r="J2862" t="s">
        <v>170</v>
      </c>
    </row>
    <row r="2863" spans="1:10" x14ac:dyDescent="0.35">
      <c r="A2863" t="s">
        <v>3051</v>
      </c>
      <c r="B2863" s="10">
        <v>46177</v>
      </c>
      <c r="C2863" t="s">
        <v>298</v>
      </c>
      <c r="D2863" t="s">
        <v>59</v>
      </c>
      <c r="E2863" t="s">
        <v>185</v>
      </c>
      <c r="F2863" t="s">
        <v>14</v>
      </c>
      <c r="G2863">
        <v>140.52000000000001</v>
      </c>
      <c r="H2863" t="s">
        <v>15</v>
      </c>
      <c r="I2863" t="s">
        <v>22</v>
      </c>
      <c r="J2863" t="s">
        <v>170</v>
      </c>
    </row>
    <row r="2864" spans="1:10" x14ac:dyDescent="0.35">
      <c r="A2864" t="s">
        <v>3052</v>
      </c>
      <c r="B2864" s="10">
        <v>46178</v>
      </c>
      <c r="C2864" t="s">
        <v>168</v>
      </c>
      <c r="D2864" t="s">
        <v>59</v>
      </c>
      <c r="E2864" t="s">
        <v>60</v>
      </c>
      <c r="F2864" t="s">
        <v>14</v>
      </c>
      <c r="G2864">
        <v>414.22</v>
      </c>
      <c r="H2864" t="s">
        <v>15</v>
      </c>
      <c r="I2864" t="s">
        <v>22</v>
      </c>
      <c r="J2864" t="s">
        <v>170</v>
      </c>
    </row>
    <row r="2865" spans="1:10" x14ac:dyDescent="0.35">
      <c r="A2865" t="s">
        <v>3053</v>
      </c>
      <c r="B2865" s="10">
        <v>46178</v>
      </c>
      <c r="C2865" t="s">
        <v>111</v>
      </c>
      <c r="D2865" t="s">
        <v>12</v>
      </c>
      <c r="E2865" t="s">
        <v>26</v>
      </c>
      <c r="F2865" t="s">
        <v>14</v>
      </c>
      <c r="G2865">
        <v>79.89</v>
      </c>
      <c r="H2865" t="s">
        <v>15</v>
      </c>
      <c r="I2865" t="s">
        <v>22</v>
      </c>
      <c r="J2865" t="s">
        <v>23</v>
      </c>
    </row>
    <row r="2866" spans="1:10" x14ac:dyDescent="0.35">
      <c r="A2866" t="s">
        <v>3054</v>
      </c>
      <c r="B2866" s="10">
        <v>46178</v>
      </c>
      <c r="C2866" t="s">
        <v>376</v>
      </c>
      <c r="D2866" t="s">
        <v>80</v>
      </c>
      <c r="E2866" t="s">
        <v>117</v>
      </c>
      <c r="F2866" t="s">
        <v>14</v>
      </c>
      <c r="G2866">
        <v>111.64</v>
      </c>
      <c r="H2866" t="s">
        <v>15</v>
      </c>
      <c r="I2866" t="s">
        <v>22</v>
      </c>
      <c r="J2866" t="s">
        <v>82</v>
      </c>
    </row>
    <row r="2867" spans="1:10" x14ac:dyDescent="0.35">
      <c r="A2867" t="s">
        <v>3055</v>
      </c>
      <c r="B2867" s="10">
        <v>46178</v>
      </c>
      <c r="C2867" t="s">
        <v>138</v>
      </c>
      <c r="D2867" t="s">
        <v>12</v>
      </c>
      <c r="E2867" t="s">
        <v>26</v>
      </c>
      <c r="F2867" t="s">
        <v>14</v>
      </c>
      <c r="G2867">
        <v>43.04</v>
      </c>
      <c r="H2867" t="s">
        <v>15</v>
      </c>
      <c r="I2867" t="s">
        <v>22</v>
      </c>
      <c r="J2867" t="s">
        <v>77</v>
      </c>
    </row>
    <row r="2868" spans="1:10" x14ac:dyDescent="0.35">
      <c r="A2868" t="s">
        <v>3056</v>
      </c>
      <c r="B2868" s="10">
        <v>46178</v>
      </c>
      <c r="C2868" t="s">
        <v>415</v>
      </c>
      <c r="D2868" t="s">
        <v>12</v>
      </c>
      <c r="E2868" t="s">
        <v>51</v>
      </c>
      <c r="F2868" t="s">
        <v>14</v>
      </c>
      <c r="G2868">
        <v>25.84</v>
      </c>
      <c r="H2868" t="s">
        <v>21</v>
      </c>
      <c r="I2868" t="s">
        <v>22</v>
      </c>
      <c r="J2868" t="s">
        <v>77</v>
      </c>
    </row>
    <row r="2869" spans="1:10" x14ac:dyDescent="0.35">
      <c r="A2869" t="s">
        <v>3057</v>
      </c>
      <c r="B2869" s="10">
        <v>46178</v>
      </c>
      <c r="C2869" t="s">
        <v>73</v>
      </c>
      <c r="D2869" t="s">
        <v>54</v>
      </c>
      <c r="E2869" t="s">
        <v>74</v>
      </c>
      <c r="F2869" t="s">
        <v>54</v>
      </c>
      <c r="G2869">
        <v>2180.58</v>
      </c>
      <c r="H2869" t="s">
        <v>15</v>
      </c>
      <c r="I2869" t="s">
        <v>22</v>
      </c>
      <c r="J2869" t="s">
        <v>65</v>
      </c>
    </row>
    <row r="2870" spans="1:10" x14ac:dyDescent="0.35">
      <c r="A2870" t="s">
        <v>3058</v>
      </c>
      <c r="B2870" s="10">
        <v>46179</v>
      </c>
      <c r="C2870" t="s">
        <v>269</v>
      </c>
      <c r="D2870" t="s">
        <v>34</v>
      </c>
      <c r="E2870" t="s">
        <v>35</v>
      </c>
      <c r="F2870" t="s">
        <v>14</v>
      </c>
      <c r="G2870">
        <v>130.83000000000001</v>
      </c>
      <c r="H2870" t="s">
        <v>21</v>
      </c>
      <c r="I2870" t="s">
        <v>22</v>
      </c>
      <c r="J2870" t="s">
        <v>123</v>
      </c>
    </row>
    <row r="2871" spans="1:10" x14ac:dyDescent="0.35">
      <c r="A2871" t="s">
        <v>3059</v>
      </c>
      <c r="B2871" s="10">
        <v>46179</v>
      </c>
      <c r="C2871" t="s">
        <v>116</v>
      </c>
      <c r="D2871" t="s">
        <v>80</v>
      </c>
      <c r="E2871" t="s">
        <v>117</v>
      </c>
      <c r="F2871" t="s">
        <v>14</v>
      </c>
      <c r="G2871">
        <v>34.380000000000003</v>
      </c>
      <c r="H2871" t="s">
        <v>15</v>
      </c>
      <c r="I2871" t="s">
        <v>16</v>
      </c>
      <c r="J2871" t="s">
        <v>118</v>
      </c>
    </row>
    <row r="2872" spans="1:10" x14ac:dyDescent="0.35">
      <c r="A2872" t="s">
        <v>3060</v>
      </c>
      <c r="B2872" s="10">
        <v>46179</v>
      </c>
      <c r="C2872" t="s">
        <v>259</v>
      </c>
      <c r="D2872" t="s">
        <v>59</v>
      </c>
      <c r="E2872" t="s">
        <v>199</v>
      </c>
      <c r="F2872" t="s">
        <v>14</v>
      </c>
      <c r="G2872">
        <v>141.07</v>
      </c>
      <c r="H2872" t="s">
        <v>21</v>
      </c>
      <c r="I2872" t="s">
        <v>84</v>
      </c>
      <c r="J2872" t="s">
        <v>170</v>
      </c>
    </row>
    <row r="2873" spans="1:10" x14ac:dyDescent="0.35">
      <c r="A2873" t="s">
        <v>3061</v>
      </c>
      <c r="B2873" s="10">
        <v>46179</v>
      </c>
      <c r="C2873" t="s">
        <v>140</v>
      </c>
      <c r="D2873" t="s">
        <v>80</v>
      </c>
      <c r="E2873" t="s">
        <v>81</v>
      </c>
      <c r="F2873" t="s">
        <v>14</v>
      </c>
      <c r="G2873">
        <v>117.33</v>
      </c>
      <c r="H2873" t="s">
        <v>15</v>
      </c>
      <c r="I2873" t="s">
        <v>22</v>
      </c>
      <c r="J2873" t="s">
        <v>141</v>
      </c>
    </row>
    <row r="2874" spans="1:10" x14ac:dyDescent="0.35">
      <c r="A2874" t="s">
        <v>3062</v>
      </c>
      <c r="B2874" s="10">
        <v>46179</v>
      </c>
      <c r="C2874" t="s">
        <v>253</v>
      </c>
      <c r="D2874" t="s">
        <v>29</v>
      </c>
      <c r="E2874" t="s">
        <v>30</v>
      </c>
      <c r="F2874" t="s">
        <v>14</v>
      </c>
      <c r="G2874">
        <v>50.52</v>
      </c>
      <c r="H2874" t="s">
        <v>21</v>
      </c>
      <c r="I2874" t="s">
        <v>22</v>
      </c>
      <c r="J2874" t="s">
        <v>158</v>
      </c>
    </row>
    <row r="2875" spans="1:10" x14ac:dyDescent="0.35">
      <c r="A2875" t="s">
        <v>3063</v>
      </c>
      <c r="B2875" s="10">
        <v>46180</v>
      </c>
      <c r="C2875" t="s">
        <v>415</v>
      </c>
      <c r="D2875" t="s">
        <v>12</v>
      </c>
      <c r="E2875" t="s">
        <v>51</v>
      </c>
      <c r="F2875" t="s">
        <v>14</v>
      </c>
      <c r="G2875">
        <v>27.89</v>
      </c>
      <c r="H2875" t="s">
        <v>98</v>
      </c>
      <c r="I2875" t="s">
        <v>22</v>
      </c>
      <c r="J2875" t="s">
        <v>77</v>
      </c>
    </row>
    <row r="2876" spans="1:10" x14ac:dyDescent="0.35">
      <c r="A2876" t="s">
        <v>3064</v>
      </c>
      <c r="B2876" s="10">
        <v>46181</v>
      </c>
      <c r="C2876" t="s">
        <v>163</v>
      </c>
      <c r="D2876" t="s">
        <v>80</v>
      </c>
      <c r="E2876" t="s">
        <v>92</v>
      </c>
      <c r="F2876" t="s">
        <v>14</v>
      </c>
      <c r="G2876">
        <v>38.18</v>
      </c>
      <c r="H2876" t="s">
        <v>15</v>
      </c>
      <c r="I2876" t="s">
        <v>36</v>
      </c>
      <c r="J2876" t="s">
        <v>118</v>
      </c>
    </row>
    <row r="2877" spans="1:10" x14ac:dyDescent="0.35">
      <c r="A2877" t="s">
        <v>3065</v>
      </c>
      <c r="B2877" s="10">
        <v>46181</v>
      </c>
      <c r="C2877" t="s">
        <v>157</v>
      </c>
      <c r="D2877" t="s">
        <v>29</v>
      </c>
      <c r="E2877" t="s">
        <v>95</v>
      </c>
      <c r="F2877" t="s">
        <v>14</v>
      </c>
      <c r="G2877">
        <v>41.3</v>
      </c>
      <c r="H2877" t="s">
        <v>15</v>
      </c>
      <c r="I2877" t="s">
        <v>36</v>
      </c>
      <c r="J2877" t="s">
        <v>158</v>
      </c>
    </row>
    <row r="2878" spans="1:10" x14ac:dyDescent="0.35">
      <c r="A2878" t="s">
        <v>3066</v>
      </c>
      <c r="B2878" s="10">
        <v>46181</v>
      </c>
      <c r="C2878" t="s">
        <v>350</v>
      </c>
      <c r="D2878" t="s">
        <v>29</v>
      </c>
      <c r="E2878" t="s">
        <v>151</v>
      </c>
      <c r="F2878" t="s">
        <v>14</v>
      </c>
      <c r="G2878">
        <v>30.45</v>
      </c>
      <c r="H2878" t="s">
        <v>21</v>
      </c>
      <c r="I2878" t="s">
        <v>47</v>
      </c>
      <c r="J2878" t="s">
        <v>158</v>
      </c>
    </row>
    <row r="2879" spans="1:10" x14ac:dyDescent="0.35">
      <c r="A2879" t="s">
        <v>3067</v>
      </c>
      <c r="B2879" s="10">
        <v>46181</v>
      </c>
      <c r="C2879" t="s">
        <v>445</v>
      </c>
      <c r="D2879" t="s">
        <v>101</v>
      </c>
      <c r="E2879" t="s">
        <v>244</v>
      </c>
      <c r="F2879" t="s">
        <v>14</v>
      </c>
      <c r="G2879">
        <v>35.67</v>
      </c>
      <c r="H2879" t="s">
        <v>21</v>
      </c>
      <c r="I2879" t="s">
        <v>22</v>
      </c>
      <c r="J2879" t="s">
        <v>103</v>
      </c>
    </row>
    <row r="2880" spans="1:10" x14ac:dyDescent="0.35">
      <c r="A2880" t="s">
        <v>3068</v>
      </c>
      <c r="B2880" s="10">
        <v>46182</v>
      </c>
      <c r="C2880" t="s">
        <v>168</v>
      </c>
      <c r="D2880" t="s">
        <v>59</v>
      </c>
      <c r="E2880" t="s">
        <v>60</v>
      </c>
      <c r="F2880" t="s">
        <v>14</v>
      </c>
      <c r="G2880">
        <v>169.46</v>
      </c>
      <c r="H2880" t="s">
        <v>21</v>
      </c>
      <c r="I2880" t="s">
        <v>36</v>
      </c>
      <c r="J2880" t="s">
        <v>170</v>
      </c>
    </row>
    <row r="2881" spans="1:10" x14ac:dyDescent="0.35">
      <c r="A2881" t="s">
        <v>3069</v>
      </c>
      <c r="B2881" s="10">
        <v>46182</v>
      </c>
      <c r="C2881" t="s">
        <v>50</v>
      </c>
      <c r="D2881" t="s">
        <v>12</v>
      </c>
      <c r="E2881" t="s">
        <v>51</v>
      </c>
      <c r="F2881" t="s">
        <v>14</v>
      </c>
      <c r="G2881">
        <v>28.81</v>
      </c>
      <c r="H2881" t="s">
        <v>15</v>
      </c>
      <c r="I2881" t="s">
        <v>22</v>
      </c>
      <c r="J2881" t="s">
        <v>44</v>
      </c>
    </row>
    <row r="2882" spans="1:10" x14ac:dyDescent="0.35">
      <c r="A2882" t="s">
        <v>3070</v>
      </c>
      <c r="B2882" s="10">
        <v>46182</v>
      </c>
      <c r="C2882" t="s">
        <v>229</v>
      </c>
      <c r="D2882" t="s">
        <v>54</v>
      </c>
      <c r="E2882" t="s">
        <v>64</v>
      </c>
      <c r="F2882" t="s">
        <v>54</v>
      </c>
      <c r="G2882">
        <v>363.39</v>
      </c>
      <c r="H2882" t="s">
        <v>21</v>
      </c>
      <c r="I2882" t="s">
        <v>16</v>
      </c>
      <c r="J2882" t="s">
        <v>56</v>
      </c>
    </row>
    <row r="2883" spans="1:10" x14ac:dyDescent="0.35">
      <c r="A2883" t="s">
        <v>3071</v>
      </c>
      <c r="B2883" s="10">
        <v>46182</v>
      </c>
      <c r="C2883" t="s">
        <v>116</v>
      </c>
      <c r="D2883" t="s">
        <v>80</v>
      </c>
      <c r="E2883" t="s">
        <v>117</v>
      </c>
      <c r="F2883" t="s">
        <v>14</v>
      </c>
      <c r="G2883">
        <v>55.77</v>
      </c>
      <c r="H2883" t="s">
        <v>15</v>
      </c>
      <c r="I2883" t="s">
        <v>22</v>
      </c>
      <c r="J2883" t="s">
        <v>118</v>
      </c>
    </row>
    <row r="2884" spans="1:10" x14ac:dyDescent="0.35">
      <c r="A2884" t="s">
        <v>3072</v>
      </c>
      <c r="B2884" s="10">
        <v>46182</v>
      </c>
      <c r="C2884" t="s">
        <v>88</v>
      </c>
      <c r="D2884" t="s">
        <v>54</v>
      </c>
      <c r="E2884" t="s">
        <v>74</v>
      </c>
      <c r="F2884" t="s">
        <v>54</v>
      </c>
      <c r="G2884">
        <v>2258.9499999999998</v>
      </c>
      <c r="H2884" t="s">
        <v>15</v>
      </c>
      <c r="I2884" t="s">
        <v>47</v>
      </c>
      <c r="J2884" t="s">
        <v>89</v>
      </c>
    </row>
    <row r="2885" spans="1:10" x14ac:dyDescent="0.35">
      <c r="A2885" t="s">
        <v>3073</v>
      </c>
      <c r="B2885" s="10">
        <v>46183</v>
      </c>
      <c r="C2885" t="s">
        <v>63</v>
      </c>
      <c r="D2885" t="s">
        <v>54</v>
      </c>
      <c r="E2885" t="s">
        <v>64</v>
      </c>
      <c r="F2885" t="s">
        <v>54</v>
      </c>
      <c r="G2885">
        <v>351.95</v>
      </c>
      <c r="H2885" t="s">
        <v>21</v>
      </c>
      <c r="I2885" t="s">
        <v>22</v>
      </c>
      <c r="J2885" t="s">
        <v>65</v>
      </c>
    </row>
    <row r="2886" spans="1:10" x14ac:dyDescent="0.35">
      <c r="A2886" t="s">
        <v>3074</v>
      </c>
      <c r="B2886" s="10">
        <v>46183</v>
      </c>
      <c r="C2886" t="s">
        <v>227</v>
      </c>
      <c r="D2886" t="s">
        <v>12</v>
      </c>
      <c r="E2886" t="s">
        <v>51</v>
      </c>
      <c r="F2886" t="s">
        <v>14</v>
      </c>
      <c r="G2886">
        <v>94.41</v>
      </c>
      <c r="H2886" t="s">
        <v>21</v>
      </c>
      <c r="I2886" t="s">
        <v>16</v>
      </c>
      <c r="J2886" t="s">
        <v>17</v>
      </c>
    </row>
    <row r="2887" spans="1:10" x14ac:dyDescent="0.35">
      <c r="A2887" t="s">
        <v>3075</v>
      </c>
      <c r="B2887" s="10">
        <v>46184</v>
      </c>
      <c r="C2887" t="s">
        <v>143</v>
      </c>
      <c r="D2887" t="s">
        <v>54</v>
      </c>
      <c r="E2887" t="s">
        <v>55</v>
      </c>
      <c r="F2887" t="s">
        <v>54</v>
      </c>
      <c r="G2887">
        <v>663.83</v>
      </c>
      <c r="H2887" t="s">
        <v>15</v>
      </c>
      <c r="I2887" t="s">
        <v>47</v>
      </c>
      <c r="J2887" t="s">
        <v>89</v>
      </c>
    </row>
    <row r="2888" spans="1:10" x14ac:dyDescent="0.35">
      <c r="A2888" t="s">
        <v>3076</v>
      </c>
      <c r="B2888" s="10">
        <v>46184</v>
      </c>
      <c r="C2888" t="s">
        <v>94</v>
      </c>
      <c r="D2888" t="s">
        <v>29</v>
      </c>
      <c r="E2888" t="s">
        <v>95</v>
      </c>
      <c r="F2888" t="s">
        <v>14</v>
      </c>
      <c r="G2888">
        <v>47.14</v>
      </c>
      <c r="H2888" t="s">
        <v>15</v>
      </c>
      <c r="I2888" t="s">
        <v>16</v>
      </c>
      <c r="J2888" t="s">
        <v>96</v>
      </c>
    </row>
    <row r="2889" spans="1:10" x14ac:dyDescent="0.35">
      <c r="A2889" t="s">
        <v>3077</v>
      </c>
      <c r="B2889" s="10">
        <v>46184</v>
      </c>
      <c r="C2889" t="s">
        <v>281</v>
      </c>
      <c r="D2889" t="s">
        <v>34</v>
      </c>
      <c r="E2889" t="s">
        <v>40</v>
      </c>
      <c r="F2889" t="s">
        <v>14</v>
      </c>
      <c r="G2889">
        <v>85.56</v>
      </c>
      <c r="H2889" t="s">
        <v>15</v>
      </c>
      <c r="I2889" t="s">
        <v>22</v>
      </c>
      <c r="J2889" t="s">
        <v>123</v>
      </c>
    </row>
    <row r="2890" spans="1:10" x14ac:dyDescent="0.35">
      <c r="A2890" t="s">
        <v>3078</v>
      </c>
      <c r="B2890" s="10">
        <v>46184</v>
      </c>
      <c r="C2890" t="s">
        <v>109</v>
      </c>
      <c r="D2890" t="s">
        <v>34</v>
      </c>
      <c r="E2890" t="s">
        <v>35</v>
      </c>
      <c r="F2890" t="s">
        <v>14</v>
      </c>
      <c r="G2890">
        <v>65.099999999999994</v>
      </c>
      <c r="H2890" t="s">
        <v>21</v>
      </c>
      <c r="I2890" t="s">
        <v>22</v>
      </c>
      <c r="J2890" t="s">
        <v>41</v>
      </c>
    </row>
    <row r="2891" spans="1:10" x14ac:dyDescent="0.35">
      <c r="A2891" t="s">
        <v>3079</v>
      </c>
      <c r="B2891" s="10">
        <v>46184</v>
      </c>
      <c r="C2891" t="s">
        <v>79</v>
      </c>
      <c r="D2891" t="s">
        <v>80</v>
      </c>
      <c r="E2891" t="s">
        <v>81</v>
      </c>
      <c r="F2891" t="s">
        <v>14</v>
      </c>
      <c r="G2891">
        <v>43.5</v>
      </c>
      <c r="H2891" t="s">
        <v>15</v>
      </c>
      <c r="I2891" t="s">
        <v>22</v>
      </c>
      <c r="J2891" t="s">
        <v>82</v>
      </c>
    </row>
    <row r="2892" spans="1:10" x14ac:dyDescent="0.35">
      <c r="A2892" t="s">
        <v>3080</v>
      </c>
      <c r="B2892" s="10">
        <v>46184</v>
      </c>
      <c r="C2892" t="s">
        <v>229</v>
      </c>
      <c r="D2892" t="s">
        <v>54</v>
      </c>
      <c r="E2892" t="s">
        <v>64</v>
      </c>
      <c r="F2892" t="s">
        <v>54</v>
      </c>
      <c r="G2892">
        <v>421.31</v>
      </c>
      <c r="H2892" t="s">
        <v>15</v>
      </c>
      <c r="I2892" t="s">
        <v>22</v>
      </c>
      <c r="J2892" t="s">
        <v>56</v>
      </c>
    </row>
    <row r="2893" spans="1:10" x14ac:dyDescent="0.35">
      <c r="A2893" t="s">
        <v>3081</v>
      </c>
      <c r="B2893" s="10">
        <v>46184</v>
      </c>
      <c r="C2893" t="s">
        <v>88</v>
      </c>
      <c r="D2893" t="s">
        <v>54</v>
      </c>
      <c r="E2893" t="s">
        <v>74</v>
      </c>
      <c r="F2893" t="s">
        <v>54</v>
      </c>
      <c r="G2893">
        <v>2589.12</v>
      </c>
      <c r="H2893" t="s">
        <v>15</v>
      </c>
      <c r="I2893" t="s">
        <v>22</v>
      </c>
      <c r="J2893" t="s">
        <v>89</v>
      </c>
    </row>
    <row r="2894" spans="1:10" x14ac:dyDescent="0.35">
      <c r="A2894" t="s">
        <v>3082</v>
      </c>
      <c r="B2894" s="10">
        <v>46184</v>
      </c>
      <c r="C2894" t="s">
        <v>267</v>
      </c>
      <c r="D2894" t="s">
        <v>29</v>
      </c>
      <c r="E2894" t="s">
        <v>30</v>
      </c>
      <c r="F2894" t="s">
        <v>14</v>
      </c>
      <c r="G2894">
        <v>61.81</v>
      </c>
      <c r="H2894" t="s">
        <v>21</v>
      </c>
      <c r="I2894" t="s">
        <v>36</v>
      </c>
      <c r="J2894" t="s">
        <v>96</v>
      </c>
    </row>
    <row r="2895" spans="1:10" x14ac:dyDescent="0.35">
      <c r="A2895" t="s">
        <v>3083</v>
      </c>
      <c r="B2895" s="10">
        <v>46184</v>
      </c>
      <c r="C2895" t="s">
        <v>308</v>
      </c>
      <c r="D2895" t="s">
        <v>54</v>
      </c>
      <c r="E2895" t="s">
        <v>64</v>
      </c>
      <c r="F2895" t="s">
        <v>54</v>
      </c>
      <c r="G2895">
        <v>373.87</v>
      </c>
      <c r="H2895" t="s">
        <v>98</v>
      </c>
      <c r="I2895" t="s">
        <v>22</v>
      </c>
      <c r="J2895" t="s">
        <v>89</v>
      </c>
    </row>
    <row r="2896" spans="1:10" x14ac:dyDescent="0.35">
      <c r="A2896" t="s">
        <v>3084</v>
      </c>
      <c r="B2896" s="10">
        <v>46184</v>
      </c>
      <c r="C2896" t="s">
        <v>143</v>
      </c>
      <c r="D2896" t="s">
        <v>54</v>
      </c>
      <c r="E2896" t="s">
        <v>55</v>
      </c>
      <c r="F2896" t="s">
        <v>54</v>
      </c>
      <c r="G2896">
        <v>799.76</v>
      </c>
      <c r="H2896" t="s">
        <v>21</v>
      </c>
      <c r="I2896" t="s">
        <v>22</v>
      </c>
      <c r="J2896" t="s">
        <v>89</v>
      </c>
    </row>
    <row r="2897" spans="1:10" x14ac:dyDescent="0.35">
      <c r="A2897" t="s">
        <v>3085</v>
      </c>
      <c r="B2897" s="10">
        <v>46184</v>
      </c>
      <c r="C2897" t="s">
        <v>238</v>
      </c>
      <c r="D2897" t="s">
        <v>34</v>
      </c>
      <c r="E2897" t="s">
        <v>35</v>
      </c>
      <c r="F2897" t="s">
        <v>14</v>
      </c>
      <c r="G2897">
        <v>43.7</v>
      </c>
      <c r="H2897" t="s">
        <v>21</v>
      </c>
      <c r="I2897" t="s">
        <v>22</v>
      </c>
      <c r="J2897" t="s">
        <v>239</v>
      </c>
    </row>
    <row r="2898" spans="1:10" x14ac:dyDescent="0.35">
      <c r="A2898" t="s">
        <v>3086</v>
      </c>
      <c r="B2898" s="10">
        <v>46184</v>
      </c>
      <c r="C2898" t="s">
        <v>269</v>
      </c>
      <c r="D2898" t="s">
        <v>34</v>
      </c>
      <c r="E2898" t="s">
        <v>35</v>
      </c>
      <c r="F2898" t="s">
        <v>14</v>
      </c>
      <c r="G2898">
        <v>65.28</v>
      </c>
      <c r="H2898" t="s">
        <v>21</v>
      </c>
      <c r="I2898" t="s">
        <v>47</v>
      </c>
      <c r="J2898" t="s">
        <v>123</v>
      </c>
    </row>
    <row r="2899" spans="1:10" x14ac:dyDescent="0.35">
      <c r="A2899" t="s">
        <v>3087</v>
      </c>
      <c r="B2899" s="10">
        <v>46185</v>
      </c>
      <c r="C2899" t="s">
        <v>88</v>
      </c>
      <c r="D2899" t="s">
        <v>54</v>
      </c>
      <c r="E2899" t="s">
        <v>74</v>
      </c>
      <c r="F2899" t="s">
        <v>54</v>
      </c>
      <c r="G2899">
        <v>2832.15</v>
      </c>
      <c r="H2899" t="s">
        <v>21</v>
      </c>
      <c r="I2899" t="s">
        <v>36</v>
      </c>
      <c r="J2899" t="s">
        <v>89</v>
      </c>
    </row>
    <row r="2900" spans="1:10" x14ac:dyDescent="0.35">
      <c r="A2900" t="s">
        <v>3088</v>
      </c>
      <c r="B2900" s="10">
        <v>46185</v>
      </c>
      <c r="C2900" t="s">
        <v>184</v>
      </c>
      <c r="D2900" t="s">
        <v>59</v>
      </c>
      <c r="E2900" t="s">
        <v>185</v>
      </c>
      <c r="F2900" t="s">
        <v>14</v>
      </c>
      <c r="G2900">
        <v>119.91</v>
      </c>
      <c r="H2900" t="s">
        <v>15</v>
      </c>
      <c r="I2900" t="s">
        <v>22</v>
      </c>
      <c r="J2900" t="s">
        <v>61</v>
      </c>
    </row>
    <row r="2901" spans="1:10" x14ac:dyDescent="0.35">
      <c r="A2901" t="s">
        <v>3089</v>
      </c>
      <c r="B2901" s="10">
        <v>46185</v>
      </c>
      <c r="C2901" t="s">
        <v>256</v>
      </c>
      <c r="D2901" t="s">
        <v>34</v>
      </c>
      <c r="E2901" t="s">
        <v>40</v>
      </c>
      <c r="F2901" t="s">
        <v>14</v>
      </c>
      <c r="G2901">
        <v>130.38</v>
      </c>
      <c r="H2901" t="s">
        <v>15</v>
      </c>
      <c r="I2901" t="s">
        <v>47</v>
      </c>
      <c r="J2901" t="s">
        <v>239</v>
      </c>
    </row>
    <row r="2902" spans="1:10" x14ac:dyDescent="0.35">
      <c r="A2902" t="s">
        <v>3090</v>
      </c>
      <c r="B2902" s="10">
        <v>46185</v>
      </c>
      <c r="C2902" t="s">
        <v>155</v>
      </c>
      <c r="D2902" t="s">
        <v>12</v>
      </c>
      <c r="E2902" t="s">
        <v>51</v>
      </c>
      <c r="F2902" t="s">
        <v>14</v>
      </c>
      <c r="G2902">
        <v>80.63</v>
      </c>
      <c r="H2902" t="s">
        <v>15</v>
      </c>
      <c r="I2902" t="s">
        <v>47</v>
      </c>
      <c r="J2902" t="s">
        <v>48</v>
      </c>
    </row>
    <row r="2903" spans="1:10" x14ac:dyDescent="0.35">
      <c r="A2903" t="s">
        <v>3091</v>
      </c>
      <c r="B2903" s="10">
        <v>46185</v>
      </c>
      <c r="C2903" t="s">
        <v>269</v>
      </c>
      <c r="D2903" t="s">
        <v>34</v>
      </c>
      <c r="E2903" t="s">
        <v>35</v>
      </c>
      <c r="F2903" t="s">
        <v>14</v>
      </c>
      <c r="G2903">
        <v>48.82</v>
      </c>
      <c r="H2903" t="s">
        <v>15</v>
      </c>
      <c r="I2903" t="s">
        <v>47</v>
      </c>
      <c r="J2903" t="s">
        <v>123</v>
      </c>
    </row>
    <row r="2904" spans="1:10" x14ac:dyDescent="0.35">
      <c r="A2904" t="s">
        <v>3092</v>
      </c>
      <c r="B2904" s="10">
        <v>46186</v>
      </c>
      <c r="C2904" t="s">
        <v>445</v>
      </c>
      <c r="D2904" t="s">
        <v>101</v>
      </c>
      <c r="E2904" t="s">
        <v>244</v>
      </c>
      <c r="F2904" t="s">
        <v>14</v>
      </c>
      <c r="G2904">
        <v>75.959999999999994</v>
      </c>
      <c r="H2904" t="s">
        <v>21</v>
      </c>
      <c r="I2904" t="s">
        <v>47</v>
      </c>
      <c r="J2904" t="s">
        <v>103</v>
      </c>
    </row>
    <row r="2905" spans="1:10" x14ac:dyDescent="0.35">
      <c r="A2905" t="s">
        <v>3093</v>
      </c>
      <c r="B2905" s="10">
        <v>46186</v>
      </c>
      <c r="C2905" t="s">
        <v>376</v>
      </c>
      <c r="D2905" t="s">
        <v>80</v>
      </c>
      <c r="E2905" t="s">
        <v>117</v>
      </c>
      <c r="F2905" t="s">
        <v>14</v>
      </c>
      <c r="G2905">
        <v>24.99</v>
      </c>
      <c r="H2905" t="s">
        <v>15</v>
      </c>
      <c r="I2905" t="s">
        <v>47</v>
      </c>
      <c r="J2905" t="s">
        <v>82</v>
      </c>
    </row>
    <row r="2906" spans="1:10" x14ac:dyDescent="0.35">
      <c r="A2906" t="s">
        <v>3094</v>
      </c>
      <c r="B2906" s="10">
        <v>46186</v>
      </c>
      <c r="C2906" t="s">
        <v>163</v>
      </c>
      <c r="D2906" t="s">
        <v>80</v>
      </c>
      <c r="E2906" t="s">
        <v>92</v>
      </c>
      <c r="F2906" t="s">
        <v>14</v>
      </c>
      <c r="G2906">
        <v>15.75</v>
      </c>
      <c r="H2906" t="s">
        <v>21</v>
      </c>
      <c r="I2906" t="s">
        <v>22</v>
      </c>
      <c r="J2906" t="s">
        <v>118</v>
      </c>
    </row>
    <row r="2907" spans="1:10" x14ac:dyDescent="0.35">
      <c r="A2907" t="s">
        <v>3095</v>
      </c>
      <c r="B2907" s="10">
        <v>46186</v>
      </c>
      <c r="C2907" t="s">
        <v>206</v>
      </c>
      <c r="D2907" t="s">
        <v>29</v>
      </c>
      <c r="E2907" t="s">
        <v>95</v>
      </c>
      <c r="F2907" t="s">
        <v>14</v>
      </c>
      <c r="G2907">
        <v>57.99</v>
      </c>
      <c r="H2907" t="s">
        <v>15</v>
      </c>
      <c r="I2907" t="s">
        <v>22</v>
      </c>
      <c r="J2907" t="s">
        <v>31</v>
      </c>
    </row>
    <row r="2908" spans="1:10" x14ac:dyDescent="0.35">
      <c r="A2908" t="s">
        <v>3096</v>
      </c>
      <c r="B2908" s="10">
        <v>46187</v>
      </c>
      <c r="C2908" t="s">
        <v>143</v>
      </c>
      <c r="D2908" t="s">
        <v>54</v>
      </c>
      <c r="E2908" t="s">
        <v>55</v>
      </c>
      <c r="F2908" t="s">
        <v>54</v>
      </c>
      <c r="G2908">
        <v>744.59</v>
      </c>
      <c r="H2908" t="s">
        <v>15</v>
      </c>
      <c r="I2908" t="s">
        <v>22</v>
      </c>
      <c r="J2908" t="s">
        <v>89</v>
      </c>
    </row>
    <row r="2909" spans="1:10" x14ac:dyDescent="0.35">
      <c r="A2909" t="s">
        <v>3097</v>
      </c>
      <c r="B2909" s="10">
        <v>46187</v>
      </c>
      <c r="C2909" t="s">
        <v>243</v>
      </c>
      <c r="D2909" t="s">
        <v>101</v>
      </c>
      <c r="E2909" t="s">
        <v>244</v>
      </c>
      <c r="F2909" t="s">
        <v>14</v>
      </c>
      <c r="G2909">
        <v>89.72</v>
      </c>
      <c r="H2909" t="s">
        <v>15</v>
      </c>
      <c r="I2909" t="s">
        <v>36</v>
      </c>
      <c r="J2909" t="s">
        <v>102</v>
      </c>
    </row>
    <row r="2910" spans="1:10" x14ac:dyDescent="0.35">
      <c r="A2910" t="s">
        <v>3098</v>
      </c>
      <c r="B2910" s="10">
        <v>46187</v>
      </c>
      <c r="C2910" t="s">
        <v>345</v>
      </c>
      <c r="D2910" t="s">
        <v>59</v>
      </c>
      <c r="E2910" t="s">
        <v>60</v>
      </c>
      <c r="F2910" t="s">
        <v>14</v>
      </c>
      <c r="G2910">
        <v>607.45000000000005</v>
      </c>
      <c r="H2910" t="s">
        <v>15</v>
      </c>
      <c r="I2910" t="s">
        <v>36</v>
      </c>
      <c r="J2910" t="s">
        <v>211</v>
      </c>
    </row>
    <row r="2911" spans="1:10" x14ac:dyDescent="0.35">
      <c r="A2911" t="s">
        <v>3099</v>
      </c>
      <c r="B2911" s="10">
        <v>46188</v>
      </c>
      <c r="C2911" t="s">
        <v>308</v>
      </c>
      <c r="D2911" t="s">
        <v>54</v>
      </c>
      <c r="E2911" t="s">
        <v>64</v>
      </c>
      <c r="F2911" t="s">
        <v>54</v>
      </c>
      <c r="G2911">
        <v>284.79000000000002</v>
      </c>
      <c r="H2911" t="s">
        <v>21</v>
      </c>
      <c r="I2911" t="s">
        <v>36</v>
      </c>
      <c r="J2911" t="s">
        <v>89</v>
      </c>
    </row>
    <row r="2912" spans="1:10" x14ac:dyDescent="0.35">
      <c r="A2912" t="s">
        <v>3100</v>
      </c>
      <c r="B2912" s="10">
        <v>46188</v>
      </c>
      <c r="C2912" t="s">
        <v>269</v>
      </c>
      <c r="D2912" t="s">
        <v>34</v>
      </c>
      <c r="E2912" t="s">
        <v>35</v>
      </c>
      <c r="F2912" t="s">
        <v>14</v>
      </c>
      <c r="G2912">
        <v>93.5</v>
      </c>
      <c r="H2912" t="s">
        <v>21</v>
      </c>
      <c r="I2912" t="s">
        <v>36</v>
      </c>
      <c r="J2912" t="s">
        <v>123</v>
      </c>
    </row>
    <row r="2913" spans="1:10" x14ac:dyDescent="0.35">
      <c r="A2913" t="s">
        <v>3101</v>
      </c>
      <c r="B2913" s="10">
        <v>46188</v>
      </c>
      <c r="C2913" t="s">
        <v>189</v>
      </c>
      <c r="D2913" t="s">
        <v>34</v>
      </c>
      <c r="E2913" t="s">
        <v>122</v>
      </c>
      <c r="F2913" t="s">
        <v>14</v>
      </c>
      <c r="G2913">
        <v>201.11</v>
      </c>
      <c r="H2913" t="s">
        <v>15</v>
      </c>
      <c r="I2913" t="s">
        <v>22</v>
      </c>
      <c r="J2913" t="s">
        <v>37</v>
      </c>
    </row>
    <row r="2914" spans="1:10" x14ac:dyDescent="0.35">
      <c r="A2914" t="s">
        <v>3102</v>
      </c>
      <c r="B2914" s="10">
        <v>46188</v>
      </c>
      <c r="C2914" t="s">
        <v>296</v>
      </c>
      <c r="D2914" t="s">
        <v>101</v>
      </c>
      <c r="E2914" t="s">
        <v>136</v>
      </c>
      <c r="F2914" t="s">
        <v>14</v>
      </c>
      <c r="G2914">
        <v>47.53</v>
      </c>
      <c r="H2914" t="s">
        <v>15</v>
      </c>
      <c r="I2914" t="s">
        <v>22</v>
      </c>
      <c r="J2914" t="s">
        <v>136</v>
      </c>
    </row>
    <row r="2915" spans="1:10" x14ac:dyDescent="0.35">
      <c r="A2915" t="s">
        <v>3103</v>
      </c>
      <c r="B2915" s="10">
        <v>46188</v>
      </c>
      <c r="C2915" t="s">
        <v>19</v>
      </c>
      <c r="D2915" t="s">
        <v>12</v>
      </c>
      <c r="E2915" t="s">
        <v>13</v>
      </c>
      <c r="F2915" t="s">
        <v>14</v>
      </c>
      <c r="G2915">
        <v>34.56</v>
      </c>
      <c r="H2915" t="s">
        <v>15</v>
      </c>
      <c r="I2915" t="s">
        <v>22</v>
      </c>
      <c r="J2915" t="s">
        <v>23</v>
      </c>
    </row>
    <row r="2916" spans="1:10" x14ac:dyDescent="0.35">
      <c r="A2916" t="s">
        <v>3104</v>
      </c>
      <c r="B2916" s="10">
        <v>46188</v>
      </c>
      <c r="C2916" t="s">
        <v>464</v>
      </c>
      <c r="D2916" t="s">
        <v>34</v>
      </c>
      <c r="E2916" t="s">
        <v>122</v>
      </c>
      <c r="F2916" t="s">
        <v>14</v>
      </c>
      <c r="G2916">
        <v>289.22000000000003</v>
      </c>
      <c r="H2916" t="s">
        <v>15</v>
      </c>
      <c r="I2916" t="s">
        <v>16</v>
      </c>
      <c r="J2916" t="s">
        <v>239</v>
      </c>
    </row>
    <row r="2917" spans="1:10" x14ac:dyDescent="0.35">
      <c r="A2917" t="s">
        <v>3105</v>
      </c>
      <c r="B2917" s="10">
        <v>46188</v>
      </c>
      <c r="C2917" t="s">
        <v>143</v>
      </c>
      <c r="D2917" t="s">
        <v>54</v>
      </c>
      <c r="E2917" t="s">
        <v>55</v>
      </c>
      <c r="F2917" t="s">
        <v>54</v>
      </c>
      <c r="G2917">
        <v>786.22</v>
      </c>
      <c r="H2917" t="s">
        <v>98</v>
      </c>
      <c r="I2917" t="s">
        <v>36</v>
      </c>
      <c r="J2917" t="s">
        <v>89</v>
      </c>
    </row>
    <row r="2918" spans="1:10" x14ac:dyDescent="0.35">
      <c r="A2918" t="s">
        <v>3106</v>
      </c>
      <c r="B2918" s="10">
        <v>46189</v>
      </c>
      <c r="C2918" t="s">
        <v>184</v>
      </c>
      <c r="D2918" t="s">
        <v>59</v>
      </c>
      <c r="E2918" t="s">
        <v>185</v>
      </c>
      <c r="F2918" t="s">
        <v>14</v>
      </c>
      <c r="G2918">
        <v>224.31</v>
      </c>
      <c r="H2918" t="s">
        <v>15</v>
      </c>
      <c r="I2918" t="s">
        <v>47</v>
      </c>
      <c r="J2918" t="s">
        <v>61</v>
      </c>
    </row>
    <row r="2919" spans="1:10" x14ac:dyDescent="0.35">
      <c r="A2919" t="s">
        <v>3107</v>
      </c>
      <c r="B2919" s="10">
        <v>46189</v>
      </c>
      <c r="C2919" t="s">
        <v>50</v>
      </c>
      <c r="D2919" t="s">
        <v>12</v>
      </c>
      <c r="E2919" t="s">
        <v>51</v>
      </c>
      <c r="F2919" t="s">
        <v>14</v>
      </c>
      <c r="G2919">
        <v>33.799999999999997</v>
      </c>
      <c r="H2919" t="s">
        <v>15</v>
      </c>
      <c r="I2919" t="s">
        <v>36</v>
      </c>
      <c r="J2919" t="s">
        <v>44</v>
      </c>
    </row>
    <row r="2920" spans="1:10" x14ac:dyDescent="0.35">
      <c r="A2920" t="s">
        <v>3108</v>
      </c>
      <c r="B2920" s="10">
        <v>46189</v>
      </c>
      <c r="C2920" t="s">
        <v>25</v>
      </c>
      <c r="D2920" t="s">
        <v>12</v>
      </c>
      <c r="E2920" t="s">
        <v>26</v>
      </c>
      <c r="F2920" t="s">
        <v>14</v>
      </c>
      <c r="G2920">
        <v>16.260000000000002</v>
      </c>
      <c r="H2920" t="s">
        <v>15</v>
      </c>
      <c r="I2920" t="s">
        <v>36</v>
      </c>
      <c r="J2920" t="s">
        <v>17</v>
      </c>
    </row>
    <row r="2921" spans="1:10" x14ac:dyDescent="0.35">
      <c r="A2921" t="s">
        <v>3109</v>
      </c>
      <c r="B2921" s="10">
        <v>46189</v>
      </c>
      <c r="C2921" t="s">
        <v>308</v>
      </c>
      <c r="D2921" t="s">
        <v>54</v>
      </c>
      <c r="E2921" t="s">
        <v>64</v>
      </c>
      <c r="F2921" t="s">
        <v>54</v>
      </c>
      <c r="G2921">
        <v>401.79</v>
      </c>
      <c r="H2921" t="s">
        <v>15</v>
      </c>
      <c r="I2921" t="s">
        <v>36</v>
      </c>
      <c r="J2921" t="s">
        <v>89</v>
      </c>
    </row>
    <row r="2922" spans="1:10" x14ac:dyDescent="0.35">
      <c r="A2922" t="s">
        <v>3110</v>
      </c>
      <c r="B2922" s="10">
        <v>46189</v>
      </c>
      <c r="C2922" t="s">
        <v>53</v>
      </c>
      <c r="D2922" t="s">
        <v>54</v>
      </c>
      <c r="E2922" t="s">
        <v>55</v>
      </c>
      <c r="F2922" t="s">
        <v>54</v>
      </c>
      <c r="G2922">
        <v>778.58</v>
      </c>
      <c r="H2922" t="s">
        <v>98</v>
      </c>
      <c r="I2922" t="s">
        <v>22</v>
      </c>
      <c r="J2922" t="s">
        <v>56</v>
      </c>
    </row>
    <row r="2923" spans="1:10" x14ac:dyDescent="0.35">
      <c r="A2923" t="s">
        <v>3111</v>
      </c>
      <c r="B2923" s="10">
        <v>46190</v>
      </c>
      <c r="C2923" t="s">
        <v>79</v>
      </c>
      <c r="D2923" t="s">
        <v>80</v>
      </c>
      <c r="E2923" t="s">
        <v>81</v>
      </c>
      <c r="F2923" t="s">
        <v>14</v>
      </c>
      <c r="G2923">
        <v>46.75</v>
      </c>
      <c r="H2923" t="s">
        <v>21</v>
      </c>
      <c r="I2923" t="s">
        <v>16</v>
      </c>
      <c r="J2923" t="s">
        <v>82</v>
      </c>
    </row>
    <row r="2924" spans="1:10" x14ac:dyDescent="0.35">
      <c r="A2924" t="s">
        <v>3112</v>
      </c>
      <c r="B2924" s="10">
        <v>46190</v>
      </c>
      <c r="C2924" t="s">
        <v>229</v>
      </c>
      <c r="D2924" t="s">
        <v>54</v>
      </c>
      <c r="E2924" t="s">
        <v>64</v>
      </c>
      <c r="F2924" t="s">
        <v>54</v>
      </c>
      <c r="G2924">
        <v>401.59</v>
      </c>
      <c r="H2924" t="s">
        <v>15</v>
      </c>
      <c r="I2924" t="s">
        <v>84</v>
      </c>
      <c r="J2924" t="s">
        <v>56</v>
      </c>
    </row>
    <row r="2925" spans="1:10" x14ac:dyDescent="0.35">
      <c r="A2925" t="s">
        <v>3113</v>
      </c>
      <c r="B2925" s="10">
        <v>46190</v>
      </c>
      <c r="C2925" t="s">
        <v>580</v>
      </c>
      <c r="D2925" t="s">
        <v>80</v>
      </c>
      <c r="E2925" t="s">
        <v>81</v>
      </c>
      <c r="F2925" t="s">
        <v>14</v>
      </c>
      <c r="G2925">
        <v>32.39</v>
      </c>
      <c r="H2925" t="s">
        <v>98</v>
      </c>
      <c r="I2925" t="s">
        <v>36</v>
      </c>
      <c r="J2925" t="s">
        <v>118</v>
      </c>
    </row>
    <row r="2926" spans="1:10" x14ac:dyDescent="0.35">
      <c r="A2926" t="s">
        <v>3114</v>
      </c>
      <c r="B2926" s="10">
        <v>46190</v>
      </c>
      <c r="C2926" t="s">
        <v>1491</v>
      </c>
      <c r="D2926" t="s">
        <v>69</v>
      </c>
      <c r="E2926" t="s">
        <v>233</v>
      </c>
      <c r="F2926" t="s">
        <v>14</v>
      </c>
      <c r="G2926">
        <v>217.62</v>
      </c>
      <c r="H2926" t="s">
        <v>21</v>
      </c>
      <c r="I2926" t="s">
        <v>36</v>
      </c>
      <c r="J2926" t="s">
        <v>396</v>
      </c>
    </row>
    <row r="2927" spans="1:10" x14ac:dyDescent="0.35">
      <c r="A2927" t="s">
        <v>3115</v>
      </c>
      <c r="B2927" s="10">
        <v>46190</v>
      </c>
      <c r="C2927" t="s">
        <v>350</v>
      </c>
      <c r="D2927" t="s">
        <v>29</v>
      </c>
      <c r="E2927" t="s">
        <v>151</v>
      </c>
      <c r="F2927" t="s">
        <v>14</v>
      </c>
      <c r="G2927">
        <v>17.13</v>
      </c>
      <c r="H2927" t="s">
        <v>15</v>
      </c>
      <c r="I2927" t="s">
        <v>22</v>
      </c>
      <c r="J2927" t="s">
        <v>158</v>
      </c>
    </row>
    <row r="2928" spans="1:10" x14ac:dyDescent="0.35">
      <c r="A2928" t="s">
        <v>3116</v>
      </c>
      <c r="B2928" s="10">
        <v>46190</v>
      </c>
      <c r="C2928" t="s">
        <v>298</v>
      </c>
      <c r="D2928" t="s">
        <v>59</v>
      </c>
      <c r="E2928" t="s">
        <v>185</v>
      </c>
      <c r="F2928" t="s">
        <v>14</v>
      </c>
      <c r="G2928">
        <v>125.27</v>
      </c>
      <c r="H2928" t="s">
        <v>15</v>
      </c>
      <c r="I2928" t="s">
        <v>22</v>
      </c>
      <c r="J2928" t="s">
        <v>170</v>
      </c>
    </row>
    <row r="2929" spans="1:10" x14ac:dyDescent="0.35">
      <c r="A2929" t="s">
        <v>3117</v>
      </c>
      <c r="B2929" s="10">
        <v>46190</v>
      </c>
      <c r="C2929" t="s">
        <v>308</v>
      </c>
      <c r="D2929" t="s">
        <v>54</v>
      </c>
      <c r="E2929" t="s">
        <v>64</v>
      </c>
      <c r="F2929" t="s">
        <v>54</v>
      </c>
      <c r="G2929">
        <v>305.62</v>
      </c>
      <c r="H2929" t="s">
        <v>21</v>
      </c>
      <c r="I2929" t="s">
        <v>22</v>
      </c>
      <c r="J2929" t="s">
        <v>89</v>
      </c>
    </row>
    <row r="2930" spans="1:10" x14ac:dyDescent="0.35">
      <c r="A2930" t="s">
        <v>3118</v>
      </c>
      <c r="B2930" s="10">
        <v>46191</v>
      </c>
      <c r="C2930" t="s">
        <v>63</v>
      </c>
      <c r="D2930" t="s">
        <v>54</v>
      </c>
      <c r="E2930" t="s">
        <v>64</v>
      </c>
      <c r="F2930" t="s">
        <v>54</v>
      </c>
      <c r="G2930">
        <v>384.31</v>
      </c>
      <c r="H2930" t="s">
        <v>98</v>
      </c>
      <c r="I2930" t="s">
        <v>22</v>
      </c>
      <c r="J2930" t="s">
        <v>65</v>
      </c>
    </row>
    <row r="2931" spans="1:10" x14ac:dyDescent="0.35">
      <c r="A2931" t="s">
        <v>3119</v>
      </c>
      <c r="B2931" s="10">
        <v>46191</v>
      </c>
      <c r="C2931" t="s">
        <v>53</v>
      </c>
      <c r="D2931" t="s">
        <v>54</v>
      </c>
      <c r="E2931" t="s">
        <v>55</v>
      </c>
      <c r="F2931" t="s">
        <v>54</v>
      </c>
      <c r="G2931">
        <v>756.14</v>
      </c>
      <c r="H2931" t="s">
        <v>15</v>
      </c>
      <c r="I2931" t="s">
        <v>47</v>
      </c>
      <c r="J2931" t="s">
        <v>56</v>
      </c>
    </row>
    <row r="2932" spans="1:10" x14ac:dyDescent="0.35">
      <c r="A2932" t="s">
        <v>3120</v>
      </c>
      <c r="B2932" s="10">
        <v>46191</v>
      </c>
      <c r="C2932" t="s">
        <v>298</v>
      </c>
      <c r="D2932" t="s">
        <v>59</v>
      </c>
      <c r="E2932" t="s">
        <v>185</v>
      </c>
      <c r="F2932" t="s">
        <v>14</v>
      </c>
      <c r="G2932">
        <v>646.29</v>
      </c>
      <c r="H2932" t="s">
        <v>15</v>
      </c>
      <c r="I2932" t="s">
        <v>36</v>
      </c>
      <c r="J2932" t="s">
        <v>170</v>
      </c>
    </row>
    <row r="2933" spans="1:10" x14ac:dyDescent="0.35">
      <c r="A2933" t="s">
        <v>3121</v>
      </c>
      <c r="B2933" s="10">
        <v>46191</v>
      </c>
      <c r="C2933" t="s">
        <v>168</v>
      </c>
      <c r="D2933" t="s">
        <v>59</v>
      </c>
      <c r="E2933" t="s">
        <v>60</v>
      </c>
      <c r="F2933" t="s">
        <v>14</v>
      </c>
      <c r="G2933">
        <v>210.22</v>
      </c>
      <c r="H2933" t="s">
        <v>15</v>
      </c>
      <c r="I2933" t="s">
        <v>22</v>
      </c>
      <c r="J2933" t="s">
        <v>170</v>
      </c>
    </row>
    <row r="2934" spans="1:10" x14ac:dyDescent="0.35">
      <c r="A2934" t="s">
        <v>3122</v>
      </c>
      <c r="B2934" s="10">
        <v>46192</v>
      </c>
      <c r="C2934" t="s">
        <v>88</v>
      </c>
      <c r="D2934" t="s">
        <v>54</v>
      </c>
      <c r="E2934" t="s">
        <v>74</v>
      </c>
      <c r="F2934" t="s">
        <v>54</v>
      </c>
      <c r="G2934">
        <v>2804.21</v>
      </c>
      <c r="H2934" t="s">
        <v>15</v>
      </c>
      <c r="I2934" t="s">
        <v>36</v>
      </c>
      <c r="J2934" t="s">
        <v>89</v>
      </c>
    </row>
    <row r="2935" spans="1:10" x14ac:dyDescent="0.35">
      <c r="A2935" t="s">
        <v>3123</v>
      </c>
      <c r="B2935" s="10">
        <v>46192</v>
      </c>
      <c r="C2935" t="s">
        <v>28</v>
      </c>
      <c r="D2935" t="s">
        <v>29</v>
      </c>
      <c r="E2935" t="s">
        <v>30</v>
      </c>
      <c r="F2935" t="s">
        <v>14</v>
      </c>
      <c r="G2935">
        <v>56.17</v>
      </c>
      <c r="H2935" t="s">
        <v>98</v>
      </c>
      <c r="I2935" t="s">
        <v>22</v>
      </c>
      <c r="J2935" t="s">
        <v>31</v>
      </c>
    </row>
    <row r="2936" spans="1:10" x14ac:dyDescent="0.35">
      <c r="A2936" t="s">
        <v>3124</v>
      </c>
      <c r="B2936" s="10">
        <v>46192</v>
      </c>
      <c r="C2936" t="s">
        <v>179</v>
      </c>
      <c r="D2936" t="s">
        <v>80</v>
      </c>
      <c r="E2936" t="s">
        <v>117</v>
      </c>
      <c r="F2936" t="s">
        <v>14</v>
      </c>
      <c r="G2936">
        <v>60.67</v>
      </c>
      <c r="H2936" t="s">
        <v>21</v>
      </c>
      <c r="I2936" t="s">
        <v>16</v>
      </c>
      <c r="J2936" t="s">
        <v>180</v>
      </c>
    </row>
    <row r="2937" spans="1:10" x14ac:dyDescent="0.35">
      <c r="A2937" t="s">
        <v>3125</v>
      </c>
      <c r="B2937" s="10">
        <v>46192</v>
      </c>
      <c r="C2937" t="s">
        <v>238</v>
      </c>
      <c r="D2937" t="s">
        <v>34</v>
      </c>
      <c r="E2937" t="s">
        <v>35</v>
      </c>
      <c r="F2937" t="s">
        <v>14</v>
      </c>
      <c r="G2937">
        <v>65.73</v>
      </c>
      <c r="H2937" t="s">
        <v>15</v>
      </c>
      <c r="I2937" t="s">
        <v>47</v>
      </c>
      <c r="J2937" t="s">
        <v>239</v>
      </c>
    </row>
    <row r="2938" spans="1:10" x14ac:dyDescent="0.35">
      <c r="A2938" t="s">
        <v>3126</v>
      </c>
      <c r="B2938" s="10">
        <v>46192</v>
      </c>
      <c r="C2938" t="s">
        <v>198</v>
      </c>
      <c r="D2938" t="s">
        <v>59</v>
      </c>
      <c r="E2938" t="s">
        <v>199</v>
      </c>
      <c r="F2938" t="s">
        <v>14</v>
      </c>
      <c r="G2938">
        <v>603.33000000000004</v>
      </c>
      <c r="H2938" t="s">
        <v>15</v>
      </c>
      <c r="I2938" t="s">
        <v>47</v>
      </c>
      <c r="J2938" t="s">
        <v>61</v>
      </c>
    </row>
    <row r="2939" spans="1:10" x14ac:dyDescent="0.35">
      <c r="A2939" t="s">
        <v>3127</v>
      </c>
      <c r="B2939" s="10">
        <v>46192</v>
      </c>
      <c r="C2939" t="s">
        <v>177</v>
      </c>
      <c r="D2939" t="s">
        <v>54</v>
      </c>
      <c r="E2939" t="s">
        <v>74</v>
      </c>
      <c r="F2939" t="s">
        <v>54</v>
      </c>
      <c r="G2939">
        <v>2495.83</v>
      </c>
      <c r="H2939" t="s">
        <v>15</v>
      </c>
      <c r="I2939" t="s">
        <v>22</v>
      </c>
      <c r="J2939" t="s">
        <v>56</v>
      </c>
    </row>
    <row r="2940" spans="1:10" x14ac:dyDescent="0.35">
      <c r="A2940" t="s">
        <v>3128</v>
      </c>
      <c r="B2940" s="10">
        <v>46192</v>
      </c>
      <c r="C2940" t="s">
        <v>109</v>
      </c>
      <c r="D2940" t="s">
        <v>34</v>
      </c>
      <c r="E2940" t="s">
        <v>35</v>
      </c>
      <c r="F2940" t="s">
        <v>14</v>
      </c>
      <c r="G2940">
        <v>60.49</v>
      </c>
      <c r="H2940" t="s">
        <v>21</v>
      </c>
      <c r="I2940" t="s">
        <v>22</v>
      </c>
      <c r="J2940" t="s">
        <v>41</v>
      </c>
    </row>
    <row r="2941" spans="1:10" x14ac:dyDescent="0.35">
      <c r="A2941" t="s">
        <v>3129</v>
      </c>
      <c r="B2941" s="10">
        <v>46193</v>
      </c>
      <c r="C2941" t="s">
        <v>192</v>
      </c>
      <c r="D2941" t="s">
        <v>80</v>
      </c>
      <c r="E2941" t="s">
        <v>92</v>
      </c>
      <c r="F2941" t="s">
        <v>14</v>
      </c>
      <c r="G2941">
        <v>86.89</v>
      </c>
      <c r="H2941" t="s">
        <v>21</v>
      </c>
      <c r="I2941" t="s">
        <v>47</v>
      </c>
      <c r="J2941" t="s">
        <v>180</v>
      </c>
    </row>
    <row r="2942" spans="1:10" x14ac:dyDescent="0.35">
      <c r="A2942" t="s">
        <v>3130</v>
      </c>
      <c r="B2942" s="10">
        <v>46193</v>
      </c>
      <c r="C2942" t="s">
        <v>175</v>
      </c>
      <c r="D2942" t="s">
        <v>80</v>
      </c>
      <c r="E2942" t="s">
        <v>92</v>
      </c>
      <c r="F2942" t="s">
        <v>14</v>
      </c>
      <c r="G2942">
        <v>18.46</v>
      </c>
      <c r="H2942" t="s">
        <v>15</v>
      </c>
      <c r="I2942" t="s">
        <v>22</v>
      </c>
      <c r="J2942" t="s">
        <v>141</v>
      </c>
    </row>
    <row r="2943" spans="1:10" x14ac:dyDescent="0.35">
      <c r="A2943" t="s">
        <v>3131</v>
      </c>
      <c r="B2943" s="10">
        <v>46193</v>
      </c>
      <c r="C2943" t="s">
        <v>210</v>
      </c>
      <c r="D2943" t="s">
        <v>59</v>
      </c>
      <c r="E2943" t="s">
        <v>185</v>
      </c>
      <c r="F2943" t="s">
        <v>14</v>
      </c>
      <c r="G2943">
        <v>616.46</v>
      </c>
      <c r="H2943" t="s">
        <v>15</v>
      </c>
      <c r="I2943" t="s">
        <v>22</v>
      </c>
      <c r="J2943" t="s">
        <v>211</v>
      </c>
    </row>
    <row r="2944" spans="1:10" x14ac:dyDescent="0.35">
      <c r="A2944" t="s">
        <v>3132</v>
      </c>
      <c r="B2944" s="10">
        <v>46193</v>
      </c>
      <c r="C2944" t="s">
        <v>580</v>
      </c>
      <c r="D2944" t="s">
        <v>80</v>
      </c>
      <c r="E2944" t="s">
        <v>81</v>
      </c>
      <c r="F2944" t="s">
        <v>14</v>
      </c>
      <c r="G2944">
        <v>80.95</v>
      </c>
      <c r="H2944" t="s">
        <v>98</v>
      </c>
      <c r="I2944" t="s">
        <v>47</v>
      </c>
      <c r="J2944" t="s">
        <v>118</v>
      </c>
    </row>
    <row r="2945" spans="1:10" x14ac:dyDescent="0.35">
      <c r="A2945" t="s">
        <v>3133</v>
      </c>
      <c r="B2945" s="10">
        <v>46194</v>
      </c>
      <c r="C2945" t="s">
        <v>46</v>
      </c>
      <c r="D2945" t="s">
        <v>12</v>
      </c>
      <c r="E2945" t="s">
        <v>13</v>
      </c>
      <c r="F2945" t="s">
        <v>14</v>
      </c>
      <c r="G2945">
        <v>180</v>
      </c>
      <c r="H2945" t="s">
        <v>15</v>
      </c>
      <c r="I2945" t="s">
        <v>47</v>
      </c>
      <c r="J2945" t="s">
        <v>48</v>
      </c>
    </row>
    <row r="2946" spans="1:10" x14ac:dyDescent="0.35">
      <c r="A2946" t="s">
        <v>3134</v>
      </c>
      <c r="B2946" s="10">
        <v>46194</v>
      </c>
      <c r="C2946" t="s">
        <v>143</v>
      </c>
      <c r="D2946" t="s">
        <v>54</v>
      </c>
      <c r="E2946" t="s">
        <v>55</v>
      </c>
      <c r="F2946" t="s">
        <v>54</v>
      </c>
      <c r="G2946">
        <v>593.21</v>
      </c>
      <c r="H2946" t="s">
        <v>15</v>
      </c>
      <c r="I2946" t="s">
        <v>22</v>
      </c>
      <c r="J2946" t="s">
        <v>89</v>
      </c>
    </row>
    <row r="2947" spans="1:10" x14ac:dyDescent="0.35">
      <c r="A2947" t="s">
        <v>3135</v>
      </c>
      <c r="B2947" s="10">
        <v>46194</v>
      </c>
      <c r="C2947" t="s">
        <v>150</v>
      </c>
      <c r="D2947" t="s">
        <v>29</v>
      </c>
      <c r="E2947" t="s">
        <v>30</v>
      </c>
      <c r="F2947" t="s">
        <v>14</v>
      </c>
      <c r="G2947">
        <v>20.92</v>
      </c>
      <c r="H2947" t="s">
        <v>15</v>
      </c>
      <c r="I2947" t="s">
        <v>22</v>
      </c>
      <c r="J2947" t="s">
        <v>151</v>
      </c>
    </row>
    <row r="2948" spans="1:10" x14ac:dyDescent="0.35">
      <c r="A2948" t="s">
        <v>3136</v>
      </c>
      <c r="B2948" s="10">
        <v>46194</v>
      </c>
      <c r="C2948" t="s">
        <v>296</v>
      </c>
      <c r="D2948" t="s">
        <v>101</v>
      </c>
      <c r="E2948" t="s">
        <v>136</v>
      </c>
      <c r="F2948" t="s">
        <v>14</v>
      </c>
      <c r="G2948">
        <v>51.88</v>
      </c>
      <c r="H2948" t="s">
        <v>15</v>
      </c>
      <c r="I2948" t="s">
        <v>22</v>
      </c>
      <c r="J2948" t="s">
        <v>136</v>
      </c>
    </row>
    <row r="2949" spans="1:10" x14ac:dyDescent="0.35">
      <c r="A2949" t="s">
        <v>3137</v>
      </c>
      <c r="B2949" s="10">
        <v>46194</v>
      </c>
      <c r="C2949" t="s">
        <v>350</v>
      </c>
      <c r="D2949" t="s">
        <v>29</v>
      </c>
      <c r="E2949" t="s">
        <v>151</v>
      </c>
      <c r="F2949" t="s">
        <v>14</v>
      </c>
      <c r="G2949">
        <v>81.55</v>
      </c>
      <c r="H2949" t="s">
        <v>21</v>
      </c>
      <c r="I2949" t="s">
        <v>22</v>
      </c>
      <c r="J2949" t="s">
        <v>158</v>
      </c>
    </row>
    <row r="2950" spans="1:10" x14ac:dyDescent="0.35">
      <c r="A2950" t="s">
        <v>3138</v>
      </c>
      <c r="B2950" s="10">
        <v>46194</v>
      </c>
      <c r="C2950" t="s">
        <v>256</v>
      </c>
      <c r="D2950" t="s">
        <v>34</v>
      </c>
      <c r="E2950" t="s">
        <v>40</v>
      </c>
      <c r="F2950" t="s">
        <v>14</v>
      </c>
      <c r="G2950">
        <v>49.32</v>
      </c>
      <c r="H2950" t="s">
        <v>15</v>
      </c>
      <c r="I2950" t="s">
        <v>22</v>
      </c>
      <c r="J2950" t="s">
        <v>239</v>
      </c>
    </row>
    <row r="2951" spans="1:10" x14ac:dyDescent="0.35">
      <c r="A2951" t="s">
        <v>3139</v>
      </c>
      <c r="B2951" s="10">
        <v>46195</v>
      </c>
      <c r="C2951" t="s">
        <v>267</v>
      </c>
      <c r="D2951" t="s">
        <v>29</v>
      </c>
      <c r="E2951" t="s">
        <v>30</v>
      </c>
      <c r="F2951" t="s">
        <v>14</v>
      </c>
      <c r="G2951">
        <v>29.02</v>
      </c>
      <c r="H2951" t="s">
        <v>15</v>
      </c>
      <c r="I2951" t="s">
        <v>84</v>
      </c>
      <c r="J2951" t="s">
        <v>96</v>
      </c>
    </row>
    <row r="2952" spans="1:10" x14ac:dyDescent="0.35">
      <c r="A2952" t="s">
        <v>3140</v>
      </c>
      <c r="B2952" s="10">
        <v>46195</v>
      </c>
      <c r="C2952" t="s">
        <v>227</v>
      </c>
      <c r="D2952" t="s">
        <v>12</v>
      </c>
      <c r="E2952" t="s">
        <v>51</v>
      </c>
      <c r="F2952" t="s">
        <v>14</v>
      </c>
      <c r="G2952">
        <v>55.71</v>
      </c>
      <c r="H2952" t="s">
        <v>15</v>
      </c>
      <c r="I2952" t="s">
        <v>36</v>
      </c>
      <c r="J2952" t="s">
        <v>17</v>
      </c>
    </row>
    <row r="2953" spans="1:10" x14ac:dyDescent="0.35">
      <c r="A2953" t="s">
        <v>3141</v>
      </c>
      <c r="B2953" s="10">
        <v>46195</v>
      </c>
      <c r="C2953" t="s">
        <v>298</v>
      </c>
      <c r="D2953" t="s">
        <v>59</v>
      </c>
      <c r="E2953" t="s">
        <v>185</v>
      </c>
      <c r="F2953" t="s">
        <v>14</v>
      </c>
      <c r="G2953">
        <v>197.02</v>
      </c>
      <c r="H2953" t="s">
        <v>15</v>
      </c>
      <c r="I2953" t="s">
        <v>47</v>
      </c>
      <c r="J2953" t="s">
        <v>170</v>
      </c>
    </row>
    <row r="2954" spans="1:10" x14ac:dyDescent="0.35">
      <c r="A2954" t="s">
        <v>3142</v>
      </c>
      <c r="B2954" s="10">
        <v>46196</v>
      </c>
      <c r="C2954" t="s">
        <v>138</v>
      </c>
      <c r="D2954" t="s">
        <v>12</v>
      </c>
      <c r="E2954" t="s">
        <v>26</v>
      </c>
      <c r="F2954" t="s">
        <v>14</v>
      </c>
      <c r="G2954">
        <v>23.54</v>
      </c>
      <c r="H2954" t="s">
        <v>21</v>
      </c>
      <c r="I2954" t="s">
        <v>36</v>
      </c>
      <c r="J2954" t="s">
        <v>77</v>
      </c>
    </row>
    <row r="2955" spans="1:10" x14ac:dyDescent="0.35">
      <c r="A2955" t="s">
        <v>3143</v>
      </c>
      <c r="B2955" s="10">
        <v>46196</v>
      </c>
      <c r="C2955" t="s">
        <v>464</v>
      </c>
      <c r="D2955" t="s">
        <v>34</v>
      </c>
      <c r="E2955" t="s">
        <v>122</v>
      </c>
      <c r="F2955" t="s">
        <v>14</v>
      </c>
      <c r="G2955">
        <v>238.08</v>
      </c>
      <c r="H2955" t="s">
        <v>15</v>
      </c>
      <c r="I2955" t="s">
        <v>47</v>
      </c>
      <c r="J2955" t="s">
        <v>239</v>
      </c>
    </row>
    <row r="2956" spans="1:10" x14ac:dyDescent="0.35">
      <c r="A2956" t="s">
        <v>3144</v>
      </c>
      <c r="B2956" s="10">
        <v>46197</v>
      </c>
      <c r="C2956" t="s">
        <v>125</v>
      </c>
      <c r="D2956" t="s">
        <v>12</v>
      </c>
      <c r="E2956" t="s">
        <v>13</v>
      </c>
      <c r="F2956" t="s">
        <v>14</v>
      </c>
      <c r="G2956">
        <v>43.17</v>
      </c>
      <c r="H2956" t="s">
        <v>15</v>
      </c>
      <c r="I2956" t="s">
        <v>84</v>
      </c>
      <c r="J2956" t="s">
        <v>44</v>
      </c>
    </row>
    <row r="2957" spans="1:10" x14ac:dyDescent="0.35">
      <c r="A2957" t="s">
        <v>3145</v>
      </c>
      <c r="B2957" s="10">
        <v>46197</v>
      </c>
      <c r="C2957" t="s">
        <v>155</v>
      </c>
      <c r="D2957" t="s">
        <v>12</v>
      </c>
      <c r="E2957" t="s">
        <v>51</v>
      </c>
      <c r="F2957" t="s">
        <v>14</v>
      </c>
      <c r="G2957">
        <v>21.53</v>
      </c>
      <c r="H2957" t="s">
        <v>15</v>
      </c>
      <c r="I2957" t="s">
        <v>22</v>
      </c>
      <c r="J2957" t="s">
        <v>48</v>
      </c>
    </row>
    <row r="2958" spans="1:10" x14ac:dyDescent="0.35">
      <c r="A2958" t="s">
        <v>3146</v>
      </c>
      <c r="B2958" s="10">
        <v>46197</v>
      </c>
      <c r="C2958" t="s">
        <v>184</v>
      </c>
      <c r="D2958" t="s">
        <v>59</v>
      </c>
      <c r="E2958" t="s">
        <v>185</v>
      </c>
      <c r="F2958" t="s">
        <v>14</v>
      </c>
      <c r="G2958">
        <v>422.71</v>
      </c>
      <c r="H2958" t="s">
        <v>15</v>
      </c>
      <c r="I2958" t="s">
        <v>36</v>
      </c>
      <c r="J2958" t="s">
        <v>61</v>
      </c>
    </row>
    <row r="2959" spans="1:10" x14ac:dyDescent="0.35">
      <c r="A2959" t="s">
        <v>3147</v>
      </c>
      <c r="B2959" s="10">
        <v>46197</v>
      </c>
      <c r="C2959" t="s">
        <v>262</v>
      </c>
      <c r="D2959" t="s">
        <v>101</v>
      </c>
      <c r="E2959" t="s">
        <v>244</v>
      </c>
      <c r="F2959" t="s">
        <v>14</v>
      </c>
      <c r="G2959">
        <v>26.61</v>
      </c>
      <c r="H2959" t="s">
        <v>98</v>
      </c>
      <c r="I2959" t="s">
        <v>36</v>
      </c>
      <c r="J2959" t="s">
        <v>136</v>
      </c>
    </row>
    <row r="2960" spans="1:10" x14ac:dyDescent="0.35">
      <c r="A2960" t="s">
        <v>3148</v>
      </c>
      <c r="B2960" s="10">
        <v>46197</v>
      </c>
      <c r="C2960" t="s">
        <v>163</v>
      </c>
      <c r="D2960" t="s">
        <v>80</v>
      </c>
      <c r="E2960" t="s">
        <v>92</v>
      </c>
      <c r="F2960" t="s">
        <v>14</v>
      </c>
      <c r="G2960">
        <v>50.87</v>
      </c>
      <c r="H2960" t="s">
        <v>15</v>
      </c>
      <c r="I2960" t="s">
        <v>36</v>
      </c>
      <c r="J2960" t="s">
        <v>118</v>
      </c>
    </row>
    <row r="2961" spans="1:10" x14ac:dyDescent="0.35">
      <c r="A2961" t="s">
        <v>3149</v>
      </c>
      <c r="B2961" s="10">
        <v>46198</v>
      </c>
      <c r="C2961" t="s">
        <v>153</v>
      </c>
      <c r="D2961" t="s">
        <v>34</v>
      </c>
      <c r="E2961" t="s">
        <v>122</v>
      </c>
      <c r="F2961" t="s">
        <v>14</v>
      </c>
      <c r="G2961">
        <v>113.2</v>
      </c>
      <c r="H2961" t="s">
        <v>98</v>
      </c>
      <c r="I2961" t="s">
        <v>47</v>
      </c>
      <c r="J2961" t="s">
        <v>41</v>
      </c>
    </row>
    <row r="2962" spans="1:10" x14ac:dyDescent="0.35">
      <c r="A2962" t="s">
        <v>3150</v>
      </c>
      <c r="B2962" s="10">
        <v>46198</v>
      </c>
      <c r="C2962" t="s">
        <v>184</v>
      </c>
      <c r="D2962" t="s">
        <v>59</v>
      </c>
      <c r="E2962" t="s">
        <v>185</v>
      </c>
      <c r="F2962" t="s">
        <v>14</v>
      </c>
      <c r="G2962">
        <v>103.82</v>
      </c>
      <c r="H2962" t="s">
        <v>21</v>
      </c>
      <c r="I2962" t="s">
        <v>84</v>
      </c>
      <c r="J2962" t="s">
        <v>61</v>
      </c>
    </row>
    <row r="2963" spans="1:10" x14ac:dyDescent="0.35">
      <c r="A2963" t="s">
        <v>3151</v>
      </c>
      <c r="B2963" s="10">
        <v>46198</v>
      </c>
      <c r="C2963" t="s">
        <v>198</v>
      </c>
      <c r="D2963" t="s">
        <v>59</v>
      </c>
      <c r="E2963" t="s">
        <v>199</v>
      </c>
      <c r="F2963" t="s">
        <v>14</v>
      </c>
      <c r="G2963">
        <v>289.77</v>
      </c>
      <c r="H2963" t="s">
        <v>21</v>
      </c>
      <c r="I2963" t="s">
        <v>36</v>
      </c>
      <c r="J2963" t="s">
        <v>61</v>
      </c>
    </row>
    <row r="2964" spans="1:10" x14ac:dyDescent="0.35">
      <c r="A2964" t="s">
        <v>3152</v>
      </c>
      <c r="B2964" s="10">
        <v>46198</v>
      </c>
      <c r="C2964" t="s">
        <v>53</v>
      </c>
      <c r="D2964" t="s">
        <v>54</v>
      </c>
      <c r="E2964" t="s">
        <v>55</v>
      </c>
      <c r="F2964" t="s">
        <v>54</v>
      </c>
      <c r="G2964">
        <v>676.98</v>
      </c>
      <c r="H2964" t="s">
        <v>15</v>
      </c>
      <c r="I2964" t="s">
        <v>47</v>
      </c>
      <c r="J2964" t="s">
        <v>56</v>
      </c>
    </row>
    <row r="2965" spans="1:10" x14ac:dyDescent="0.35">
      <c r="A2965" t="s">
        <v>3153</v>
      </c>
      <c r="B2965" s="10">
        <v>46199</v>
      </c>
      <c r="C2965" t="s">
        <v>130</v>
      </c>
      <c r="D2965" t="s">
        <v>12</v>
      </c>
      <c r="E2965" t="s">
        <v>26</v>
      </c>
      <c r="F2965" t="s">
        <v>14</v>
      </c>
      <c r="G2965">
        <v>12.59</v>
      </c>
      <c r="H2965" t="s">
        <v>15</v>
      </c>
      <c r="I2965" t="s">
        <v>22</v>
      </c>
      <c r="J2965" t="s">
        <v>48</v>
      </c>
    </row>
    <row r="2966" spans="1:10" x14ac:dyDescent="0.35">
      <c r="A2966" t="s">
        <v>3154</v>
      </c>
      <c r="B2966" s="10">
        <v>46199</v>
      </c>
      <c r="C2966" t="s">
        <v>229</v>
      </c>
      <c r="D2966" t="s">
        <v>54</v>
      </c>
      <c r="E2966" t="s">
        <v>64</v>
      </c>
      <c r="F2966" t="s">
        <v>54</v>
      </c>
      <c r="G2966">
        <v>391.45</v>
      </c>
      <c r="H2966" t="s">
        <v>15</v>
      </c>
      <c r="I2966" t="s">
        <v>36</v>
      </c>
      <c r="J2966" t="s">
        <v>56</v>
      </c>
    </row>
    <row r="2967" spans="1:10" x14ac:dyDescent="0.35">
      <c r="A2967" t="s">
        <v>3155</v>
      </c>
      <c r="B2967" s="10">
        <v>46199</v>
      </c>
      <c r="C2967" t="s">
        <v>116</v>
      </c>
      <c r="D2967" t="s">
        <v>80</v>
      </c>
      <c r="E2967" t="s">
        <v>117</v>
      </c>
      <c r="F2967" t="s">
        <v>14</v>
      </c>
      <c r="G2967">
        <v>17.72</v>
      </c>
      <c r="H2967" t="s">
        <v>21</v>
      </c>
      <c r="I2967" t="s">
        <v>22</v>
      </c>
      <c r="J2967" t="s">
        <v>118</v>
      </c>
    </row>
    <row r="2968" spans="1:10" x14ac:dyDescent="0.35">
      <c r="A2968" t="s">
        <v>3156</v>
      </c>
      <c r="B2968" s="10">
        <v>46199</v>
      </c>
      <c r="C2968" t="s">
        <v>229</v>
      </c>
      <c r="D2968" t="s">
        <v>54</v>
      </c>
      <c r="E2968" t="s">
        <v>64</v>
      </c>
      <c r="F2968" t="s">
        <v>54</v>
      </c>
      <c r="G2968">
        <v>346.87</v>
      </c>
      <c r="H2968" t="s">
        <v>15</v>
      </c>
      <c r="I2968" t="s">
        <v>22</v>
      </c>
      <c r="J2968" t="s">
        <v>56</v>
      </c>
    </row>
    <row r="2969" spans="1:10" x14ac:dyDescent="0.35">
      <c r="A2969" t="s">
        <v>3157</v>
      </c>
      <c r="B2969" s="10">
        <v>46199</v>
      </c>
      <c r="C2969" t="s">
        <v>184</v>
      </c>
      <c r="D2969" t="s">
        <v>59</v>
      </c>
      <c r="E2969" t="s">
        <v>185</v>
      </c>
      <c r="F2969" t="s">
        <v>14</v>
      </c>
      <c r="G2969">
        <v>374.71</v>
      </c>
      <c r="H2969" t="s">
        <v>15</v>
      </c>
      <c r="I2969" t="s">
        <v>36</v>
      </c>
      <c r="J2969" t="s">
        <v>61</v>
      </c>
    </row>
    <row r="2970" spans="1:10" x14ac:dyDescent="0.35">
      <c r="A2970" t="s">
        <v>3158</v>
      </c>
      <c r="B2970" s="10">
        <v>46199</v>
      </c>
      <c r="C2970" t="s">
        <v>204</v>
      </c>
      <c r="D2970" t="s">
        <v>12</v>
      </c>
      <c r="E2970" t="s">
        <v>51</v>
      </c>
      <c r="F2970" t="s">
        <v>14</v>
      </c>
      <c r="G2970">
        <v>92.5</v>
      </c>
      <c r="H2970" t="s">
        <v>21</v>
      </c>
      <c r="I2970" t="s">
        <v>22</v>
      </c>
      <c r="J2970" t="s">
        <v>23</v>
      </c>
    </row>
    <row r="2971" spans="1:10" x14ac:dyDescent="0.35">
      <c r="A2971" t="s">
        <v>3159</v>
      </c>
      <c r="B2971" s="10">
        <v>46200</v>
      </c>
      <c r="C2971" t="s">
        <v>100</v>
      </c>
      <c r="D2971" t="s">
        <v>101</v>
      </c>
      <c r="E2971" t="s">
        <v>102</v>
      </c>
      <c r="F2971" t="s">
        <v>14</v>
      </c>
      <c r="G2971">
        <v>87.16</v>
      </c>
      <c r="H2971" t="s">
        <v>15</v>
      </c>
      <c r="I2971" t="s">
        <v>22</v>
      </c>
      <c r="J2971" t="s">
        <v>103</v>
      </c>
    </row>
    <row r="2972" spans="1:10" x14ac:dyDescent="0.35">
      <c r="A2972" t="s">
        <v>3160</v>
      </c>
      <c r="B2972" s="10">
        <v>46200</v>
      </c>
      <c r="C2972" t="s">
        <v>272</v>
      </c>
      <c r="D2972" t="s">
        <v>54</v>
      </c>
      <c r="E2972" t="s">
        <v>55</v>
      </c>
      <c r="F2972" t="s">
        <v>54</v>
      </c>
      <c r="G2972">
        <v>803.4</v>
      </c>
      <c r="H2972" t="s">
        <v>21</v>
      </c>
      <c r="I2972" t="s">
        <v>16</v>
      </c>
      <c r="J2972" t="s">
        <v>65</v>
      </c>
    </row>
    <row r="2973" spans="1:10" x14ac:dyDescent="0.35">
      <c r="A2973" t="s">
        <v>3161</v>
      </c>
      <c r="B2973" s="10">
        <v>46200</v>
      </c>
      <c r="C2973" t="s">
        <v>179</v>
      </c>
      <c r="D2973" t="s">
        <v>80</v>
      </c>
      <c r="E2973" t="s">
        <v>117</v>
      </c>
      <c r="F2973" t="s">
        <v>14</v>
      </c>
      <c r="G2973">
        <v>23.44</v>
      </c>
      <c r="H2973" t="s">
        <v>15</v>
      </c>
      <c r="I2973" t="s">
        <v>16</v>
      </c>
      <c r="J2973" t="s">
        <v>180</v>
      </c>
    </row>
    <row r="2974" spans="1:10" x14ac:dyDescent="0.35">
      <c r="A2974" t="s">
        <v>3162</v>
      </c>
      <c r="B2974" s="10">
        <v>46200</v>
      </c>
      <c r="C2974" t="s">
        <v>150</v>
      </c>
      <c r="D2974" t="s">
        <v>29</v>
      </c>
      <c r="E2974" t="s">
        <v>30</v>
      </c>
      <c r="F2974" t="s">
        <v>14</v>
      </c>
      <c r="G2974">
        <v>23.71</v>
      </c>
      <c r="H2974" t="s">
        <v>15</v>
      </c>
      <c r="I2974" t="s">
        <v>47</v>
      </c>
      <c r="J2974" t="s">
        <v>151</v>
      </c>
    </row>
    <row r="2975" spans="1:10" x14ac:dyDescent="0.35">
      <c r="A2975" t="s">
        <v>3163</v>
      </c>
      <c r="B2975" s="10">
        <v>46200</v>
      </c>
      <c r="C2975" t="s">
        <v>229</v>
      </c>
      <c r="D2975" t="s">
        <v>54</v>
      </c>
      <c r="E2975" t="s">
        <v>64</v>
      </c>
      <c r="F2975" t="s">
        <v>54</v>
      </c>
      <c r="G2975">
        <v>391.59</v>
      </c>
      <c r="H2975" t="s">
        <v>98</v>
      </c>
      <c r="I2975" t="s">
        <v>36</v>
      </c>
      <c r="J2975" t="s">
        <v>56</v>
      </c>
    </row>
    <row r="2976" spans="1:10" x14ac:dyDescent="0.35">
      <c r="A2976" t="s">
        <v>3164</v>
      </c>
      <c r="B2976" s="10">
        <v>46200</v>
      </c>
      <c r="C2976" t="s">
        <v>58</v>
      </c>
      <c r="D2976" t="s">
        <v>59</v>
      </c>
      <c r="E2976" t="s">
        <v>60</v>
      </c>
      <c r="F2976" t="s">
        <v>14</v>
      </c>
      <c r="G2976">
        <v>950</v>
      </c>
      <c r="H2976" t="s">
        <v>15</v>
      </c>
      <c r="I2976" t="s">
        <v>36</v>
      </c>
      <c r="J2976" t="s">
        <v>61</v>
      </c>
    </row>
    <row r="2977" spans="1:10" x14ac:dyDescent="0.35">
      <c r="A2977" t="s">
        <v>3165</v>
      </c>
      <c r="B2977" s="10">
        <v>46201</v>
      </c>
      <c r="C2977" t="s">
        <v>267</v>
      </c>
      <c r="D2977" t="s">
        <v>29</v>
      </c>
      <c r="E2977" t="s">
        <v>30</v>
      </c>
      <c r="F2977" t="s">
        <v>14</v>
      </c>
      <c r="G2977">
        <v>56.55</v>
      </c>
      <c r="H2977" t="s">
        <v>21</v>
      </c>
      <c r="I2977" t="s">
        <v>22</v>
      </c>
      <c r="J2977" t="s">
        <v>96</v>
      </c>
    </row>
    <row r="2978" spans="1:10" x14ac:dyDescent="0.35">
      <c r="A2978" t="s">
        <v>3166</v>
      </c>
      <c r="B2978" s="10">
        <v>46201</v>
      </c>
      <c r="C2978" t="s">
        <v>272</v>
      </c>
      <c r="D2978" t="s">
        <v>54</v>
      </c>
      <c r="E2978" t="s">
        <v>55</v>
      </c>
      <c r="F2978" t="s">
        <v>54</v>
      </c>
      <c r="G2978">
        <v>810.32</v>
      </c>
      <c r="H2978" t="s">
        <v>15</v>
      </c>
      <c r="I2978" t="s">
        <v>16</v>
      </c>
      <c r="J2978" t="s">
        <v>65</v>
      </c>
    </row>
    <row r="2979" spans="1:10" x14ac:dyDescent="0.35">
      <c r="A2979" t="s">
        <v>3167</v>
      </c>
      <c r="B2979" s="10">
        <v>46201</v>
      </c>
      <c r="C2979" t="s">
        <v>424</v>
      </c>
      <c r="D2979" t="s">
        <v>101</v>
      </c>
      <c r="E2979" t="s">
        <v>136</v>
      </c>
      <c r="F2979" t="s">
        <v>14</v>
      </c>
      <c r="G2979">
        <v>59.24</v>
      </c>
      <c r="H2979" t="s">
        <v>21</v>
      </c>
      <c r="I2979" t="s">
        <v>22</v>
      </c>
      <c r="J2979" t="s">
        <v>102</v>
      </c>
    </row>
    <row r="2980" spans="1:10" x14ac:dyDescent="0.35">
      <c r="A2980" t="s">
        <v>3168</v>
      </c>
      <c r="B2980" s="10">
        <v>46201</v>
      </c>
      <c r="C2980" t="s">
        <v>88</v>
      </c>
      <c r="D2980" t="s">
        <v>54</v>
      </c>
      <c r="E2980" t="s">
        <v>74</v>
      </c>
      <c r="F2980" t="s">
        <v>54</v>
      </c>
      <c r="G2980">
        <v>2504.86</v>
      </c>
      <c r="H2980" t="s">
        <v>15</v>
      </c>
      <c r="I2980" t="s">
        <v>47</v>
      </c>
      <c r="J2980" t="s">
        <v>89</v>
      </c>
    </row>
    <row r="2981" spans="1:10" x14ac:dyDescent="0.35">
      <c r="A2981" t="s">
        <v>3169</v>
      </c>
      <c r="B2981" s="10">
        <v>46201</v>
      </c>
      <c r="C2981" t="s">
        <v>220</v>
      </c>
      <c r="D2981" t="s">
        <v>59</v>
      </c>
      <c r="E2981" t="s">
        <v>199</v>
      </c>
      <c r="F2981" t="s">
        <v>14</v>
      </c>
      <c r="G2981">
        <v>247.65</v>
      </c>
      <c r="H2981" t="s">
        <v>15</v>
      </c>
      <c r="I2981" t="s">
        <v>36</v>
      </c>
      <c r="J2981" t="s">
        <v>211</v>
      </c>
    </row>
    <row r="2982" spans="1:10" x14ac:dyDescent="0.35">
      <c r="A2982" t="s">
        <v>3170</v>
      </c>
      <c r="B2982" s="10">
        <v>46202</v>
      </c>
      <c r="C2982" t="s">
        <v>253</v>
      </c>
      <c r="D2982" t="s">
        <v>29</v>
      </c>
      <c r="E2982" t="s">
        <v>30</v>
      </c>
      <c r="F2982" t="s">
        <v>14</v>
      </c>
      <c r="G2982">
        <v>46.8</v>
      </c>
      <c r="H2982" t="s">
        <v>98</v>
      </c>
      <c r="I2982" t="s">
        <v>36</v>
      </c>
      <c r="J2982" t="s">
        <v>158</v>
      </c>
    </row>
    <row r="2983" spans="1:10" x14ac:dyDescent="0.35">
      <c r="A2983" t="s">
        <v>3171</v>
      </c>
      <c r="B2983" s="10">
        <v>46202</v>
      </c>
      <c r="C2983" t="s">
        <v>229</v>
      </c>
      <c r="D2983" t="s">
        <v>54</v>
      </c>
      <c r="E2983" t="s">
        <v>64</v>
      </c>
      <c r="F2983" t="s">
        <v>54</v>
      </c>
      <c r="G2983">
        <v>333.34</v>
      </c>
      <c r="H2983" t="s">
        <v>21</v>
      </c>
      <c r="I2983" t="s">
        <v>47</v>
      </c>
      <c r="J2983" t="s">
        <v>56</v>
      </c>
    </row>
    <row r="2984" spans="1:10" x14ac:dyDescent="0.35">
      <c r="A2984" t="s">
        <v>3172</v>
      </c>
      <c r="B2984" s="10">
        <v>46202</v>
      </c>
      <c r="C2984" t="s">
        <v>296</v>
      </c>
      <c r="D2984" t="s">
        <v>101</v>
      </c>
      <c r="E2984" t="s">
        <v>136</v>
      </c>
      <c r="F2984" t="s">
        <v>14</v>
      </c>
      <c r="G2984">
        <v>39.4</v>
      </c>
      <c r="H2984" t="s">
        <v>21</v>
      </c>
      <c r="I2984" t="s">
        <v>47</v>
      </c>
      <c r="J2984" t="s">
        <v>136</v>
      </c>
    </row>
    <row r="2985" spans="1:10" x14ac:dyDescent="0.35">
      <c r="A2985" t="s">
        <v>3173</v>
      </c>
      <c r="B2985" s="10">
        <v>46202</v>
      </c>
      <c r="C2985" t="s">
        <v>227</v>
      </c>
      <c r="D2985" t="s">
        <v>12</v>
      </c>
      <c r="E2985" t="s">
        <v>51</v>
      </c>
      <c r="F2985" t="s">
        <v>14</v>
      </c>
      <c r="G2985">
        <v>117.7</v>
      </c>
      <c r="H2985" t="s">
        <v>21</v>
      </c>
      <c r="I2985" t="s">
        <v>36</v>
      </c>
      <c r="J2985" t="s">
        <v>17</v>
      </c>
    </row>
    <row r="2986" spans="1:10" x14ac:dyDescent="0.35">
      <c r="A2986" t="s">
        <v>3174</v>
      </c>
      <c r="B2986" s="10">
        <v>46202</v>
      </c>
      <c r="C2986" t="s">
        <v>238</v>
      </c>
      <c r="D2986" t="s">
        <v>34</v>
      </c>
      <c r="E2986" t="s">
        <v>35</v>
      </c>
      <c r="F2986" t="s">
        <v>14</v>
      </c>
      <c r="G2986">
        <v>134.13999999999999</v>
      </c>
      <c r="H2986" t="s">
        <v>21</v>
      </c>
      <c r="I2986" t="s">
        <v>47</v>
      </c>
      <c r="J2986" t="s">
        <v>239</v>
      </c>
    </row>
    <row r="2987" spans="1:10" x14ac:dyDescent="0.35">
      <c r="A2987" t="s">
        <v>3175</v>
      </c>
      <c r="B2987" s="10">
        <v>46203</v>
      </c>
      <c r="C2987" t="s">
        <v>46</v>
      </c>
      <c r="D2987" t="s">
        <v>12</v>
      </c>
      <c r="E2987" t="s">
        <v>13</v>
      </c>
      <c r="F2987" t="s">
        <v>14</v>
      </c>
      <c r="G2987">
        <v>20.25</v>
      </c>
      <c r="H2987" t="s">
        <v>15</v>
      </c>
      <c r="I2987" t="s">
        <v>47</v>
      </c>
      <c r="J2987" t="s">
        <v>48</v>
      </c>
    </row>
    <row r="2988" spans="1:10" x14ac:dyDescent="0.35">
      <c r="A2988" t="s">
        <v>3176</v>
      </c>
      <c r="B2988" s="10">
        <v>46203</v>
      </c>
      <c r="C2988" t="s">
        <v>229</v>
      </c>
      <c r="D2988" t="s">
        <v>54</v>
      </c>
      <c r="E2988" t="s">
        <v>64</v>
      </c>
      <c r="F2988" t="s">
        <v>54</v>
      </c>
      <c r="G2988">
        <v>354.03</v>
      </c>
      <c r="H2988" t="s">
        <v>15</v>
      </c>
      <c r="I2988" t="s">
        <v>47</v>
      </c>
      <c r="J2988" t="s">
        <v>56</v>
      </c>
    </row>
    <row r="2989" spans="1:10" x14ac:dyDescent="0.35">
      <c r="A2989" t="s">
        <v>3177</v>
      </c>
      <c r="B2989" s="10">
        <v>46203</v>
      </c>
      <c r="C2989" t="s">
        <v>189</v>
      </c>
      <c r="D2989" t="s">
        <v>34</v>
      </c>
      <c r="E2989" t="s">
        <v>122</v>
      </c>
      <c r="F2989" t="s">
        <v>14</v>
      </c>
      <c r="G2989">
        <v>325.42</v>
      </c>
      <c r="H2989" t="s">
        <v>15</v>
      </c>
      <c r="I2989" t="s">
        <v>36</v>
      </c>
      <c r="J2989" t="s">
        <v>37</v>
      </c>
    </row>
    <row r="2990" spans="1:10" x14ac:dyDescent="0.35">
      <c r="A2990" t="s">
        <v>3178</v>
      </c>
      <c r="B2990" s="10">
        <v>46204</v>
      </c>
      <c r="C2990" t="s">
        <v>347</v>
      </c>
      <c r="D2990" t="s">
        <v>29</v>
      </c>
      <c r="E2990" t="s">
        <v>151</v>
      </c>
      <c r="F2990" t="s">
        <v>14</v>
      </c>
      <c r="G2990">
        <v>57.66</v>
      </c>
      <c r="H2990" t="s">
        <v>15</v>
      </c>
      <c r="I2990" t="s">
        <v>16</v>
      </c>
      <c r="J2990" t="s">
        <v>96</v>
      </c>
    </row>
    <row r="2991" spans="1:10" x14ac:dyDescent="0.35">
      <c r="A2991" t="s">
        <v>3179</v>
      </c>
      <c r="B2991" s="10">
        <v>46204</v>
      </c>
      <c r="C2991" t="s">
        <v>88</v>
      </c>
      <c r="D2991" t="s">
        <v>54</v>
      </c>
      <c r="E2991" t="s">
        <v>74</v>
      </c>
      <c r="F2991" t="s">
        <v>54</v>
      </c>
      <c r="G2991">
        <v>2004.47</v>
      </c>
      <c r="H2991" t="s">
        <v>15</v>
      </c>
      <c r="I2991" t="s">
        <v>22</v>
      </c>
      <c r="J2991" t="s">
        <v>89</v>
      </c>
    </row>
    <row r="2992" spans="1:10" x14ac:dyDescent="0.35">
      <c r="A2992" t="s">
        <v>3180</v>
      </c>
      <c r="B2992" s="10">
        <v>46204</v>
      </c>
      <c r="C2992" t="s">
        <v>130</v>
      </c>
      <c r="D2992" t="s">
        <v>12</v>
      </c>
      <c r="E2992" t="s">
        <v>26</v>
      </c>
      <c r="F2992" t="s">
        <v>14</v>
      </c>
      <c r="G2992">
        <v>79.19</v>
      </c>
      <c r="H2992" t="s">
        <v>21</v>
      </c>
      <c r="I2992" t="s">
        <v>36</v>
      </c>
      <c r="J2992" t="s">
        <v>48</v>
      </c>
    </row>
    <row r="2993" spans="1:10" x14ac:dyDescent="0.35">
      <c r="A2993" t="s">
        <v>3181</v>
      </c>
      <c r="B2993" s="10">
        <v>46204</v>
      </c>
      <c r="C2993" t="s">
        <v>11</v>
      </c>
      <c r="D2993" t="s">
        <v>12</v>
      </c>
      <c r="E2993" t="s">
        <v>13</v>
      </c>
      <c r="F2993" t="s">
        <v>14</v>
      </c>
      <c r="G2993">
        <v>112.93</v>
      </c>
      <c r="H2993" t="s">
        <v>15</v>
      </c>
      <c r="I2993" t="s">
        <v>22</v>
      </c>
      <c r="J2993" t="s">
        <v>17</v>
      </c>
    </row>
    <row r="2994" spans="1:10" x14ac:dyDescent="0.35">
      <c r="A2994" t="s">
        <v>3182</v>
      </c>
      <c r="B2994" s="10">
        <v>46204</v>
      </c>
      <c r="C2994" t="s">
        <v>79</v>
      </c>
      <c r="D2994" t="s">
        <v>80</v>
      </c>
      <c r="E2994" t="s">
        <v>81</v>
      </c>
      <c r="F2994" t="s">
        <v>14</v>
      </c>
      <c r="G2994">
        <v>81.319999999999993</v>
      </c>
      <c r="H2994" t="s">
        <v>21</v>
      </c>
      <c r="I2994" t="s">
        <v>22</v>
      </c>
      <c r="J2994" t="s">
        <v>82</v>
      </c>
    </row>
    <row r="2995" spans="1:10" x14ac:dyDescent="0.35">
      <c r="A2995" t="s">
        <v>3183</v>
      </c>
      <c r="B2995" s="10">
        <v>46205</v>
      </c>
      <c r="C2995" t="s">
        <v>269</v>
      </c>
      <c r="D2995" t="s">
        <v>34</v>
      </c>
      <c r="E2995" t="s">
        <v>35</v>
      </c>
      <c r="F2995" t="s">
        <v>14</v>
      </c>
      <c r="G2995">
        <v>173.44</v>
      </c>
      <c r="H2995" t="s">
        <v>98</v>
      </c>
      <c r="I2995" t="s">
        <v>16</v>
      </c>
      <c r="J2995" t="s">
        <v>123</v>
      </c>
    </row>
    <row r="2996" spans="1:10" x14ac:dyDescent="0.35">
      <c r="A2996" t="s">
        <v>3184</v>
      </c>
      <c r="B2996" s="10">
        <v>46205</v>
      </c>
      <c r="C2996" t="s">
        <v>347</v>
      </c>
      <c r="D2996" t="s">
        <v>29</v>
      </c>
      <c r="E2996" t="s">
        <v>151</v>
      </c>
      <c r="F2996" t="s">
        <v>14</v>
      </c>
      <c r="G2996">
        <v>120</v>
      </c>
      <c r="H2996" t="s">
        <v>15</v>
      </c>
      <c r="I2996" t="s">
        <v>16</v>
      </c>
      <c r="J2996" t="s">
        <v>96</v>
      </c>
    </row>
    <row r="2997" spans="1:10" x14ac:dyDescent="0.35">
      <c r="A2997" t="s">
        <v>3185</v>
      </c>
      <c r="B2997" s="10">
        <v>46205</v>
      </c>
      <c r="C2997" t="s">
        <v>160</v>
      </c>
      <c r="D2997" t="s">
        <v>80</v>
      </c>
      <c r="E2997" t="s">
        <v>117</v>
      </c>
      <c r="F2997" t="s">
        <v>14</v>
      </c>
      <c r="G2997">
        <v>33.39</v>
      </c>
      <c r="H2997" t="s">
        <v>15</v>
      </c>
      <c r="I2997" t="s">
        <v>84</v>
      </c>
      <c r="J2997" t="s">
        <v>161</v>
      </c>
    </row>
    <row r="2998" spans="1:10" x14ac:dyDescent="0.35">
      <c r="A2998" t="s">
        <v>3186</v>
      </c>
      <c r="B2998" s="10">
        <v>46205</v>
      </c>
      <c r="C2998" t="s">
        <v>198</v>
      </c>
      <c r="D2998" t="s">
        <v>59</v>
      </c>
      <c r="E2998" t="s">
        <v>199</v>
      </c>
      <c r="F2998" t="s">
        <v>14</v>
      </c>
      <c r="G2998">
        <v>290.99</v>
      </c>
      <c r="H2998" t="s">
        <v>15</v>
      </c>
      <c r="I2998" t="s">
        <v>36</v>
      </c>
      <c r="J2998" t="s">
        <v>61</v>
      </c>
    </row>
    <row r="2999" spans="1:10" x14ac:dyDescent="0.35">
      <c r="A2999" t="s">
        <v>3187</v>
      </c>
      <c r="B2999" s="10">
        <v>46205</v>
      </c>
      <c r="C2999" t="s">
        <v>227</v>
      </c>
      <c r="D2999" t="s">
        <v>12</v>
      </c>
      <c r="E2999" t="s">
        <v>51</v>
      </c>
      <c r="F2999" t="s">
        <v>14</v>
      </c>
      <c r="G2999">
        <v>30.15</v>
      </c>
      <c r="H2999" t="s">
        <v>21</v>
      </c>
      <c r="I2999" t="s">
        <v>36</v>
      </c>
      <c r="J2999" t="s">
        <v>17</v>
      </c>
    </row>
    <row r="3000" spans="1:10" x14ac:dyDescent="0.35">
      <c r="A3000" t="s">
        <v>3188</v>
      </c>
      <c r="B3000" s="10">
        <v>46205</v>
      </c>
      <c r="C3000" t="s">
        <v>121</v>
      </c>
      <c r="D3000" t="s">
        <v>34</v>
      </c>
      <c r="E3000" t="s">
        <v>122</v>
      </c>
      <c r="F3000" t="s">
        <v>14</v>
      </c>
      <c r="G3000">
        <v>256.25</v>
      </c>
      <c r="H3000" t="s">
        <v>21</v>
      </c>
      <c r="I3000" t="s">
        <v>36</v>
      </c>
      <c r="J3000" t="s">
        <v>123</v>
      </c>
    </row>
    <row r="3001" spans="1:10" x14ac:dyDescent="0.35">
      <c r="A3001" t="s">
        <v>3189</v>
      </c>
      <c r="B3001" s="10">
        <v>46206</v>
      </c>
      <c r="C3001" t="s">
        <v>184</v>
      </c>
      <c r="D3001" t="s">
        <v>59</v>
      </c>
      <c r="E3001" t="s">
        <v>185</v>
      </c>
      <c r="F3001" t="s">
        <v>14</v>
      </c>
      <c r="G3001">
        <v>95.45</v>
      </c>
      <c r="H3001" t="s">
        <v>21</v>
      </c>
      <c r="I3001" t="s">
        <v>22</v>
      </c>
      <c r="J3001" t="s">
        <v>61</v>
      </c>
    </row>
    <row r="3002" spans="1:10" x14ac:dyDescent="0.35">
      <c r="A3002" t="s">
        <v>3190</v>
      </c>
      <c r="B3002" s="10">
        <v>46206</v>
      </c>
      <c r="C3002" t="s">
        <v>25</v>
      </c>
      <c r="D3002" t="s">
        <v>12</v>
      </c>
      <c r="E3002" t="s">
        <v>26</v>
      </c>
      <c r="F3002" t="s">
        <v>14</v>
      </c>
      <c r="G3002">
        <v>95.26</v>
      </c>
      <c r="H3002" t="s">
        <v>15</v>
      </c>
      <c r="I3002" t="s">
        <v>47</v>
      </c>
      <c r="J3002" t="s">
        <v>17</v>
      </c>
    </row>
    <row r="3003" spans="1:10" x14ac:dyDescent="0.35">
      <c r="A3003" t="s">
        <v>3191</v>
      </c>
      <c r="B3003" s="10">
        <v>46206</v>
      </c>
      <c r="C3003" t="s">
        <v>135</v>
      </c>
      <c r="D3003" t="s">
        <v>101</v>
      </c>
      <c r="E3003" t="s">
        <v>102</v>
      </c>
      <c r="F3003" t="s">
        <v>14</v>
      </c>
      <c r="G3003">
        <v>97.59</v>
      </c>
      <c r="H3003" t="s">
        <v>21</v>
      </c>
      <c r="I3003" t="s">
        <v>36</v>
      </c>
      <c r="J3003" t="s">
        <v>136</v>
      </c>
    </row>
    <row r="3004" spans="1:10" x14ac:dyDescent="0.35">
      <c r="A3004" t="s">
        <v>3192</v>
      </c>
      <c r="B3004" s="10">
        <v>46206</v>
      </c>
      <c r="C3004" t="s">
        <v>269</v>
      </c>
      <c r="D3004" t="s">
        <v>34</v>
      </c>
      <c r="E3004" t="s">
        <v>35</v>
      </c>
      <c r="F3004" t="s">
        <v>14</v>
      </c>
      <c r="G3004">
        <v>123.21</v>
      </c>
      <c r="H3004" t="s">
        <v>21</v>
      </c>
      <c r="I3004" t="s">
        <v>47</v>
      </c>
      <c r="J3004" t="s">
        <v>123</v>
      </c>
    </row>
    <row r="3005" spans="1:10" x14ac:dyDescent="0.35">
      <c r="A3005" t="s">
        <v>3193</v>
      </c>
      <c r="B3005" s="10">
        <v>46206</v>
      </c>
      <c r="C3005" t="s">
        <v>189</v>
      </c>
      <c r="D3005" t="s">
        <v>34</v>
      </c>
      <c r="E3005" t="s">
        <v>122</v>
      </c>
      <c r="F3005" t="s">
        <v>14</v>
      </c>
      <c r="G3005">
        <v>19.21</v>
      </c>
      <c r="H3005" t="s">
        <v>15</v>
      </c>
      <c r="I3005" t="s">
        <v>47</v>
      </c>
      <c r="J3005" t="s">
        <v>37</v>
      </c>
    </row>
    <row r="3006" spans="1:10" x14ac:dyDescent="0.35">
      <c r="A3006" t="s">
        <v>3194</v>
      </c>
      <c r="B3006" s="10">
        <v>46207</v>
      </c>
      <c r="C3006" t="s">
        <v>111</v>
      </c>
      <c r="D3006" t="s">
        <v>12</v>
      </c>
      <c r="E3006" t="s">
        <v>26</v>
      </c>
      <c r="F3006" t="s">
        <v>14</v>
      </c>
      <c r="G3006">
        <v>32.08</v>
      </c>
      <c r="H3006" t="s">
        <v>15</v>
      </c>
      <c r="I3006" t="s">
        <v>36</v>
      </c>
      <c r="J3006" t="s">
        <v>23</v>
      </c>
    </row>
    <row r="3007" spans="1:10" x14ac:dyDescent="0.35">
      <c r="A3007" t="s">
        <v>3195</v>
      </c>
      <c r="B3007" s="10">
        <v>46207</v>
      </c>
      <c r="C3007" t="s">
        <v>63</v>
      </c>
      <c r="D3007" t="s">
        <v>54</v>
      </c>
      <c r="E3007" t="s">
        <v>64</v>
      </c>
      <c r="F3007" t="s">
        <v>54</v>
      </c>
      <c r="G3007">
        <v>294.16000000000003</v>
      </c>
      <c r="H3007" t="s">
        <v>15</v>
      </c>
      <c r="I3007" t="s">
        <v>16</v>
      </c>
      <c r="J3007" t="s">
        <v>65</v>
      </c>
    </row>
    <row r="3008" spans="1:10" x14ac:dyDescent="0.35">
      <c r="A3008" t="s">
        <v>3196</v>
      </c>
      <c r="B3008" s="10">
        <v>46207</v>
      </c>
      <c r="C3008" t="s">
        <v>229</v>
      </c>
      <c r="D3008" t="s">
        <v>54</v>
      </c>
      <c r="E3008" t="s">
        <v>64</v>
      </c>
      <c r="F3008" t="s">
        <v>54</v>
      </c>
      <c r="G3008">
        <v>315.05</v>
      </c>
      <c r="H3008" t="s">
        <v>15</v>
      </c>
      <c r="I3008" t="s">
        <v>22</v>
      </c>
      <c r="J3008" t="s">
        <v>56</v>
      </c>
    </row>
    <row r="3009" spans="1:10" x14ac:dyDescent="0.35">
      <c r="A3009" t="s">
        <v>3197</v>
      </c>
      <c r="B3009" s="10">
        <v>46207</v>
      </c>
      <c r="C3009" t="s">
        <v>130</v>
      </c>
      <c r="D3009" t="s">
        <v>12</v>
      </c>
      <c r="E3009" t="s">
        <v>26</v>
      </c>
      <c r="F3009" t="s">
        <v>14</v>
      </c>
      <c r="G3009">
        <v>142.72999999999999</v>
      </c>
      <c r="H3009" t="s">
        <v>15</v>
      </c>
      <c r="I3009" t="s">
        <v>47</v>
      </c>
      <c r="J3009" t="s">
        <v>48</v>
      </c>
    </row>
    <row r="3010" spans="1:10" x14ac:dyDescent="0.35">
      <c r="A3010" t="s">
        <v>3198</v>
      </c>
      <c r="B3010" s="10">
        <v>46207</v>
      </c>
      <c r="C3010" t="s">
        <v>63</v>
      </c>
      <c r="D3010" t="s">
        <v>54</v>
      </c>
      <c r="E3010" t="s">
        <v>64</v>
      </c>
      <c r="F3010" t="s">
        <v>54</v>
      </c>
      <c r="G3010">
        <v>369.62</v>
      </c>
      <c r="H3010" t="s">
        <v>98</v>
      </c>
      <c r="I3010" t="s">
        <v>47</v>
      </c>
      <c r="J3010" t="s">
        <v>65</v>
      </c>
    </row>
    <row r="3011" spans="1:10" x14ac:dyDescent="0.35">
      <c r="A3011" t="s">
        <v>3199</v>
      </c>
      <c r="B3011" s="10">
        <v>46208</v>
      </c>
      <c r="C3011" t="s">
        <v>53</v>
      </c>
      <c r="D3011" t="s">
        <v>54</v>
      </c>
      <c r="E3011" t="s">
        <v>55</v>
      </c>
      <c r="F3011" t="s">
        <v>54</v>
      </c>
      <c r="G3011">
        <v>691.57</v>
      </c>
      <c r="H3011" t="s">
        <v>21</v>
      </c>
      <c r="I3011" t="s">
        <v>22</v>
      </c>
      <c r="J3011" t="s">
        <v>56</v>
      </c>
    </row>
    <row r="3012" spans="1:10" x14ac:dyDescent="0.35">
      <c r="A3012" t="s">
        <v>3200</v>
      </c>
      <c r="B3012" s="10">
        <v>46208</v>
      </c>
      <c r="C3012" t="s">
        <v>345</v>
      </c>
      <c r="D3012" t="s">
        <v>59</v>
      </c>
      <c r="E3012" t="s">
        <v>60</v>
      </c>
      <c r="F3012" t="s">
        <v>14</v>
      </c>
      <c r="G3012">
        <v>336.05</v>
      </c>
      <c r="H3012" t="s">
        <v>15</v>
      </c>
      <c r="I3012" t="s">
        <v>47</v>
      </c>
      <c r="J3012" t="s">
        <v>211</v>
      </c>
    </row>
    <row r="3013" spans="1:10" x14ac:dyDescent="0.35">
      <c r="A3013" t="s">
        <v>3201</v>
      </c>
      <c r="B3013" s="10">
        <v>46208</v>
      </c>
      <c r="C3013" t="s">
        <v>272</v>
      </c>
      <c r="D3013" t="s">
        <v>54</v>
      </c>
      <c r="E3013" t="s">
        <v>55</v>
      </c>
      <c r="F3013" t="s">
        <v>54</v>
      </c>
      <c r="G3013">
        <v>738.36</v>
      </c>
      <c r="H3013" t="s">
        <v>21</v>
      </c>
      <c r="I3013" t="s">
        <v>16</v>
      </c>
      <c r="J3013" t="s">
        <v>65</v>
      </c>
    </row>
    <row r="3014" spans="1:10" x14ac:dyDescent="0.35">
      <c r="A3014" t="s">
        <v>3202</v>
      </c>
      <c r="B3014" s="10">
        <v>46209</v>
      </c>
      <c r="C3014" t="s">
        <v>198</v>
      </c>
      <c r="D3014" t="s">
        <v>59</v>
      </c>
      <c r="E3014" t="s">
        <v>199</v>
      </c>
      <c r="F3014" t="s">
        <v>14</v>
      </c>
      <c r="G3014">
        <v>146.07</v>
      </c>
      <c r="H3014" t="s">
        <v>15</v>
      </c>
      <c r="I3014" t="s">
        <v>47</v>
      </c>
      <c r="J3014" t="s">
        <v>61</v>
      </c>
    </row>
    <row r="3015" spans="1:10" x14ac:dyDescent="0.35">
      <c r="A3015" t="s">
        <v>3203</v>
      </c>
      <c r="B3015" s="10">
        <v>46209</v>
      </c>
      <c r="C3015" t="s">
        <v>121</v>
      </c>
      <c r="D3015" t="s">
        <v>34</v>
      </c>
      <c r="E3015" t="s">
        <v>122</v>
      </c>
      <c r="F3015" t="s">
        <v>14</v>
      </c>
      <c r="G3015">
        <v>65.08</v>
      </c>
      <c r="H3015" t="s">
        <v>15</v>
      </c>
      <c r="I3015" t="s">
        <v>84</v>
      </c>
      <c r="J3015" t="s">
        <v>123</v>
      </c>
    </row>
    <row r="3016" spans="1:10" x14ac:dyDescent="0.35">
      <c r="A3016" t="s">
        <v>3204</v>
      </c>
      <c r="B3016" s="10">
        <v>46209</v>
      </c>
      <c r="C3016" t="s">
        <v>184</v>
      </c>
      <c r="D3016" t="s">
        <v>59</v>
      </c>
      <c r="E3016" t="s">
        <v>185</v>
      </c>
      <c r="F3016" t="s">
        <v>14</v>
      </c>
      <c r="G3016">
        <v>97.23</v>
      </c>
      <c r="H3016" t="s">
        <v>15</v>
      </c>
      <c r="I3016" t="s">
        <v>16</v>
      </c>
      <c r="J3016" t="s">
        <v>61</v>
      </c>
    </row>
    <row r="3017" spans="1:10" x14ac:dyDescent="0.35">
      <c r="A3017" t="s">
        <v>3205</v>
      </c>
      <c r="B3017" s="10">
        <v>46209</v>
      </c>
      <c r="C3017" t="s">
        <v>734</v>
      </c>
      <c r="D3017" t="s">
        <v>69</v>
      </c>
      <c r="E3017" t="s">
        <v>291</v>
      </c>
      <c r="F3017" t="s">
        <v>14</v>
      </c>
      <c r="G3017">
        <v>429.2</v>
      </c>
      <c r="H3017" t="s">
        <v>15</v>
      </c>
      <c r="I3017" t="s">
        <v>47</v>
      </c>
      <c r="J3017" t="s">
        <v>71</v>
      </c>
    </row>
    <row r="3018" spans="1:10" x14ac:dyDescent="0.35">
      <c r="A3018" t="s">
        <v>3206</v>
      </c>
      <c r="B3018" s="10">
        <v>46209</v>
      </c>
      <c r="C3018" t="s">
        <v>63</v>
      </c>
      <c r="D3018" t="s">
        <v>54</v>
      </c>
      <c r="E3018" t="s">
        <v>64</v>
      </c>
      <c r="F3018" t="s">
        <v>54</v>
      </c>
      <c r="G3018">
        <v>259.82</v>
      </c>
      <c r="H3018" t="s">
        <v>21</v>
      </c>
      <c r="I3018" t="s">
        <v>22</v>
      </c>
      <c r="J3018" t="s">
        <v>65</v>
      </c>
    </row>
    <row r="3019" spans="1:10" x14ac:dyDescent="0.35">
      <c r="A3019" t="s">
        <v>3207</v>
      </c>
      <c r="B3019" s="10">
        <v>46210</v>
      </c>
      <c r="C3019" t="s">
        <v>248</v>
      </c>
      <c r="D3019" t="s">
        <v>80</v>
      </c>
      <c r="E3019" t="s">
        <v>81</v>
      </c>
      <c r="F3019" t="s">
        <v>14</v>
      </c>
      <c r="G3019">
        <v>30.78</v>
      </c>
      <c r="H3019" t="s">
        <v>15</v>
      </c>
      <c r="I3019" t="s">
        <v>84</v>
      </c>
      <c r="J3019" t="s">
        <v>161</v>
      </c>
    </row>
    <row r="3020" spans="1:10" x14ac:dyDescent="0.35">
      <c r="A3020" t="s">
        <v>3208</v>
      </c>
      <c r="B3020" s="10">
        <v>46210</v>
      </c>
      <c r="C3020" t="s">
        <v>130</v>
      </c>
      <c r="D3020" t="s">
        <v>12</v>
      </c>
      <c r="E3020" t="s">
        <v>26</v>
      </c>
      <c r="F3020" t="s">
        <v>14</v>
      </c>
      <c r="G3020">
        <v>12.27</v>
      </c>
      <c r="H3020" t="s">
        <v>15</v>
      </c>
      <c r="I3020" t="s">
        <v>36</v>
      </c>
      <c r="J3020" t="s">
        <v>48</v>
      </c>
    </row>
    <row r="3021" spans="1:10" x14ac:dyDescent="0.35">
      <c r="A3021" t="s">
        <v>3209</v>
      </c>
      <c r="B3021" s="10">
        <v>46210</v>
      </c>
      <c r="C3021" t="s">
        <v>210</v>
      </c>
      <c r="D3021" t="s">
        <v>59</v>
      </c>
      <c r="E3021" t="s">
        <v>185</v>
      </c>
      <c r="F3021" t="s">
        <v>14</v>
      </c>
      <c r="G3021">
        <v>130.34</v>
      </c>
      <c r="H3021" t="s">
        <v>15</v>
      </c>
      <c r="I3021" t="s">
        <v>36</v>
      </c>
      <c r="J3021" t="s">
        <v>211</v>
      </c>
    </row>
    <row r="3022" spans="1:10" x14ac:dyDescent="0.35">
      <c r="A3022" t="s">
        <v>3210</v>
      </c>
      <c r="B3022" s="10">
        <v>46210</v>
      </c>
      <c r="C3022" t="s">
        <v>116</v>
      </c>
      <c r="D3022" t="s">
        <v>80</v>
      </c>
      <c r="E3022" t="s">
        <v>117</v>
      </c>
      <c r="F3022" t="s">
        <v>14</v>
      </c>
      <c r="G3022">
        <v>30.29</v>
      </c>
      <c r="H3022" t="s">
        <v>15</v>
      </c>
      <c r="I3022" t="s">
        <v>47</v>
      </c>
      <c r="J3022" t="s">
        <v>118</v>
      </c>
    </row>
    <row r="3023" spans="1:10" x14ac:dyDescent="0.35">
      <c r="A3023" t="s">
        <v>3211</v>
      </c>
      <c r="B3023" s="10">
        <v>46210</v>
      </c>
      <c r="C3023" t="s">
        <v>88</v>
      </c>
      <c r="D3023" t="s">
        <v>54</v>
      </c>
      <c r="E3023" t="s">
        <v>74</v>
      </c>
      <c r="F3023" t="s">
        <v>54</v>
      </c>
      <c r="G3023">
        <v>2665.54</v>
      </c>
      <c r="H3023" t="s">
        <v>15</v>
      </c>
      <c r="I3023" t="s">
        <v>47</v>
      </c>
      <c r="J3023" t="s">
        <v>89</v>
      </c>
    </row>
    <row r="3024" spans="1:10" x14ac:dyDescent="0.35">
      <c r="A3024" t="s">
        <v>3212</v>
      </c>
      <c r="B3024" s="10">
        <v>46210</v>
      </c>
      <c r="C3024" t="s">
        <v>143</v>
      </c>
      <c r="D3024" t="s">
        <v>54</v>
      </c>
      <c r="E3024" t="s">
        <v>55</v>
      </c>
      <c r="F3024" t="s">
        <v>54</v>
      </c>
      <c r="G3024">
        <v>714.05</v>
      </c>
      <c r="H3024" t="s">
        <v>21</v>
      </c>
      <c r="I3024" t="s">
        <v>36</v>
      </c>
      <c r="J3024" t="s">
        <v>89</v>
      </c>
    </row>
    <row r="3025" spans="1:10" x14ac:dyDescent="0.35">
      <c r="A3025" t="s">
        <v>3213</v>
      </c>
      <c r="B3025" s="10">
        <v>46210</v>
      </c>
      <c r="C3025" t="s">
        <v>210</v>
      </c>
      <c r="D3025" t="s">
        <v>59</v>
      </c>
      <c r="E3025" t="s">
        <v>185</v>
      </c>
      <c r="F3025" t="s">
        <v>14</v>
      </c>
      <c r="G3025">
        <v>578.80999999999995</v>
      </c>
      <c r="H3025" t="s">
        <v>15</v>
      </c>
      <c r="I3025" t="s">
        <v>36</v>
      </c>
      <c r="J3025" t="s">
        <v>211</v>
      </c>
    </row>
    <row r="3026" spans="1:10" x14ac:dyDescent="0.35">
      <c r="A3026" t="s">
        <v>3214</v>
      </c>
      <c r="B3026" s="10">
        <v>46210</v>
      </c>
      <c r="C3026" t="s">
        <v>73</v>
      </c>
      <c r="D3026" t="s">
        <v>54</v>
      </c>
      <c r="E3026" t="s">
        <v>74</v>
      </c>
      <c r="F3026" t="s">
        <v>54</v>
      </c>
      <c r="G3026">
        <v>2900.03</v>
      </c>
      <c r="H3026" t="s">
        <v>15</v>
      </c>
      <c r="I3026" t="s">
        <v>47</v>
      </c>
      <c r="J3026" t="s">
        <v>65</v>
      </c>
    </row>
    <row r="3027" spans="1:10" x14ac:dyDescent="0.35">
      <c r="A3027" t="s">
        <v>3215</v>
      </c>
      <c r="B3027" s="10">
        <v>46211</v>
      </c>
      <c r="C3027" t="s">
        <v>155</v>
      </c>
      <c r="D3027" t="s">
        <v>12</v>
      </c>
      <c r="E3027" t="s">
        <v>51</v>
      </c>
      <c r="F3027" t="s">
        <v>14</v>
      </c>
      <c r="G3027">
        <v>65.3</v>
      </c>
      <c r="H3027" t="s">
        <v>15</v>
      </c>
      <c r="I3027" t="s">
        <v>47</v>
      </c>
      <c r="J3027" t="s">
        <v>48</v>
      </c>
    </row>
    <row r="3028" spans="1:10" x14ac:dyDescent="0.35">
      <c r="A3028" t="s">
        <v>3216</v>
      </c>
      <c r="B3028" s="10">
        <v>46211</v>
      </c>
      <c r="C3028" t="s">
        <v>220</v>
      </c>
      <c r="D3028" t="s">
        <v>59</v>
      </c>
      <c r="E3028" t="s">
        <v>199</v>
      </c>
      <c r="F3028" t="s">
        <v>14</v>
      </c>
      <c r="G3028">
        <v>142.58000000000001</v>
      </c>
      <c r="H3028" t="s">
        <v>21</v>
      </c>
      <c r="I3028" t="s">
        <v>22</v>
      </c>
      <c r="J3028" t="s">
        <v>211</v>
      </c>
    </row>
    <row r="3029" spans="1:10" x14ac:dyDescent="0.35">
      <c r="A3029" t="s">
        <v>3217</v>
      </c>
      <c r="B3029" s="10">
        <v>46211</v>
      </c>
      <c r="C3029" t="s">
        <v>262</v>
      </c>
      <c r="D3029" t="s">
        <v>101</v>
      </c>
      <c r="E3029" t="s">
        <v>244</v>
      </c>
      <c r="F3029" t="s">
        <v>14</v>
      </c>
      <c r="G3029">
        <v>56.64</v>
      </c>
      <c r="H3029" t="s">
        <v>15</v>
      </c>
      <c r="I3029" t="s">
        <v>16</v>
      </c>
      <c r="J3029" t="s">
        <v>136</v>
      </c>
    </row>
    <row r="3030" spans="1:10" x14ac:dyDescent="0.35">
      <c r="A3030" t="s">
        <v>3218</v>
      </c>
      <c r="B3030" s="10">
        <v>46211</v>
      </c>
      <c r="C3030" t="s">
        <v>19</v>
      </c>
      <c r="D3030" t="s">
        <v>12</v>
      </c>
      <c r="E3030" t="s">
        <v>13</v>
      </c>
      <c r="F3030" t="s">
        <v>14</v>
      </c>
      <c r="G3030">
        <v>91.16</v>
      </c>
      <c r="H3030" t="s">
        <v>21</v>
      </c>
      <c r="I3030" t="s">
        <v>36</v>
      </c>
      <c r="J3030" t="s">
        <v>23</v>
      </c>
    </row>
    <row r="3031" spans="1:10" x14ac:dyDescent="0.35">
      <c r="A3031" t="s">
        <v>3219</v>
      </c>
      <c r="B3031" s="10">
        <v>46211</v>
      </c>
      <c r="C3031" t="s">
        <v>376</v>
      </c>
      <c r="D3031" t="s">
        <v>80</v>
      </c>
      <c r="E3031" t="s">
        <v>117</v>
      </c>
      <c r="F3031" t="s">
        <v>14</v>
      </c>
      <c r="G3031">
        <v>61.04</v>
      </c>
      <c r="H3031" t="s">
        <v>21</v>
      </c>
      <c r="I3031" t="s">
        <v>22</v>
      </c>
      <c r="J3031" t="s">
        <v>82</v>
      </c>
    </row>
    <row r="3032" spans="1:10" x14ac:dyDescent="0.35">
      <c r="A3032" t="s">
        <v>3220</v>
      </c>
      <c r="B3032" s="10">
        <v>46211</v>
      </c>
      <c r="C3032" t="s">
        <v>163</v>
      </c>
      <c r="D3032" t="s">
        <v>80</v>
      </c>
      <c r="E3032" t="s">
        <v>92</v>
      </c>
      <c r="F3032" t="s">
        <v>14</v>
      </c>
      <c r="G3032">
        <v>80.48</v>
      </c>
      <c r="H3032" t="s">
        <v>21</v>
      </c>
      <c r="I3032" t="s">
        <v>36</v>
      </c>
      <c r="J3032" t="s">
        <v>118</v>
      </c>
    </row>
    <row r="3033" spans="1:10" x14ac:dyDescent="0.35">
      <c r="A3033" t="s">
        <v>3221</v>
      </c>
      <c r="B3033" s="10">
        <v>46211</v>
      </c>
      <c r="C3033" t="s">
        <v>76</v>
      </c>
      <c r="D3033" t="s">
        <v>12</v>
      </c>
      <c r="E3033" t="s">
        <v>13</v>
      </c>
      <c r="F3033" t="s">
        <v>14</v>
      </c>
      <c r="G3033">
        <v>53.85</v>
      </c>
      <c r="H3033" t="s">
        <v>15</v>
      </c>
      <c r="I3033" t="s">
        <v>84</v>
      </c>
      <c r="J3033" t="s">
        <v>77</v>
      </c>
    </row>
    <row r="3034" spans="1:10" x14ac:dyDescent="0.35">
      <c r="A3034" t="s">
        <v>3222</v>
      </c>
      <c r="B3034" s="10">
        <v>46212</v>
      </c>
      <c r="C3034" t="s">
        <v>125</v>
      </c>
      <c r="D3034" t="s">
        <v>12</v>
      </c>
      <c r="E3034" t="s">
        <v>13</v>
      </c>
      <c r="F3034" t="s">
        <v>14</v>
      </c>
      <c r="G3034">
        <v>161.46</v>
      </c>
      <c r="H3034" t="s">
        <v>98</v>
      </c>
      <c r="I3034" t="s">
        <v>47</v>
      </c>
      <c r="J3034" t="s">
        <v>44</v>
      </c>
    </row>
    <row r="3035" spans="1:10" x14ac:dyDescent="0.35">
      <c r="A3035" t="s">
        <v>3223</v>
      </c>
      <c r="B3035" s="10">
        <v>46212</v>
      </c>
      <c r="C3035" t="s">
        <v>143</v>
      </c>
      <c r="D3035" t="s">
        <v>54</v>
      </c>
      <c r="E3035" t="s">
        <v>55</v>
      </c>
      <c r="F3035" t="s">
        <v>54</v>
      </c>
      <c r="G3035">
        <v>605.88</v>
      </c>
      <c r="H3035" t="s">
        <v>15</v>
      </c>
      <c r="I3035" t="s">
        <v>22</v>
      </c>
      <c r="J3035" t="s">
        <v>89</v>
      </c>
    </row>
    <row r="3036" spans="1:10" x14ac:dyDescent="0.35">
      <c r="A3036" t="s">
        <v>3224</v>
      </c>
      <c r="B3036" s="10">
        <v>46212</v>
      </c>
      <c r="C3036" t="s">
        <v>39</v>
      </c>
      <c r="D3036" t="s">
        <v>34</v>
      </c>
      <c r="E3036" t="s">
        <v>40</v>
      </c>
      <c r="F3036" t="s">
        <v>14</v>
      </c>
      <c r="G3036">
        <v>189.43</v>
      </c>
      <c r="H3036" t="s">
        <v>21</v>
      </c>
      <c r="I3036" t="s">
        <v>22</v>
      </c>
      <c r="J3036" t="s">
        <v>41</v>
      </c>
    </row>
    <row r="3037" spans="1:10" x14ac:dyDescent="0.35">
      <c r="A3037" t="s">
        <v>3225</v>
      </c>
      <c r="B3037" s="10">
        <v>46213</v>
      </c>
      <c r="C3037" t="s">
        <v>272</v>
      </c>
      <c r="D3037" t="s">
        <v>54</v>
      </c>
      <c r="E3037" t="s">
        <v>55</v>
      </c>
      <c r="F3037" t="s">
        <v>54</v>
      </c>
      <c r="G3037">
        <v>698.99</v>
      </c>
      <c r="H3037" t="s">
        <v>15</v>
      </c>
      <c r="I3037" t="s">
        <v>22</v>
      </c>
      <c r="J3037" t="s">
        <v>65</v>
      </c>
    </row>
    <row r="3038" spans="1:10" x14ac:dyDescent="0.35">
      <c r="A3038" t="s">
        <v>3226</v>
      </c>
      <c r="B3038" s="10">
        <v>46213</v>
      </c>
      <c r="C3038" t="s">
        <v>210</v>
      </c>
      <c r="D3038" t="s">
        <v>59</v>
      </c>
      <c r="E3038" t="s">
        <v>185</v>
      </c>
      <c r="F3038" t="s">
        <v>14</v>
      </c>
      <c r="G3038">
        <v>111.93</v>
      </c>
      <c r="H3038" t="s">
        <v>15</v>
      </c>
      <c r="I3038" t="s">
        <v>22</v>
      </c>
      <c r="J3038" t="s">
        <v>211</v>
      </c>
    </row>
    <row r="3039" spans="1:10" x14ac:dyDescent="0.35">
      <c r="A3039" t="s">
        <v>3227</v>
      </c>
      <c r="B3039" s="10">
        <v>46213</v>
      </c>
      <c r="C3039" t="s">
        <v>296</v>
      </c>
      <c r="D3039" t="s">
        <v>101</v>
      </c>
      <c r="E3039" t="s">
        <v>136</v>
      </c>
      <c r="F3039" t="s">
        <v>14</v>
      </c>
      <c r="G3039">
        <v>68.349999999999994</v>
      </c>
      <c r="H3039" t="s">
        <v>15</v>
      </c>
      <c r="I3039" t="s">
        <v>36</v>
      </c>
      <c r="J3039" t="s">
        <v>136</v>
      </c>
    </row>
    <row r="3040" spans="1:10" x14ac:dyDescent="0.35">
      <c r="A3040" t="s">
        <v>3228</v>
      </c>
      <c r="B3040" s="10">
        <v>46213</v>
      </c>
      <c r="C3040" t="s">
        <v>11</v>
      </c>
      <c r="D3040" t="s">
        <v>12</v>
      </c>
      <c r="E3040" t="s">
        <v>13</v>
      </c>
      <c r="F3040" t="s">
        <v>14</v>
      </c>
      <c r="G3040">
        <v>61.26</v>
      </c>
      <c r="H3040" t="s">
        <v>15</v>
      </c>
      <c r="I3040" t="s">
        <v>47</v>
      </c>
      <c r="J3040" t="s">
        <v>17</v>
      </c>
    </row>
    <row r="3041" spans="1:10" x14ac:dyDescent="0.35">
      <c r="A3041" t="s">
        <v>3229</v>
      </c>
      <c r="B3041" s="10">
        <v>46213</v>
      </c>
      <c r="C3041" t="s">
        <v>155</v>
      </c>
      <c r="D3041" t="s">
        <v>12</v>
      </c>
      <c r="E3041" t="s">
        <v>51</v>
      </c>
      <c r="F3041" t="s">
        <v>14</v>
      </c>
      <c r="G3041">
        <v>35.99</v>
      </c>
      <c r="H3041" t="s">
        <v>21</v>
      </c>
      <c r="I3041" t="s">
        <v>22</v>
      </c>
      <c r="J3041" t="s">
        <v>48</v>
      </c>
    </row>
    <row r="3042" spans="1:10" x14ac:dyDescent="0.35">
      <c r="A3042" t="s">
        <v>3230</v>
      </c>
      <c r="B3042" s="10">
        <v>46213</v>
      </c>
      <c r="C3042" t="s">
        <v>227</v>
      </c>
      <c r="D3042" t="s">
        <v>12</v>
      </c>
      <c r="E3042" t="s">
        <v>51</v>
      </c>
      <c r="F3042" t="s">
        <v>14</v>
      </c>
      <c r="G3042">
        <v>50.7</v>
      </c>
      <c r="H3042" t="s">
        <v>21</v>
      </c>
      <c r="I3042" t="s">
        <v>22</v>
      </c>
      <c r="J3042" t="s">
        <v>17</v>
      </c>
    </row>
    <row r="3043" spans="1:10" x14ac:dyDescent="0.35">
      <c r="A3043" t="s">
        <v>3231</v>
      </c>
      <c r="B3043" s="10">
        <v>46213</v>
      </c>
      <c r="C3043" t="s">
        <v>198</v>
      </c>
      <c r="D3043" t="s">
        <v>59</v>
      </c>
      <c r="E3043" t="s">
        <v>199</v>
      </c>
      <c r="F3043" t="s">
        <v>14</v>
      </c>
      <c r="G3043">
        <v>257.83</v>
      </c>
      <c r="H3043" t="s">
        <v>15</v>
      </c>
      <c r="I3043" t="s">
        <v>36</v>
      </c>
      <c r="J3043" t="s">
        <v>61</v>
      </c>
    </row>
    <row r="3044" spans="1:10" x14ac:dyDescent="0.35">
      <c r="A3044" t="s">
        <v>3232</v>
      </c>
      <c r="B3044" s="10">
        <v>46214</v>
      </c>
      <c r="C3044" t="s">
        <v>100</v>
      </c>
      <c r="D3044" t="s">
        <v>101</v>
      </c>
      <c r="E3044" t="s">
        <v>102</v>
      </c>
      <c r="F3044" t="s">
        <v>14</v>
      </c>
      <c r="G3044">
        <v>18.97</v>
      </c>
      <c r="H3044" t="s">
        <v>15</v>
      </c>
      <c r="I3044" t="s">
        <v>22</v>
      </c>
      <c r="J3044" t="s">
        <v>103</v>
      </c>
    </row>
    <row r="3045" spans="1:10" x14ac:dyDescent="0.35">
      <c r="A3045" t="s">
        <v>3233</v>
      </c>
      <c r="B3045" s="10">
        <v>46214</v>
      </c>
      <c r="C3045" t="s">
        <v>43</v>
      </c>
      <c r="D3045" t="s">
        <v>12</v>
      </c>
      <c r="E3045" t="s">
        <v>26</v>
      </c>
      <c r="F3045" t="s">
        <v>14</v>
      </c>
      <c r="G3045">
        <v>30.25</v>
      </c>
      <c r="H3045" t="s">
        <v>15</v>
      </c>
      <c r="I3045" t="s">
        <v>36</v>
      </c>
      <c r="J3045" t="s">
        <v>44</v>
      </c>
    </row>
    <row r="3046" spans="1:10" x14ac:dyDescent="0.35">
      <c r="A3046" t="s">
        <v>3234</v>
      </c>
      <c r="B3046" s="10">
        <v>46215</v>
      </c>
      <c r="C3046" t="s">
        <v>177</v>
      </c>
      <c r="D3046" t="s">
        <v>54</v>
      </c>
      <c r="E3046" t="s">
        <v>74</v>
      </c>
      <c r="F3046" t="s">
        <v>54</v>
      </c>
      <c r="G3046">
        <v>2594.63</v>
      </c>
      <c r="H3046" t="s">
        <v>21</v>
      </c>
      <c r="I3046" t="s">
        <v>36</v>
      </c>
      <c r="J3046" t="s">
        <v>56</v>
      </c>
    </row>
    <row r="3047" spans="1:10" x14ac:dyDescent="0.35">
      <c r="A3047" t="s">
        <v>3235</v>
      </c>
      <c r="B3047" s="10">
        <v>46215</v>
      </c>
      <c r="C3047" t="s">
        <v>157</v>
      </c>
      <c r="D3047" t="s">
        <v>29</v>
      </c>
      <c r="E3047" t="s">
        <v>95</v>
      </c>
      <c r="F3047" t="s">
        <v>14</v>
      </c>
      <c r="G3047">
        <v>27.63</v>
      </c>
      <c r="H3047" t="s">
        <v>15</v>
      </c>
      <c r="I3047" t="s">
        <v>47</v>
      </c>
      <c r="J3047" t="s">
        <v>158</v>
      </c>
    </row>
    <row r="3048" spans="1:10" x14ac:dyDescent="0.35">
      <c r="A3048" t="s">
        <v>3236</v>
      </c>
      <c r="B3048" s="10">
        <v>46215</v>
      </c>
      <c r="C3048" t="s">
        <v>155</v>
      </c>
      <c r="D3048" t="s">
        <v>12</v>
      </c>
      <c r="E3048" t="s">
        <v>51</v>
      </c>
      <c r="F3048" t="s">
        <v>14</v>
      </c>
      <c r="G3048">
        <v>23.05</v>
      </c>
      <c r="H3048" t="s">
        <v>15</v>
      </c>
      <c r="I3048" t="s">
        <v>36</v>
      </c>
      <c r="J3048" t="s">
        <v>48</v>
      </c>
    </row>
    <row r="3049" spans="1:10" x14ac:dyDescent="0.35">
      <c r="A3049" t="s">
        <v>3237</v>
      </c>
      <c r="B3049" s="10">
        <v>46215</v>
      </c>
      <c r="C3049" t="s">
        <v>262</v>
      </c>
      <c r="D3049" t="s">
        <v>101</v>
      </c>
      <c r="E3049" t="s">
        <v>244</v>
      </c>
      <c r="F3049" t="s">
        <v>14</v>
      </c>
      <c r="G3049">
        <v>79.760000000000005</v>
      </c>
      <c r="H3049" t="s">
        <v>15</v>
      </c>
      <c r="I3049" t="s">
        <v>47</v>
      </c>
      <c r="J3049" t="s">
        <v>136</v>
      </c>
    </row>
    <row r="3050" spans="1:10" x14ac:dyDescent="0.35">
      <c r="A3050" t="s">
        <v>3238</v>
      </c>
      <c r="B3050" s="10">
        <v>46215</v>
      </c>
      <c r="C3050" t="s">
        <v>138</v>
      </c>
      <c r="D3050" t="s">
        <v>12</v>
      </c>
      <c r="E3050" t="s">
        <v>26</v>
      </c>
      <c r="F3050" t="s">
        <v>14</v>
      </c>
      <c r="G3050">
        <v>17.350000000000001</v>
      </c>
      <c r="H3050" t="s">
        <v>15</v>
      </c>
      <c r="I3050" t="s">
        <v>36</v>
      </c>
      <c r="J3050" t="s">
        <v>77</v>
      </c>
    </row>
    <row r="3051" spans="1:10" x14ac:dyDescent="0.35">
      <c r="A3051" t="s">
        <v>3239</v>
      </c>
      <c r="B3051" s="10">
        <v>46216</v>
      </c>
      <c r="C3051" t="s">
        <v>206</v>
      </c>
      <c r="D3051" t="s">
        <v>29</v>
      </c>
      <c r="E3051" t="s">
        <v>95</v>
      </c>
      <c r="F3051" t="s">
        <v>14</v>
      </c>
      <c r="G3051">
        <v>30.61</v>
      </c>
      <c r="H3051" t="s">
        <v>21</v>
      </c>
      <c r="I3051" t="s">
        <v>16</v>
      </c>
      <c r="J3051" t="s">
        <v>31</v>
      </c>
    </row>
    <row r="3052" spans="1:10" x14ac:dyDescent="0.35">
      <c r="A3052" t="s">
        <v>3240</v>
      </c>
      <c r="B3052" s="10">
        <v>46216</v>
      </c>
      <c r="C3052" t="s">
        <v>138</v>
      </c>
      <c r="D3052" t="s">
        <v>12</v>
      </c>
      <c r="E3052" t="s">
        <v>26</v>
      </c>
      <c r="F3052" t="s">
        <v>14</v>
      </c>
      <c r="G3052">
        <v>37.020000000000003</v>
      </c>
      <c r="H3052" t="s">
        <v>15</v>
      </c>
      <c r="I3052" t="s">
        <v>16</v>
      </c>
      <c r="J3052" t="s">
        <v>77</v>
      </c>
    </row>
    <row r="3053" spans="1:10" x14ac:dyDescent="0.35">
      <c r="A3053" t="s">
        <v>3241</v>
      </c>
      <c r="B3053" s="10">
        <v>46216</v>
      </c>
      <c r="C3053" t="s">
        <v>345</v>
      </c>
      <c r="D3053" t="s">
        <v>59</v>
      </c>
      <c r="E3053" t="s">
        <v>60</v>
      </c>
      <c r="F3053" t="s">
        <v>14</v>
      </c>
      <c r="G3053">
        <v>149.57</v>
      </c>
      <c r="H3053" t="s">
        <v>15</v>
      </c>
      <c r="I3053" t="s">
        <v>22</v>
      </c>
      <c r="J3053" t="s">
        <v>211</v>
      </c>
    </row>
    <row r="3054" spans="1:10" x14ac:dyDescent="0.35">
      <c r="A3054" t="s">
        <v>3242</v>
      </c>
      <c r="B3054" s="10">
        <v>46216</v>
      </c>
      <c r="C3054" t="s">
        <v>238</v>
      </c>
      <c r="D3054" t="s">
        <v>34</v>
      </c>
      <c r="E3054" t="s">
        <v>35</v>
      </c>
      <c r="F3054" t="s">
        <v>14</v>
      </c>
      <c r="G3054">
        <v>330.74</v>
      </c>
      <c r="H3054" t="s">
        <v>15</v>
      </c>
      <c r="I3054" t="s">
        <v>36</v>
      </c>
      <c r="J3054" t="s">
        <v>239</v>
      </c>
    </row>
    <row r="3055" spans="1:10" x14ac:dyDescent="0.35">
      <c r="A3055" t="s">
        <v>3243</v>
      </c>
      <c r="B3055" s="10">
        <v>46216</v>
      </c>
      <c r="C3055" t="s">
        <v>91</v>
      </c>
      <c r="D3055" t="s">
        <v>80</v>
      </c>
      <c r="E3055" t="s">
        <v>92</v>
      </c>
      <c r="F3055" t="s">
        <v>14</v>
      </c>
      <c r="G3055">
        <v>89.5</v>
      </c>
      <c r="H3055" t="s">
        <v>21</v>
      </c>
      <c r="I3055" t="s">
        <v>22</v>
      </c>
      <c r="J3055" t="s">
        <v>82</v>
      </c>
    </row>
    <row r="3056" spans="1:10" x14ac:dyDescent="0.35">
      <c r="A3056" t="s">
        <v>3244</v>
      </c>
      <c r="B3056" s="10">
        <v>46216</v>
      </c>
      <c r="C3056" t="s">
        <v>113</v>
      </c>
      <c r="D3056" t="s">
        <v>34</v>
      </c>
      <c r="E3056" t="s">
        <v>40</v>
      </c>
      <c r="F3056" t="s">
        <v>14</v>
      </c>
      <c r="G3056">
        <v>137.69999999999999</v>
      </c>
      <c r="H3056" t="s">
        <v>15</v>
      </c>
      <c r="I3056" t="s">
        <v>47</v>
      </c>
      <c r="J3056" t="s">
        <v>37</v>
      </c>
    </row>
    <row r="3057" spans="1:10" x14ac:dyDescent="0.35">
      <c r="A3057" t="s">
        <v>3245</v>
      </c>
      <c r="B3057" s="10">
        <v>46217</v>
      </c>
      <c r="C3057" t="s">
        <v>50</v>
      </c>
      <c r="D3057" t="s">
        <v>12</v>
      </c>
      <c r="E3057" t="s">
        <v>51</v>
      </c>
      <c r="F3057" t="s">
        <v>14</v>
      </c>
      <c r="G3057">
        <v>81.06</v>
      </c>
      <c r="H3057" t="s">
        <v>21</v>
      </c>
      <c r="I3057" t="s">
        <v>22</v>
      </c>
      <c r="J3057" t="s">
        <v>44</v>
      </c>
    </row>
    <row r="3058" spans="1:10" x14ac:dyDescent="0.35">
      <c r="A3058" t="s">
        <v>3246</v>
      </c>
      <c r="B3058" s="10">
        <v>46217</v>
      </c>
      <c r="C3058" t="s">
        <v>113</v>
      </c>
      <c r="D3058" t="s">
        <v>34</v>
      </c>
      <c r="E3058" t="s">
        <v>40</v>
      </c>
      <c r="F3058" t="s">
        <v>14</v>
      </c>
      <c r="G3058">
        <v>402.45</v>
      </c>
      <c r="H3058" t="s">
        <v>21</v>
      </c>
      <c r="I3058" t="s">
        <v>22</v>
      </c>
      <c r="J3058" t="s">
        <v>37</v>
      </c>
    </row>
    <row r="3059" spans="1:10" x14ac:dyDescent="0.35">
      <c r="A3059" t="s">
        <v>3247</v>
      </c>
      <c r="B3059" s="10">
        <v>46217</v>
      </c>
      <c r="C3059" t="s">
        <v>153</v>
      </c>
      <c r="D3059" t="s">
        <v>34</v>
      </c>
      <c r="E3059" t="s">
        <v>122</v>
      </c>
      <c r="F3059" t="s">
        <v>14</v>
      </c>
      <c r="G3059">
        <v>228.53</v>
      </c>
      <c r="H3059" t="s">
        <v>15</v>
      </c>
      <c r="I3059" t="s">
        <v>47</v>
      </c>
      <c r="J3059" t="s">
        <v>41</v>
      </c>
    </row>
    <row r="3060" spans="1:10" x14ac:dyDescent="0.35">
      <c r="A3060" t="s">
        <v>3248</v>
      </c>
      <c r="B3060" s="10">
        <v>46217</v>
      </c>
      <c r="C3060" t="s">
        <v>177</v>
      </c>
      <c r="D3060" t="s">
        <v>54</v>
      </c>
      <c r="E3060" t="s">
        <v>74</v>
      </c>
      <c r="F3060" t="s">
        <v>54</v>
      </c>
      <c r="G3060">
        <v>2174.89</v>
      </c>
      <c r="H3060" t="s">
        <v>15</v>
      </c>
      <c r="I3060" t="s">
        <v>47</v>
      </c>
      <c r="J3060" t="s">
        <v>56</v>
      </c>
    </row>
    <row r="3061" spans="1:10" x14ac:dyDescent="0.35">
      <c r="A3061" t="s">
        <v>3249</v>
      </c>
      <c r="B3061" s="10">
        <v>46217</v>
      </c>
      <c r="C3061" t="s">
        <v>138</v>
      </c>
      <c r="D3061" t="s">
        <v>12</v>
      </c>
      <c r="E3061" t="s">
        <v>26</v>
      </c>
      <c r="F3061" t="s">
        <v>14</v>
      </c>
      <c r="G3061">
        <v>30.82</v>
      </c>
      <c r="H3061" t="s">
        <v>15</v>
      </c>
      <c r="I3061" t="s">
        <v>22</v>
      </c>
      <c r="J3061" t="s">
        <v>77</v>
      </c>
    </row>
    <row r="3062" spans="1:10" x14ac:dyDescent="0.35">
      <c r="A3062" t="s">
        <v>3250</v>
      </c>
      <c r="B3062" s="10">
        <v>46217</v>
      </c>
      <c r="C3062" t="s">
        <v>135</v>
      </c>
      <c r="D3062" t="s">
        <v>101</v>
      </c>
      <c r="E3062" t="s">
        <v>102</v>
      </c>
      <c r="F3062" t="s">
        <v>14</v>
      </c>
      <c r="G3062">
        <v>101.14</v>
      </c>
      <c r="H3062" t="s">
        <v>21</v>
      </c>
      <c r="I3062" t="s">
        <v>22</v>
      </c>
      <c r="J3062" t="s">
        <v>136</v>
      </c>
    </row>
    <row r="3063" spans="1:10" x14ac:dyDescent="0.35">
      <c r="A3063" t="s">
        <v>3251</v>
      </c>
      <c r="B3063" s="10">
        <v>46217</v>
      </c>
      <c r="C3063" t="s">
        <v>143</v>
      </c>
      <c r="D3063" t="s">
        <v>54</v>
      </c>
      <c r="E3063" t="s">
        <v>55</v>
      </c>
      <c r="F3063" t="s">
        <v>54</v>
      </c>
      <c r="G3063">
        <v>666.57</v>
      </c>
      <c r="H3063" t="s">
        <v>21</v>
      </c>
      <c r="I3063" t="s">
        <v>22</v>
      </c>
      <c r="J3063" t="s">
        <v>89</v>
      </c>
    </row>
    <row r="3064" spans="1:10" x14ac:dyDescent="0.35">
      <c r="A3064" t="s">
        <v>3252</v>
      </c>
      <c r="B3064" s="10">
        <v>46218</v>
      </c>
      <c r="C3064" t="s">
        <v>91</v>
      </c>
      <c r="D3064" t="s">
        <v>80</v>
      </c>
      <c r="E3064" t="s">
        <v>92</v>
      </c>
      <c r="F3064" t="s">
        <v>14</v>
      </c>
      <c r="G3064">
        <v>54.93</v>
      </c>
      <c r="H3064" t="s">
        <v>15</v>
      </c>
      <c r="I3064" t="s">
        <v>22</v>
      </c>
      <c r="J3064" t="s">
        <v>82</v>
      </c>
    </row>
    <row r="3065" spans="1:10" x14ac:dyDescent="0.35">
      <c r="A3065" t="s">
        <v>3253</v>
      </c>
      <c r="B3065" s="10">
        <v>46218</v>
      </c>
      <c r="C3065" t="s">
        <v>76</v>
      </c>
      <c r="D3065" t="s">
        <v>12</v>
      </c>
      <c r="E3065" t="s">
        <v>13</v>
      </c>
      <c r="F3065" t="s">
        <v>14</v>
      </c>
      <c r="G3065">
        <v>51.88</v>
      </c>
      <c r="H3065" t="s">
        <v>15</v>
      </c>
      <c r="I3065" t="s">
        <v>22</v>
      </c>
      <c r="J3065" t="s">
        <v>77</v>
      </c>
    </row>
    <row r="3066" spans="1:10" x14ac:dyDescent="0.35">
      <c r="A3066" t="s">
        <v>3254</v>
      </c>
      <c r="B3066" s="10">
        <v>46218</v>
      </c>
      <c r="C3066" t="s">
        <v>217</v>
      </c>
      <c r="D3066" t="s">
        <v>80</v>
      </c>
      <c r="E3066" t="s">
        <v>81</v>
      </c>
      <c r="F3066" t="s">
        <v>14</v>
      </c>
      <c r="G3066">
        <v>58.21</v>
      </c>
      <c r="H3066" t="s">
        <v>15</v>
      </c>
      <c r="I3066" t="s">
        <v>16</v>
      </c>
      <c r="J3066" t="s">
        <v>180</v>
      </c>
    </row>
    <row r="3067" spans="1:10" x14ac:dyDescent="0.35">
      <c r="A3067" t="s">
        <v>3255</v>
      </c>
      <c r="B3067" s="10">
        <v>46218</v>
      </c>
      <c r="C3067" t="s">
        <v>100</v>
      </c>
      <c r="D3067" t="s">
        <v>101</v>
      </c>
      <c r="E3067" t="s">
        <v>102</v>
      </c>
      <c r="F3067" t="s">
        <v>14</v>
      </c>
      <c r="G3067">
        <v>239</v>
      </c>
      <c r="H3067" t="s">
        <v>15</v>
      </c>
      <c r="I3067" t="s">
        <v>22</v>
      </c>
      <c r="J3067" t="s">
        <v>103</v>
      </c>
    </row>
    <row r="3068" spans="1:10" x14ac:dyDescent="0.35">
      <c r="A3068" t="s">
        <v>3256</v>
      </c>
      <c r="B3068" s="10">
        <v>46218</v>
      </c>
      <c r="C3068" t="s">
        <v>269</v>
      </c>
      <c r="D3068" t="s">
        <v>34</v>
      </c>
      <c r="E3068" t="s">
        <v>35</v>
      </c>
      <c r="F3068" t="s">
        <v>14</v>
      </c>
      <c r="G3068">
        <v>290.95</v>
      </c>
      <c r="H3068" t="s">
        <v>21</v>
      </c>
      <c r="I3068" t="s">
        <v>47</v>
      </c>
      <c r="J3068" t="s">
        <v>123</v>
      </c>
    </row>
    <row r="3069" spans="1:10" x14ac:dyDescent="0.35">
      <c r="A3069" t="s">
        <v>3257</v>
      </c>
      <c r="B3069" s="10">
        <v>46219</v>
      </c>
      <c r="C3069" t="s">
        <v>204</v>
      </c>
      <c r="D3069" t="s">
        <v>12</v>
      </c>
      <c r="E3069" t="s">
        <v>51</v>
      </c>
      <c r="F3069" t="s">
        <v>14</v>
      </c>
      <c r="G3069">
        <v>61.51</v>
      </c>
      <c r="H3069" t="s">
        <v>15</v>
      </c>
      <c r="I3069" t="s">
        <v>47</v>
      </c>
      <c r="J3069" t="s">
        <v>23</v>
      </c>
    </row>
    <row r="3070" spans="1:10" x14ac:dyDescent="0.35">
      <c r="A3070" t="s">
        <v>3258</v>
      </c>
      <c r="B3070" s="10">
        <v>46219</v>
      </c>
      <c r="C3070" t="s">
        <v>28</v>
      </c>
      <c r="D3070" t="s">
        <v>29</v>
      </c>
      <c r="E3070" t="s">
        <v>30</v>
      </c>
      <c r="F3070" t="s">
        <v>14</v>
      </c>
      <c r="G3070">
        <v>11.67</v>
      </c>
      <c r="H3070" t="s">
        <v>98</v>
      </c>
      <c r="I3070" t="s">
        <v>47</v>
      </c>
      <c r="J3070" t="s">
        <v>31</v>
      </c>
    </row>
    <row r="3071" spans="1:10" x14ac:dyDescent="0.35">
      <c r="A3071" t="s">
        <v>3259</v>
      </c>
      <c r="B3071" s="10">
        <v>46219</v>
      </c>
      <c r="C3071" t="s">
        <v>1491</v>
      </c>
      <c r="D3071" t="s">
        <v>69</v>
      </c>
      <c r="E3071" t="s">
        <v>233</v>
      </c>
      <c r="F3071" t="s">
        <v>14</v>
      </c>
      <c r="G3071">
        <v>162.36000000000001</v>
      </c>
      <c r="H3071" t="s">
        <v>15</v>
      </c>
      <c r="I3071" t="s">
        <v>47</v>
      </c>
      <c r="J3071" t="s">
        <v>396</v>
      </c>
    </row>
    <row r="3072" spans="1:10" x14ac:dyDescent="0.35">
      <c r="A3072" t="s">
        <v>3260</v>
      </c>
      <c r="B3072" s="10">
        <v>46219</v>
      </c>
      <c r="C3072" t="s">
        <v>43</v>
      </c>
      <c r="D3072" t="s">
        <v>12</v>
      </c>
      <c r="E3072" t="s">
        <v>26</v>
      </c>
      <c r="F3072" t="s">
        <v>14</v>
      </c>
      <c r="G3072">
        <v>28.15</v>
      </c>
      <c r="H3072" t="s">
        <v>15</v>
      </c>
      <c r="I3072" t="s">
        <v>36</v>
      </c>
      <c r="J3072" t="s">
        <v>44</v>
      </c>
    </row>
    <row r="3073" spans="1:10" x14ac:dyDescent="0.35">
      <c r="A3073" t="s">
        <v>3261</v>
      </c>
      <c r="B3073" s="10">
        <v>46219</v>
      </c>
      <c r="C3073" t="s">
        <v>46</v>
      </c>
      <c r="D3073" t="s">
        <v>12</v>
      </c>
      <c r="E3073" t="s">
        <v>13</v>
      </c>
      <c r="F3073" t="s">
        <v>14</v>
      </c>
      <c r="G3073">
        <v>61.84</v>
      </c>
      <c r="H3073" t="s">
        <v>15</v>
      </c>
      <c r="I3073" t="s">
        <v>22</v>
      </c>
      <c r="J3073" t="s">
        <v>48</v>
      </c>
    </row>
    <row r="3074" spans="1:10" x14ac:dyDescent="0.35">
      <c r="A3074" t="s">
        <v>3262</v>
      </c>
      <c r="B3074" s="10">
        <v>46219</v>
      </c>
      <c r="C3074" t="s">
        <v>140</v>
      </c>
      <c r="D3074" t="s">
        <v>80</v>
      </c>
      <c r="E3074" t="s">
        <v>81</v>
      </c>
      <c r="F3074" t="s">
        <v>14</v>
      </c>
      <c r="G3074">
        <v>53.04</v>
      </c>
      <c r="H3074" t="s">
        <v>15</v>
      </c>
      <c r="I3074" t="s">
        <v>47</v>
      </c>
      <c r="J3074" t="s">
        <v>141</v>
      </c>
    </row>
    <row r="3075" spans="1:10" x14ac:dyDescent="0.35">
      <c r="A3075" t="s">
        <v>3263</v>
      </c>
      <c r="B3075" s="10">
        <v>46219</v>
      </c>
      <c r="C3075" t="s">
        <v>347</v>
      </c>
      <c r="D3075" t="s">
        <v>29</v>
      </c>
      <c r="E3075" t="s">
        <v>151</v>
      </c>
      <c r="F3075" t="s">
        <v>14</v>
      </c>
      <c r="G3075">
        <v>19.62</v>
      </c>
      <c r="H3075" t="s">
        <v>98</v>
      </c>
      <c r="I3075" t="s">
        <v>47</v>
      </c>
      <c r="J3075" t="s">
        <v>96</v>
      </c>
    </row>
    <row r="3076" spans="1:10" x14ac:dyDescent="0.35">
      <c r="A3076" t="s">
        <v>3264</v>
      </c>
      <c r="B3076" s="10">
        <v>46219</v>
      </c>
      <c r="C3076" t="s">
        <v>308</v>
      </c>
      <c r="D3076" t="s">
        <v>54</v>
      </c>
      <c r="E3076" t="s">
        <v>64</v>
      </c>
      <c r="F3076" t="s">
        <v>54</v>
      </c>
      <c r="G3076">
        <v>380.91</v>
      </c>
      <c r="H3076" t="s">
        <v>21</v>
      </c>
      <c r="I3076" t="s">
        <v>22</v>
      </c>
      <c r="J3076" t="s">
        <v>89</v>
      </c>
    </row>
    <row r="3077" spans="1:10" x14ac:dyDescent="0.35">
      <c r="A3077" t="s">
        <v>3265</v>
      </c>
      <c r="B3077" s="10">
        <v>46219</v>
      </c>
      <c r="C3077" t="s">
        <v>113</v>
      </c>
      <c r="D3077" t="s">
        <v>34</v>
      </c>
      <c r="E3077" t="s">
        <v>40</v>
      </c>
      <c r="F3077" t="s">
        <v>14</v>
      </c>
      <c r="G3077">
        <v>46.65</v>
      </c>
      <c r="H3077" t="s">
        <v>21</v>
      </c>
      <c r="I3077" t="s">
        <v>22</v>
      </c>
      <c r="J3077" t="s">
        <v>37</v>
      </c>
    </row>
    <row r="3078" spans="1:10" x14ac:dyDescent="0.35">
      <c r="A3078" t="s">
        <v>3266</v>
      </c>
      <c r="B3078" s="10">
        <v>46219</v>
      </c>
      <c r="C3078" t="s">
        <v>160</v>
      </c>
      <c r="D3078" t="s">
        <v>80</v>
      </c>
      <c r="E3078" t="s">
        <v>117</v>
      </c>
      <c r="F3078" t="s">
        <v>14</v>
      </c>
      <c r="G3078">
        <v>64.260000000000005</v>
      </c>
      <c r="H3078" t="s">
        <v>15</v>
      </c>
      <c r="I3078" t="s">
        <v>22</v>
      </c>
      <c r="J3078" t="s">
        <v>161</v>
      </c>
    </row>
    <row r="3079" spans="1:10" x14ac:dyDescent="0.35">
      <c r="A3079" t="s">
        <v>3267</v>
      </c>
      <c r="B3079" s="10">
        <v>46220</v>
      </c>
      <c r="C3079" t="s">
        <v>350</v>
      </c>
      <c r="D3079" t="s">
        <v>29</v>
      </c>
      <c r="E3079" t="s">
        <v>151</v>
      </c>
      <c r="F3079" t="s">
        <v>14</v>
      </c>
      <c r="G3079">
        <v>8.1999999999999993</v>
      </c>
      <c r="H3079" t="s">
        <v>15</v>
      </c>
      <c r="I3079" t="s">
        <v>47</v>
      </c>
      <c r="J3079" t="s">
        <v>158</v>
      </c>
    </row>
    <row r="3080" spans="1:10" x14ac:dyDescent="0.35">
      <c r="A3080" t="s">
        <v>3268</v>
      </c>
      <c r="B3080" s="10">
        <v>46220</v>
      </c>
      <c r="C3080" t="s">
        <v>33</v>
      </c>
      <c r="D3080" t="s">
        <v>34</v>
      </c>
      <c r="E3080" t="s">
        <v>35</v>
      </c>
      <c r="F3080" t="s">
        <v>14</v>
      </c>
      <c r="G3080">
        <v>109.23</v>
      </c>
      <c r="H3080" t="s">
        <v>21</v>
      </c>
      <c r="I3080" t="s">
        <v>36</v>
      </c>
      <c r="J3080" t="s">
        <v>37</v>
      </c>
    </row>
    <row r="3081" spans="1:10" x14ac:dyDescent="0.35">
      <c r="A3081" t="s">
        <v>3269</v>
      </c>
      <c r="B3081" s="10">
        <v>46220</v>
      </c>
      <c r="C3081" t="s">
        <v>308</v>
      </c>
      <c r="D3081" t="s">
        <v>54</v>
      </c>
      <c r="E3081" t="s">
        <v>64</v>
      </c>
      <c r="F3081" t="s">
        <v>54</v>
      </c>
      <c r="G3081">
        <v>404.03</v>
      </c>
      <c r="H3081" t="s">
        <v>15</v>
      </c>
      <c r="I3081" t="s">
        <v>22</v>
      </c>
      <c r="J3081" t="s">
        <v>89</v>
      </c>
    </row>
    <row r="3082" spans="1:10" x14ac:dyDescent="0.35">
      <c r="A3082" t="s">
        <v>3270</v>
      </c>
      <c r="B3082" s="10">
        <v>46220</v>
      </c>
      <c r="C3082" t="s">
        <v>168</v>
      </c>
      <c r="D3082" t="s">
        <v>59</v>
      </c>
      <c r="E3082" t="s">
        <v>60</v>
      </c>
      <c r="F3082" t="s">
        <v>14</v>
      </c>
      <c r="G3082">
        <v>284.67</v>
      </c>
      <c r="H3082" t="s">
        <v>21</v>
      </c>
      <c r="I3082" t="s">
        <v>16</v>
      </c>
      <c r="J3082" t="s">
        <v>170</v>
      </c>
    </row>
    <row r="3083" spans="1:10" x14ac:dyDescent="0.35">
      <c r="A3083" t="s">
        <v>3271</v>
      </c>
      <c r="B3083" s="10">
        <v>46220</v>
      </c>
      <c r="C3083" t="s">
        <v>415</v>
      </c>
      <c r="D3083" t="s">
        <v>12</v>
      </c>
      <c r="E3083" t="s">
        <v>51</v>
      </c>
      <c r="F3083" t="s">
        <v>14</v>
      </c>
      <c r="G3083">
        <v>110.22</v>
      </c>
      <c r="H3083" t="s">
        <v>15</v>
      </c>
      <c r="I3083" t="s">
        <v>47</v>
      </c>
      <c r="J3083" t="s">
        <v>77</v>
      </c>
    </row>
    <row r="3084" spans="1:10" x14ac:dyDescent="0.35">
      <c r="A3084" t="s">
        <v>3272</v>
      </c>
      <c r="B3084" s="10">
        <v>46221</v>
      </c>
      <c r="C3084" t="s">
        <v>88</v>
      </c>
      <c r="D3084" t="s">
        <v>54</v>
      </c>
      <c r="E3084" t="s">
        <v>74</v>
      </c>
      <c r="F3084" t="s">
        <v>54</v>
      </c>
      <c r="G3084">
        <v>2342.17</v>
      </c>
      <c r="H3084" t="s">
        <v>15</v>
      </c>
      <c r="I3084" t="s">
        <v>22</v>
      </c>
      <c r="J3084" t="s">
        <v>89</v>
      </c>
    </row>
    <row r="3085" spans="1:10" x14ac:dyDescent="0.35">
      <c r="A3085" t="s">
        <v>3273</v>
      </c>
      <c r="B3085" s="10">
        <v>46221</v>
      </c>
      <c r="C3085" t="s">
        <v>256</v>
      </c>
      <c r="D3085" t="s">
        <v>34</v>
      </c>
      <c r="E3085" t="s">
        <v>40</v>
      </c>
      <c r="F3085" t="s">
        <v>14</v>
      </c>
      <c r="G3085">
        <v>214.92</v>
      </c>
      <c r="H3085" t="s">
        <v>15</v>
      </c>
      <c r="I3085" t="s">
        <v>36</v>
      </c>
      <c r="J3085" t="s">
        <v>239</v>
      </c>
    </row>
    <row r="3086" spans="1:10" x14ac:dyDescent="0.35">
      <c r="A3086" t="s">
        <v>3274</v>
      </c>
      <c r="B3086" s="10">
        <v>46221</v>
      </c>
      <c r="C3086" t="s">
        <v>19</v>
      </c>
      <c r="D3086" t="s">
        <v>12</v>
      </c>
      <c r="E3086" t="s">
        <v>13</v>
      </c>
      <c r="F3086" t="s">
        <v>14</v>
      </c>
      <c r="G3086">
        <v>53.11</v>
      </c>
      <c r="H3086" t="s">
        <v>21</v>
      </c>
      <c r="I3086" t="s">
        <v>16</v>
      </c>
      <c r="J3086" t="s">
        <v>23</v>
      </c>
    </row>
    <row r="3087" spans="1:10" x14ac:dyDescent="0.35">
      <c r="A3087" t="s">
        <v>3275</v>
      </c>
      <c r="B3087" s="10">
        <v>46222</v>
      </c>
      <c r="C3087" t="s">
        <v>53</v>
      </c>
      <c r="D3087" t="s">
        <v>54</v>
      </c>
      <c r="E3087" t="s">
        <v>55</v>
      </c>
      <c r="F3087" t="s">
        <v>54</v>
      </c>
      <c r="G3087">
        <v>752.71</v>
      </c>
      <c r="H3087" t="s">
        <v>21</v>
      </c>
      <c r="I3087" t="s">
        <v>22</v>
      </c>
      <c r="J3087" t="s">
        <v>56</v>
      </c>
    </row>
    <row r="3088" spans="1:10" x14ac:dyDescent="0.35">
      <c r="A3088" t="s">
        <v>3276</v>
      </c>
      <c r="B3088" s="10">
        <v>46222</v>
      </c>
      <c r="C3088" t="s">
        <v>210</v>
      </c>
      <c r="D3088" t="s">
        <v>59</v>
      </c>
      <c r="E3088" t="s">
        <v>185</v>
      </c>
      <c r="F3088" t="s">
        <v>14</v>
      </c>
      <c r="G3088">
        <v>516</v>
      </c>
      <c r="H3088" t="s">
        <v>15</v>
      </c>
      <c r="I3088" t="s">
        <v>22</v>
      </c>
      <c r="J3088" t="s">
        <v>211</v>
      </c>
    </row>
    <row r="3089" spans="1:10" x14ac:dyDescent="0.35">
      <c r="A3089" t="s">
        <v>3277</v>
      </c>
      <c r="B3089" s="10">
        <v>46222</v>
      </c>
      <c r="C3089" t="s">
        <v>53</v>
      </c>
      <c r="D3089" t="s">
        <v>54</v>
      </c>
      <c r="E3089" t="s">
        <v>55</v>
      </c>
      <c r="F3089" t="s">
        <v>54</v>
      </c>
      <c r="G3089">
        <v>626.11</v>
      </c>
      <c r="H3089" t="s">
        <v>15</v>
      </c>
      <c r="I3089" t="s">
        <v>47</v>
      </c>
      <c r="J3089" t="s">
        <v>56</v>
      </c>
    </row>
    <row r="3090" spans="1:10" x14ac:dyDescent="0.35">
      <c r="A3090" t="s">
        <v>3278</v>
      </c>
      <c r="B3090" s="10">
        <v>46223</v>
      </c>
      <c r="C3090" t="s">
        <v>220</v>
      </c>
      <c r="D3090" t="s">
        <v>59</v>
      </c>
      <c r="E3090" t="s">
        <v>199</v>
      </c>
      <c r="F3090" t="s">
        <v>14</v>
      </c>
      <c r="G3090">
        <v>211.06</v>
      </c>
      <c r="H3090" t="s">
        <v>21</v>
      </c>
      <c r="I3090" t="s">
        <v>16</v>
      </c>
      <c r="J3090" t="s">
        <v>211</v>
      </c>
    </row>
    <row r="3091" spans="1:10" x14ac:dyDescent="0.35">
      <c r="A3091" t="s">
        <v>3279</v>
      </c>
      <c r="B3091" s="10">
        <v>46224</v>
      </c>
      <c r="C3091" t="s">
        <v>88</v>
      </c>
      <c r="D3091" t="s">
        <v>54</v>
      </c>
      <c r="E3091" t="s">
        <v>74</v>
      </c>
      <c r="F3091" t="s">
        <v>54</v>
      </c>
      <c r="G3091">
        <v>2225.73</v>
      </c>
      <c r="H3091" t="s">
        <v>15</v>
      </c>
      <c r="I3091" t="s">
        <v>22</v>
      </c>
      <c r="J3091" t="s">
        <v>89</v>
      </c>
    </row>
    <row r="3092" spans="1:10" x14ac:dyDescent="0.35">
      <c r="A3092" t="s">
        <v>3280</v>
      </c>
      <c r="B3092" s="10">
        <v>46224</v>
      </c>
      <c r="C3092" t="s">
        <v>125</v>
      </c>
      <c r="D3092" t="s">
        <v>12</v>
      </c>
      <c r="E3092" t="s">
        <v>13</v>
      </c>
      <c r="F3092" t="s">
        <v>14</v>
      </c>
      <c r="G3092">
        <v>27.73</v>
      </c>
      <c r="H3092" t="s">
        <v>15</v>
      </c>
      <c r="I3092" t="s">
        <v>36</v>
      </c>
      <c r="J3092" t="s">
        <v>44</v>
      </c>
    </row>
    <row r="3093" spans="1:10" x14ac:dyDescent="0.35">
      <c r="A3093" t="s">
        <v>3281</v>
      </c>
      <c r="B3093" s="10">
        <v>46224</v>
      </c>
      <c r="C3093" t="s">
        <v>143</v>
      </c>
      <c r="D3093" t="s">
        <v>54</v>
      </c>
      <c r="E3093" t="s">
        <v>55</v>
      </c>
      <c r="F3093" t="s">
        <v>54</v>
      </c>
      <c r="G3093">
        <v>595.96</v>
      </c>
      <c r="H3093" t="s">
        <v>15</v>
      </c>
      <c r="I3093" t="s">
        <v>22</v>
      </c>
      <c r="J3093" t="s">
        <v>89</v>
      </c>
    </row>
    <row r="3094" spans="1:10" x14ac:dyDescent="0.35">
      <c r="A3094" t="s">
        <v>3282</v>
      </c>
      <c r="B3094" s="10">
        <v>46224</v>
      </c>
      <c r="C3094" t="s">
        <v>177</v>
      </c>
      <c r="D3094" t="s">
        <v>54</v>
      </c>
      <c r="E3094" t="s">
        <v>74</v>
      </c>
      <c r="F3094" t="s">
        <v>54</v>
      </c>
      <c r="G3094">
        <v>2737.54</v>
      </c>
      <c r="H3094" t="s">
        <v>15</v>
      </c>
      <c r="I3094" t="s">
        <v>22</v>
      </c>
      <c r="J3094" t="s">
        <v>56</v>
      </c>
    </row>
    <row r="3095" spans="1:10" x14ac:dyDescent="0.35">
      <c r="A3095" t="s">
        <v>3283</v>
      </c>
      <c r="B3095" s="10">
        <v>46224</v>
      </c>
      <c r="C3095" t="s">
        <v>259</v>
      </c>
      <c r="D3095" t="s">
        <v>59</v>
      </c>
      <c r="E3095" t="s">
        <v>199</v>
      </c>
      <c r="F3095" t="s">
        <v>14</v>
      </c>
      <c r="G3095">
        <v>134.56</v>
      </c>
      <c r="H3095" t="s">
        <v>15</v>
      </c>
      <c r="I3095" t="s">
        <v>22</v>
      </c>
      <c r="J3095" t="s">
        <v>170</v>
      </c>
    </row>
    <row r="3096" spans="1:10" x14ac:dyDescent="0.35">
      <c r="A3096" t="s">
        <v>3284</v>
      </c>
      <c r="B3096" s="10">
        <v>46225</v>
      </c>
      <c r="C3096" t="s">
        <v>73</v>
      </c>
      <c r="D3096" t="s">
        <v>54</v>
      </c>
      <c r="E3096" t="s">
        <v>74</v>
      </c>
      <c r="F3096" t="s">
        <v>54</v>
      </c>
      <c r="G3096">
        <v>2208.67</v>
      </c>
      <c r="H3096" t="s">
        <v>15</v>
      </c>
      <c r="I3096" t="s">
        <v>47</v>
      </c>
      <c r="J3096" t="s">
        <v>65</v>
      </c>
    </row>
    <row r="3097" spans="1:10" x14ac:dyDescent="0.35">
      <c r="A3097" t="s">
        <v>3285</v>
      </c>
      <c r="B3097" s="10">
        <v>46225</v>
      </c>
      <c r="C3097" t="s">
        <v>43</v>
      </c>
      <c r="D3097" t="s">
        <v>12</v>
      </c>
      <c r="E3097" t="s">
        <v>26</v>
      </c>
      <c r="F3097" t="s">
        <v>14</v>
      </c>
      <c r="G3097">
        <v>127.16</v>
      </c>
      <c r="H3097" t="s">
        <v>21</v>
      </c>
      <c r="I3097" t="s">
        <v>47</v>
      </c>
      <c r="J3097" t="s">
        <v>44</v>
      </c>
    </row>
    <row r="3098" spans="1:10" x14ac:dyDescent="0.35">
      <c r="A3098" t="s">
        <v>3286</v>
      </c>
      <c r="B3098" s="10">
        <v>46225</v>
      </c>
      <c r="C3098" t="s">
        <v>194</v>
      </c>
      <c r="D3098" t="s">
        <v>101</v>
      </c>
      <c r="E3098" t="s">
        <v>136</v>
      </c>
      <c r="F3098" t="s">
        <v>14</v>
      </c>
      <c r="G3098">
        <v>143.08000000000001</v>
      </c>
      <c r="H3098" t="s">
        <v>21</v>
      </c>
      <c r="I3098" t="s">
        <v>22</v>
      </c>
      <c r="J3098" t="s">
        <v>103</v>
      </c>
    </row>
    <row r="3099" spans="1:10" x14ac:dyDescent="0.35">
      <c r="A3099" t="s">
        <v>3287</v>
      </c>
      <c r="B3099" s="10">
        <v>46225</v>
      </c>
      <c r="C3099" t="s">
        <v>238</v>
      </c>
      <c r="D3099" t="s">
        <v>34</v>
      </c>
      <c r="E3099" t="s">
        <v>35</v>
      </c>
      <c r="F3099" t="s">
        <v>14</v>
      </c>
      <c r="G3099">
        <v>120.08</v>
      </c>
      <c r="H3099" t="s">
        <v>21</v>
      </c>
      <c r="I3099" t="s">
        <v>36</v>
      </c>
      <c r="J3099" t="s">
        <v>239</v>
      </c>
    </row>
    <row r="3100" spans="1:10" x14ac:dyDescent="0.35">
      <c r="A3100" t="s">
        <v>3288</v>
      </c>
      <c r="B3100" s="10">
        <v>46225</v>
      </c>
      <c r="C3100" t="s">
        <v>63</v>
      </c>
      <c r="D3100" t="s">
        <v>54</v>
      </c>
      <c r="E3100" t="s">
        <v>64</v>
      </c>
      <c r="F3100" t="s">
        <v>54</v>
      </c>
      <c r="G3100">
        <v>350.1</v>
      </c>
      <c r="H3100" t="s">
        <v>15</v>
      </c>
      <c r="I3100" t="s">
        <v>36</v>
      </c>
      <c r="J3100" t="s">
        <v>65</v>
      </c>
    </row>
    <row r="3101" spans="1:10" x14ac:dyDescent="0.35">
      <c r="A3101" t="s">
        <v>3289</v>
      </c>
      <c r="B3101" s="10">
        <v>46226</v>
      </c>
      <c r="C3101" t="s">
        <v>172</v>
      </c>
      <c r="D3101" t="s">
        <v>101</v>
      </c>
      <c r="E3101" t="s">
        <v>102</v>
      </c>
      <c r="F3101" t="s">
        <v>14</v>
      </c>
      <c r="G3101">
        <v>47.05</v>
      </c>
      <c r="H3101" t="s">
        <v>21</v>
      </c>
      <c r="I3101" t="s">
        <v>22</v>
      </c>
      <c r="J3101" t="s">
        <v>102</v>
      </c>
    </row>
    <row r="3102" spans="1:10" x14ac:dyDescent="0.35">
      <c r="A3102" t="s">
        <v>3290</v>
      </c>
      <c r="B3102" s="10">
        <v>46226</v>
      </c>
      <c r="C3102" t="s">
        <v>63</v>
      </c>
      <c r="D3102" t="s">
        <v>54</v>
      </c>
      <c r="E3102" t="s">
        <v>64</v>
      </c>
      <c r="F3102" t="s">
        <v>54</v>
      </c>
      <c r="G3102">
        <v>309.63</v>
      </c>
      <c r="H3102" t="s">
        <v>21</v>
      </c>
      <c r="I3102" t="s">
        <v>47</v>
      </c>
      <c r="J3102" t="s">
        <v>65</v>
      </c>
    </row>
    <row r="3103" spans="1:10" x14ac:dyDescent="0.35">
      <c r="A3103" t="s">
        <v>3292</v>
      </c>
      <c r="B3103" s="10">
        <v>46226</v>
      </c>
      <c r="C3103" t="s">
        <v>229</v>
      </c>
      <c r="D3103" t="s">
        <v>54</v>
      </c>
      <c r="E3103" t="s">
        <v>64</v>
      </c>
      <c r="F3103" t="s">
        <v>54</v>
      </c>
      <c r="G3103">
        <v>388.82</v>
      </c>
      <c r="H3103" t="s">
        <v>15</v>
      </c>
      <c r="I3103" t="s">
        <v>22</v>
      </c>
      <c r="J3103" t="s">
        <v>56</v>
      </c>
    </row>
    <row r="3104" spans="1:10" x14ac:dyDescent="0.35">
      <c r="A3104" t="s">
        <v>3293</v>
      </c>
      <c r="B3104" s="10">
        <v>46227</v>
      </c>
      <c r="C3104" t="s">
        <v>177</v>
      </c>
      <c r="D3104" t="s">
        <v>54</v>
      </c>
      <c r="E3104" t="s">
        <v>74</v>
      </c>
      <c r="F3104" t="s">
        <v>54</v>
      </c>
      <c r="G3104">
        <v>2938.99</v>
      </c>
      <c r="H3104" t="s">
        <v>21</v>
      </c>
      <c r="I3104" t="s">
        <v>16</v>
      </c>
      <c r="J3104" t="s">
        <v>56</v>
      </c>
    </row>
    <row r="3105" spans="1:10" x14ac:dyDescent="0.35">
      <c r="A3105" t="s">
        <v>3294</v>
      </c>
      <c r="B3105" s="10">
        <v>46227</v>
      </c>
      <c r="C3105" t="s">
        <v>464</v>
      </c>
      <c r="D3105" t="s">
        <v>34</v>
      </c>
      <c r="E3105" t="s">
        <v>122</v>
      </c>
      <c r="F3105" t="s">
        <v>14</v>
      </c>
      <c r="G3105">
        <v>296.94</v>
      </c>
      <c r="H3105" t="s">
        <v>15</v>
      </c>
      <c r="I3105" t="s">
        <v>22</v>
      </c>
      <c r="J3105" t="s">
        <v>239</v>
      </c>
    </row>
    <row r="3106" spans="1:10" x14ac:dyDescent="0.35">
      <c r="A3106" t="s">
        <v>3295</v>
      </c>
      <c r="B3106" s="10">
        <v>46227</v>
      </c>
      <c r="C3106" t="s">
        <v>198</v>
      </c>
      <c r="D3106" t="s">
        <v>59</v>
      </c>
      <c r="E3106" t="s">
        <v>199</v>
      </c>
      <c r="F3106" t="s">
        <v>14</v>
      </c>
      <c r="G3106">
        <v>189.37</v>
      </c>
      <c r="H3106" t="s">
        <v>21</v>
      </c>
      <c r="I3106" t="s">
        <v>47</v>
      </c>
      <c r="J3106" t="s">
        <v>61</v>
      </c>
    </row>
    <row r="3107" spans="1:10" x14ac:dyDescent="0.35">
      <c r="A3107" t="s">
        <v>3296</v>
      </c>
      <c r="B3107" s="10">
        <v>46227</v>
      </c>
      <c r="C3107" t="s">
        <v>262</v>
      </c>
      <c r="D3107" t="s">
        <v>101</v>
      </c>
      <c r="E3107" t="s">
        <v>244</v>
      </c>
      <c r="F3107" t="s">
        <v>14</v>
      </c>
      <c r="G3107">
        <v>37.93</v>
      </c>
      <c r="H3107" t="s">
        <v>15</v>
      </c>
      <c r="I3107" t="s">
        <v>36</v>
      </c>
      <c r="J3107" t="s">
        <v>136</v>
      </c>
    </row>
    <row r="3108" spans="1:10" x14ac:dyDescent="0.35">
      <c r="A3108" t="s">
        <v>3297</v>
      </c>
      <c r="B3108" s="10">
        <v>46227</v>
      </c>
      <c r="C3108" t="s">
        <v>53</v>
      </c>
      <c r="D3108" t="s">
        <v>54</v>
      </c>
      <c r="E3108" t="s">
        <v>55</v>
      </c>
      <c r="F3108" t="s">
        <v>54</v>
      </c>
      <c r="G3108">
        <v>765.65</v>
      </c>
      <c r="H3108" t="s">
        <v>21</v>
      </c>
      <c r="I3108" t="s">
        <v>22</v>
      </c>
      <c r="J3108" t="s">
        <v>56</v>
      </c>
    </row>
    <row r="3109" spans="1:10" x14ac:dyDescent="0.35">
      <c r="A3109" t="s">
        <v>3298</v>
      </c>
      <c r="B3109" s="10">
        <v>46228</v>
      </c>
      <c r="C3109" t="s">
        <v>33</v>
      </c>
      <c r="D3109" t="s">
        <v>34</v>
      </c>
      <c r="E3109" t="s">
        <v>35</v>
      </c>
      <c r="F3109" t="s">
        <v>14</v>
      </c>
      <c r="G3109">
        <v>408.78</v>
      </c>
      <c r="H3109" t="s">
        <v>15</v>
      </c>
      <c r="I3109" t="s">
        <v>22</v>
      </c>
      <c r="J3109" t="s">
        <v>37</v>
      </c>
    </row>
    <row r="3110" spans="1:10" x14ac:dyDescent="0.35">
      <c r="A3110" t="s">
        <v>3299</v>
      </c>
      <c r="B3110" s="10">
        <v>46228</v>
      </c>
      <c r="C3110" t="s">
        <v>121</v>
      </c>
      <c r="D3110" t="s">
        <v>34</v>
      </c>
      <c r="E3110" t="s">
        <v>122</v>
      </c>
      <c r="F3110" t="s">
        <v>14</v>
      </c>
      <c r="G3110">
        <v>121.99</v>
      </c>
      <c r="H3110" t="s">
        <v>15</v>
      </c>
      <c r="I3110" t="s">
        <v>47</v>
      </c>
      <c r="J3110" t="s">
        <v>123</v>
      </c>
    </row>
    <row r="3111" spans="1:10" x14ac:dyDescent="0.35">
      <c r="A3111" t="s">
        <v>3300</v>
      </c>
      <c r="B3111" s="10">
        <v>46228</v>
      </c>
      <c r="C3111" t="s">
        <v>121</v>
      </c>
      <c r="D3111" t="s">
        <v>34</v>
      </c>
      <c r="E3111" t="s">
        <v>122</v>
      </c>
      <c r="F3111" t="s">
        <v>14</v>
      </c>
      <c r="G3111">
        <v>126.18</v>
      </c>
      <c r="H3111" t="s">
        <v>15</v>
      </c>
      <c r="I3111" t="s">
        <v>36</v>
      </c>
      <c r="J3111" t="s">
        <v>123</v>
      </c>
    </row>
    <row r="3112" spans="1:10" x14ac:dyDescent="0.35">
      <c r="A3112" t="s">
        <v>3301</v>
      </c>
      <c r="B3112" s="10">
        <v>46228</v>
      </c>
      <c r="C3112" t="s">
        <v>121</v>
      </c>
      <c r="D3112" t="s">
        <v>34</v>
      </c>
      <c r="E3112" t="s">
        <v>122</v>
      </c>
      <c r="F3112" t="s">
        <v>14</v>
      </c>
      <c r="G3112">
        <v>84.15</v>
      </c>
      <c r="H3112" t="s">
        <v>15</v>
      </c>
      <c r="I3112" t="s">
        <v>22</v>
      </c>
      <c r="J3112" t="s">
        <v>123</v>
      </c>
    </row>
    <row r="3113" spans="1:10" x14ac:dyDescent="0.35">
      <c r="A3113" t="s">
        <v>3302</v>
      </c>
      <c r="B3113" s="10">
        <v>46228</v>
      </c>
      <c r="C3113" t="s">
        <v>253</v>
      </c>
      <c r="D3113" t="s">
        <v>29</v>
      </c>
      <c r="E3113" t="s">
        <v>30</v>
      </c>
      <c r="F3113" t="s">
        <v>14</v>
      </c>
      <c r="G3113">
        <v>20.45</v>
      </c>
      <c r="H3113" t="s">
        <v>15</v>
      </c>
      <c r="I3113" t="s">
        <v>22</v>
      </c>
      <c r="J3113" t="s">
        <v>158</v>
      </c>
    </row>
    <row r="3114" spans="1:10" x14ac:dyDescent="0.35">
      <c r="A3114" t="s">
        <v>3303</v>
      </c>
      <c r="B3114" s="10">
        <v>46228</v>
      </c>
      <c r="C3114" t="s">
        <v>163</v>
      </c>
      <c r="D3114" t="s">
        <v>80</v>
      </c>
      <c r="E3114" t="s">
        <v>92</v>
      </c>
      <c r="F3114" t="s">
        <v>14</v>
      </c>
      <c r="G3114">
        <v>25.68</v>
      </c>
      <c r="H3114" t="s">
        <v>15</v>
      </c>
      <c r="I3114" t="s">
        <v>47</v>
      </c>
      <c r="J3114" t="s">
        <v>118</v>
      </c>
    </row>
    <row r="3115" spans="1:10" x14ac:dyDescent="0.35">
      <c r="A3115" t="s">
        <v>3304</v>
      </c>
      <c r="B3115" s="10">
        <v>46228</v>
      </c>
      <c r="C3115" t="s">
        <v>267</v>
      </c>
      <c r="D3115" t="s">
        <v>29</v>
      </c>
      <c r="E3115" t="s">
        <v>30</v>
      </c>
      <c r="F3115" t="s">
        <v>14</v>
      </c>
      <c r="G3115">
        <v>12.95</v>
      </c>
      <c r="H3115" t="s">
        <v>15</v>
      </c>
      <c r="I3115" t="s">
        <v>22</v>
      </c>
      <c r="J3115" t="s">
        <v>96</v>
      </c>
    </row>
    <row r="3116" spans="1:10" x14ac:dyDescent="0.35">
      <c r="A3116" t="s">
        <v>3305</v>
      </c>
      <c r="B3116" s="10">
        <v>46229</v>
      </c>
      <c r="C3116" t="s">
        <v>580</v>
      </c>
      <c r="D3116" t="s">
        <v>80</v>
      </c>
      <c r="E3116" t="s">
        <v>81</v>
      </c>
      <c r="F3116" t="s">
        <v>14</v>
      </c>
      <c r="G3116">
        <v>34.799999999999997</v>
      </c>
      <c r="H3116" t="s">
        <v>15</v>
      </c>
      <c r="I3116" t="s">
        <v>36</v>
      </c>
      <c r="J3116" t="s">
        <v>118</v>
      </c>
    </row>
    <row r="3117" spans="1:10" x14ac:dyDescent="0.35">
      <c r="A3117" t="s">
        <v>3306</v>
      </c>
      <c r="B3117" s="10">
        <v>46229</v>
      </c>
      <c r="C3117" t="s">
        <v>58</v>
      </c>
      <c r="D3117" t="s">
        <v>59</v>
      </c>
      <c r="E3117" t="s">
        <v>60</v>
      </c>
      <c r="F3117" t="s">
        <v>14</v>
      </c>
      <c r="G3117">
        <v>238.37</v>
      </c>
      <c r="H3117" t="s">
        <v>21</v>
      </c>
      <c r="I3117" t="s">
        <v>36</v>
      </c>
      <c r="J3117" t="s">
        <v>61</v>
      </c>
    </row>
    <row r="3118" spans="1:10" x14ac:dyDescent="0.35">
      <c r="A3118" t="s">
        <v>3307</v>
      </c>
      <c r="B3118" s="10">
        <v>46229</v>
      </c>
      <c r="C3118" t="s">
        <v>88</v>
      </c>
      <c r="D3118" t="s">
        <v>54</v>
      </c>
      <c r="E3118" t="s">
        <v>74</v>
      </c>
      <c r="F3118" t="s">
        <v>54</v>
      </c>
      <c r="G3118">
        <v>2519.48</v>
      </c>
      <c r="H3118" t="s">
        <v>21</v>
      </c>
      <c r="I3118" t="s">
        <v>47</v>
      </c>
      <c r="J3118" t="s">
        <v>89</v>
      </c>
    </row>
    <row r="3119" spans="1:10" x14ac:dyDescent="0.35">
      <c r="A3119" t="s">
        <v>3308</v>
      </c>
      <c r="B3119" s="10">
        <v>46229</v>
      </c>
      <c r="C3119" t="s">
        <v>198</v>
      </c>
      <c r="D3119" t="s">
        <v>59</v>
      </c>
      <c r="E3119" t="s">
        <v>199</v>
      </c>
      <c r="F3119" t="s">
        <v>14</v>
      </c>
      <c r="G3119">
        <v>578.4</v>
      </c>
      <c r="H3119" t="s">
        <v>15</v>
      </c>
      <c r="I3119" t="s">
        <v>22</v>
      </c>
      <c r="J3119" t="s">
        <v>61</v>
      </c>
    </row>
    <row r="3120" spans="1:10" x14ac:dyDescent="0.35">
      <c r="A3120" t="s">
        <v>3309</v>
      </c>
      <c r="B3120" s="10">
        <v>46229</v>
      </c>
      <c r="C3120" t="s">
        <v>125</v>
      </c>
      <c r="D3120" t="s">
        <v>12</v>
      </c>
      <c r="E3120" t="s">
        <v>13</v>
      </c>
      <c r="F3120" t="s">
        <v>14</v>
      </c>
      <c r="G3120">
        <v>38.229999999999997</v>
      </c>
      <c r="H3120" t="s">
        <v>15</v>
      </c>
      <c r="I3120" t="s">
        <v>47</v>
      </c>
      <c r="J3120" t="s">
        <v>44</v>
      </c>
    </row>
    <row r="3121" spans="1:10" x14ac:dyDescent="0.35">
      <c r="A3121" t="s">
        <v>3310</v>
      </c>
      <c r="B3121" s="10">
        <v>46230</v>
      </c>
      <c r="C3121" t="s">
        <v>215</v>
      </c>
      <c r="D3121" t="s">
        <v>80</v>
      </c>
      <c r="E3121" t="s">
        <v>117</v>
      </c>
      <c r="F3121" t="s">
        <v>14</v>
      </c>
      <c r="G3121">
        <v>46.53</v>
      </c>
      <c r="H3121" t="s">
        <v>15</v>
      </c>
      <c r="I3121" t="s">
        <v>36</v>
      </c>
      <c r="J3121" t="s">
        <v>141</v>
      </c>
    </row>
    <row r="3122" spans="1:10" x14ac:dyDescent="0.35">
      <c r="A3122" t="s">
        <v>3311</v>
      </c>
      <c r="B3122" s="10">
        <v>46230</v>
      </c>
      <c r="C3122" t="s">
        <v>153</v>
      </c>
      <c r="D3122" t="s">
        <v>34</v>
      </c>
      <c r="E3122" t="s">
        <v>122</v>
      </c>
      <c r="F3122" t="s">
        <v>14</v>
      </c>
      <c r="G3122">
        <v>124.94</v>
      </c>
      <c r="H3122" t="s">
        <v>15</v>
      </c>
      <c r="I3122" t="s">
        <v>16</v>
      </c>
      <c r="J3122" t="s">
        <v>41</v>
      </c>
    </row>
    <row r="3123" spans="1:10" x14ac:dyDescent="0.35">
      <c r="A3123" t="s">
        <v>3312</v>
      </c>
      <c r="B3123" s="10">
        <v>46230</v>
      </c>
      <c r="C3123" t="s">
        <v>39</v>
      </c>
      <c r="D3123" t="s">
        <v>34</v>
      </c>
      <c r="E3123" t="s">
        <v>40</v>
      </c>
      <c r="F3123" t="s">
        <v>14</v>
      </c>
      <c r="G3123">
        <v>189.38</v>
      </c>
      <c r="H3123" t="s">
        <v>15</v>
      </c>
      <c r="I3123" t="s">
        <v>47</v>
      </c>
      <c r="J3123" t="s">
        <v>41</v>
      </c>
    </row>
    <row r="3124" spans="1:10" x14ac:dyDescent="0.35">
      <c r="A3124" t="s">
        <v>3313</v>
      </c>
      <c r="B3124" s="10">
        <v>46230</v>
      </c>
      <c r="C3124" t="s">
        <v>50</v>
      </c>
      <c r="D3124" t="s">
        <v>12</v>
      </c>
      <c r="E3124" t="s">
        <v>51</v>
      </c>
      <c r="F3124" t="s">
        <v>14</v>
      </c>
      <c r="G3124">
        <v>16.88</v>
      </c>
      <c r="H3124" t="s">
        <v>98</v>
      </c>
      <c r="I3124" t="s">
        <v>36</v>
      </c>
      <c r="J3124" t="s">
        <v>44</v>
      </c>
    </row>
    <row r="3125" spans="1:10" x14ac:dyDescent="0.35">
      <c r="A3125" t="s">
        <v>3314</v>
      </c>
      <c r="B3125" s="10">
        <v>46230</v>
      </c>
      <c r="C3125" t="s">
        <v>734</v>
      </c>
      <c r="D3125" t="s">
        <v>69</v>
      </c>
      <c r="E3125" t="s">
        <v>291</v>
      </c>
      <c r="F3125" t="s">
        <v>14</v>
      </c>
      <c r="G3125">
        <v>468.83</v>
      </c>
      <c r="H3125" t="s">
        <v>15</v>
      </c>
      <c r="I3125" t="s">
        <v>36</v>
      </c>
      <c r="J3125" t="s">
        <v>71</v>
      </c>
    </row>
    <row r="3126" spans="1:10" x14ac:dyDescent="0.35">
      <c r="A3126" t="s">
        <v>3315</v>
      </c>
      <c r="B3126" s="10">
        <v>46230</v>
      </c>
      <c r="C3126" t="s">
        <v>350</v>
      </c>
      <c r="D3126" t="s">
        <v>29</v>
      </c>
      <c r="E3126" t="s">
        <v>151</v>
      </c>
      <c r="F3126" t="s">
        <v>14</v>
      </c>
      <c r="G3126">
        <v>19.600000000000001</v>
      </c>
      <c r="H3126" t="s">
        <v>98</v>
      </c>
      <c r="I3126" t="s">
        <v>16</v>
      </c>
      <c r="J3126" t="s">
        <v>158</v>
      </c>
    </row>
    <row r="3127" spans="1:10" x14ac:dyDescent="0.35">
      <c r="A3127" t="s">
        <v>3316</v>
      </c>
      <c r="B3127" s="10">
        <v>46230</v>
      </c>
      <c r="C3127" t="s">
        <v>210</v>
      </c>
      <c r="D3127" t="s">
        <v>59</v>
      </c>
      <c r="E3127" t="s">
        <v>185</v>
      </c>
      <c r="F3127" t="s">
        <v>14</v>
      </c>
      <c r="G3127">
        <v>84.54</v>
      </c>
      <c r="H3127" t="s">
        <v>21</v>
      </c>
      <c r="I3127" t="s">
        <v>36</v>
      </c>
      <c r="J3127" t="s">
        <v>211</v>
      </c>
    </row>
    <row r="3128" spans="1:10" x14ac:dyDescent="0.35">
      <c r="A3128" t="s">
        <v>3317</v>
      </c>
      <c r="B3128" s="10">
        <v>46230</v>
      </c>
      <c r="C3128" t="s">
        <v>88</v>
      </c>
      <c r="D3128" t="s">
        <v>54</v>
      </c>
      <c r="E3128" t="s">
        <v>74</v>
      </c>
      <c r="F3128" t="s">
        <v>54</v>
      </c>
      <c r="G3128">
        <v>2314.67</v>
      </c>
      <c r="H3128" t="s">
        <v>15</v>
      </c>
      <c r="I3128" t="s">
        <v>16</v>
      </c>
      <c r="J3128" t="s">
        <v>89</v>
      </c>
    </row>
    <row r="3129" spans="1:10" x14ac:dyDescent="0.35">
      <c r="A3129" t="s">
        <v>3318</v>
      </c>
      <c r="B3129" s="10">
        <v>46231</v>
      </c>
      <c r="C3129" t="s">
        <v>824</v>
      </c>
      <c r="D3129" t="s">
        <v>69</v>
      </c>
      <c r="E3129" t="s">
        <v>233</v>
      </c>
      <c r="F3129" t="s">
        <v>14</v>
      </c>
      <c r="G3129">
        <v>790.94</v>
      </c>
      <c r="H3129" t="s">
        <v>15</v>
      </c>
      <c r="I3129" t="s">
        <v>22</v>
      </c>
      <c r="J3129" t="s">
        <v>133</v>
      </c>
    </row>
    <row r="3130" spans="1:10" x14ac:dyDescent="0.35">
      <c r="A3130" t="s">
        <v>3319</v>
      </c>
      <c r="B3130" s="10">
        <v>46231</v>
      </c>
      <c r="C3130" t="s">
        <v>153</v>
      </c>
      <c r="D3130" t="s">
        <v>34</v>
      </c>
      <c r="E3130" t="s">
        <v>122</v>
      </c>
      <c r="F3130" t="s">
        <v>14</v>
      </c>
      <c r="G3130">
        <v>121.52</v>
      </c>
      <c r="H3130" t="s">
        <v>15</v>
      </c>
      <c r="I3130" t="s">
        <v>47</v>
      </c>
      <c r="J3130" t="s">
        <v>41</v>
      </c>
    </row>
    <row r="3131" spans="1:10" x14ac:dyDescent="0.35">
      <c r="A3131" t="s">
        <v>3320</v>
      </c>
      <c r="B3131" s="10">
        <v>46231</v>
      </c>
      <c r="C3131" t="s">
        <v>376</v>
      </c>
      <c r="D3131" t="s">
        <v>80</v>
      </c>
      <c r="E3131" t="s">
        <v>117</v>
      </c>
      <c r="F3131" t="s">
        <v>14</v>
      </c>
      <c r="G3131">
        <v>46.03</v>
      </c>
      <c r="H3131" t="s">
        <v>15</v>
      </c>
      <c r="I3131" t="s">
        <v>22</v>
      </c>
      <c r="J3131" t="s">
        <v>82</v>
      </c>
    </row>
    <row r="3132" spans="1:10" x14ac:dyDescent="0.35">
      <c r="A3132" t="s">
        <v>3321</v>
      </c>
      <c r="B3132" s="10">
        <v>46231</v>
      </c>
      <c r="C3132" t="s">
        <v>76</v>
      </c>
      <c r="D3132" t="s">
        <v>12</v>
      </c>
      <c r="E3132" t="s">
        <v>13</v>
      </c>
      <c r="F3132" t="s">
        <v>14</v>
      </c>
      <c r="G3132">
        <v>21.21</v>
      </c>
      <c r="H3132" t="s">
        <v>21</v>
      </c>
      <c r="I3132" t="s">
        <v>22</v>
      </c>
      <c r="J3132" t="s">
        <v>77</v>
      </c>
    </row>
    <row r="3133" spans="1:10" x14ac:dyDescent="0.35">
      <c r="A3133" t="s">
        <v>3322</v>
      </c>
      <c r="B3133" s="10">
        <v>46232</v>
      </c>
      <c r="C3133" t="s">
        <v>94</v>
      </c>
      <c r="D3133" t="s">
        <v>29</v>
      </c>
      <c r="E3133" t="s">
        <v>95</v>
      </c>
      <c r="F3133" t="s">
        <v>14</v>
      </c>
      <c r="G3133">
        <v>67.94</v>
      </c>
      <c r="H3133" t="s">
        <v>15</v>
      </c>
      <c r="I3133" t="s">
        <v>22</v>
      </c>
      <c r="J3133" t="s">
        <v>96</v>
      </c>
    </row>
    <row r="3134" spans="1:10" x14ac:dyDescent="0.35">
      <c r="A3134" t="s">
        <v>3323</v>
      </c>
      <c r="B3134" s="10">
        <v>46232</v>
      </c>
      <c r="C3134" t="s">
        <v>290</v>
      </c>
      <c r="D3134" t="s">
        <v>69</v>
      </c>
      <c r="E3134" t="s">
        <v>291</v>
      </c>
      <c r="F3134" t="s">
        <v>14</v>
      </c>
      <c r="G3134">
        <v>158.84</v>
      </c>
      <c r="H3134" t="s">
        <v>15</v>
      </c>
      <c r="I3134" t="s">
        <v>22</v>
      </c>
      <c r="J3134" t="s">
        <v>292</v>
      </c>
    </row>
    <row r="3135" spans="1:10" x14ac:dyDescent="0.35">
      <c r="A3135" t="s">
        <v>3324</v>
      </c>
      <c r="B3135" s="10">
        <v>46232</v>
      </c>
      <c r="C3135" t="s">
        <v>125</v>
      </c>
      <c r="D3135" t="s">
        <v>12</v>
      </c>
      <c r="E3135" t="s">
        <v>13</v>
      </c>
      <c r="F3135" t="s">
        <v>14</v>
      </c>
      <c r="G3135">
        <v>41.19</v>
      </c>
      <c r="H3135" t="s">
        <v>15</v>
      </c>
      <c r="I3135" t="s">
        <v>36</v>
      </c>
      <c r="J3135" t="s">
        <v>44</v>
      </c>
    </row>
    <row r="3136" spans="1:10" x14ac:dyDescent="0.35">
      <c r="A3136" t="s">
        <v>3325</v>
      </c>
      <c r="B3136" s="10">
        <v>46232</v>
      </c>
      <c r="C3136" t="s">
        <v>543</v>
      </c>
      <c r="D3136" t="s">
        <v>69</v>
      </c>
      <c r="E3136" t="s">
        <v>70</v>
      </c>
      <c r="F3136" t="s">
        <v>14</v>
      </c>
      <c r="G3136">
        <v>1029</v>
      </c>
      <c r="H3136" t="s">
        <v>15</v>
      </c>
      <c r="I3136" t="s">
        <v>22</v>
      </c>
      <c r="J3136" t="s">
        <v>292</v>
      </c>
    </row>
    <row r="3137" spans="1:10" x14ac:dyDescent="0.35">
      <c r="A3137" t="s">
        <v>3326</v>
      </c>
      <c r="B3137" s="10">
        <v>46232</v>
      </c>
      <c r="C3137" t="s">
        <v>253</v>
      </c>
      <c r="D3137" t="s">
        <v>29</v>
      </c>
      <c r="E3137" t="s">
        <v>30</v>
      </c>
      <c r="F3137" t="s">
        <v>14</v>
      </c>
      <c r="G3137">
        <v>28.31</v>
      </c>
      <c r="H3137" t="s">
        <v>98</v>
      </c>
      <c r="I3137" t="s">
        <v>47</v>
      </c>
      <c r="J3137" t="s">
        <v>158</v>
      </c>
    </row>
    <row r="3138" spans="1:10" x14ac:dyDescent="0.35">
      <c r="A3138" t="s">
        <v>3327</v>
      </c>
      <c r="B3138" s="10">
        <v>46233</v>
      </c>
      <c r="C3138" t="s">
        <v>58</v>
      </c>
      <c r="D3138" t="s">
        <v>59</v>
      </c>
      <c r="E3138" t="s">
        <v>60</v>
      </c>
      <c r="F3138" t="s">
        <v>14</v>
      </c>
      <c r="G3138">
        <v>204.9</v>
      </c>
      <c r="H3138" t="s">
        <v>15</v>
      </c>
      <c r="I3138" t="s">
        <v>16</v>
      </c>
      <c r="J3138" t="s">
        <v>61</v>
      </c>
    </row>
    <row r="3139" spans="1:10" x14ac:dyDescent="0.35">
      <c r="A3139" t="s">
        <v>3328</v>
      </c>
      <c r="B3139" s="10">
        <v>46233</v>
      </c>
      <c r="C3139" t="s">
        <v>63</v>
      </c>
      <c r="D3139" t="s">
        <v>54</v>
      </c>
      <c r="E3139" t="s">
        <v>64</v>
      </c>
      <c r="F3139" t="s">
        <v>54</v>
      </c>
      <c r="G3139">
        <v>361</v>
      </c>
      <c r="H3139" t="s">
        <v>98</v>
      </c>
      <c r="I3139" t="s">
        <v>16</v>
      </c>
      <c r="J3139" t="s">
        <v>65</v>
      </c>
    </row>
    <row r="3140" spans="1:10" x14ac:dyDescent="0.35">
      <c r="A3140" t="s">
        <v>3329</v>
      </c>
      <c r="B3140" s="10">
        <v>46233</v>
      </c>
      <c r="C3140" t="s">
        <v>345</v>
      </c>
      <c r="D3140" t="s">
        <v>59</v>
      </c>
      <c r="E3140" t="s">
        <v>60</v>
      </c>
      <c r="F3140" t="s">
        <v>14</v>
      </c>
      <c r="G3140">
        <v>91.58</v>
      </c>
      <c r="H3140" t="s">
        <v>98</v>
      </c>
      <c r="I3140" t="s">
        <v>22</v>
      </c>
      <c r="J3140" t="s">
        <v>211</v>
      </c>
    </row>
    <row r="3141" spans="1:10" x14ac:dyDescent="0.35">
      <c r="A3141" t="s">
        <v>3330</v>
      </c>
      <c r="B3141" s="10">
        <v>46233</v>
      </c>
      <c r="C3141" t="s">
        <v>184</v>
      </c>
      <c r="D3141" t="s">
        <v>59</v>
      </c>
      <c r="E3141" t="s">
        <v>185</v>
      </c>
      <c r="F3141" t="s">
        <v>14</v>
      </c>
      <c r="G3141">
        <v>131.41999999999999</v>
      </c>
      <c r="H3141" t="s">
        <v>15</v>
      </c>
      <c r="I3141" t="s">
        <v>16</v>
      </c>
      <c r="J3141" t="s">
        <v>61</v>
      </c>
    </row>
    <row r="3142" spans="1:10" x14ac:dyDescent="0.35">
      <c r="A3142" t="s">
        <v>3331</v>
      </c>
      <c r="B3142" s="10">
        <v>46233</v>
      </c>
      <c r="C3142" t="s">
        <v>153</v>
      </c>
      <c r="D3142" t="s">
        <v>34</v>
      </c>
      <c r="E3142" t="s">
        <v>122</v>
      </c>
      <c r="F3142" t="s">
        <v>14</v>
      </c>
      <c r="G3142">
        <v>90.62</v>
      </c>
      <c r="H3142" t="s">
        <v>21</v>
      </c>
      <c r="I3142" t="s">
        <v>36</v>
      </c>
      <c r="J3142" t="s">
        <v>41</v>
      </c>
    </row>
    <row r="3143" spans="1:10" x14ac:dyDescent="0.35">
      <c r="A3143" t="s">
        <v>3332</v>
      </c>
      <c r="B3143" s="10">
        <v>46233</v>
      </c>
      <c r="C3143" t="s">
        <v>76</v>
      </c>
      <c r="D3143" t="s">
        <v>12</v>
      </c>
      <c r="E3143" t="s">
        <v>13</v>
      </c>
      <c r="F3143" t="s">
        <v>14</v>
      </c>
      <c r="G3143">
        <v>82.49</v>
      </c>
      <c r="H3143" t="s">
        <v>21</v>
      </c>
      <c r="I3143" t="s">
        <v>36</v>
      </c>
      <c r="J3143" t="s">
        <v>77</v>
      </c>
    </row>
    <row r="3144" spans="1:10" x14ac:dyDescent="0.35">
      <c r="A3144" t="s">
        <v>3333</v>
      </c>
      <c r="B3144" s="10">
        <v>46233</v>
      </c>
      <c r="C3144" t="s">
        <v>50</v>
      </c>
      <c r="D3144" t="s">
        <v>12</v>
      </c>
      <c r="E3144" t="s">
        <v>51</v>
      </c>
      <c r="F3144" t="s">
        <v>14</v>
      </c>
      <c r="G3144">
        <v>59.11</v>
      </c>
      <c r="H3144" t="s">
        <v>15</v>
      </c>
      <c r="I3144" t="s">
        <v>22</v>
      </c>
      <c r="J3144" t="s">
        <v>44</v>
      </c>
    </row>
    <row r="3145" spans="1:10" x14ac:dyDescent="0.35">
      <c r="A3145" t="s">
        <v>3334</v>
      </c>
      <c r="B3145" s="10">
        <v>46233</v>
      </c>
      <c r="C3145" t="s">
        <v>160</v>
      </c>
      <c r="D3145" t="s">
        <v>80</v>
      </c>
      <c r="E3145" t="s">
        <v>117</v>
      </c>
      <c r="F3145" t="s">
        <v>14</v>
      </c>
      <c r="G3145">
        <v>215.56</v>
      </c>
      <c r="H3145" t="s">
        <v>98</v>
      </c>
      <c r="I3145" t="s">
        <v>36</v>
      </c>
      <c r="J3145" t="s">
        <v>161</v>
      </c>
    </row>
    <row r="3146" spans="1:10" x14ac:dyDescent="0.35">
      <c r="A3146" t="s">
        <v>3335</v>
      </c>
      <c r="B3146" s="10">
        <v>46233</v>
      </c>
      <c r="C3146" t="s">
        <v>46</v>
      </c>
      <c r="D3146" t="s">
        <v>12</v>
      </c>
      <c r="E3146" t="s">
        <v>13</v>
      </c>
      <c r="F3146" t="s">
        <v>14</v>
      </c>
      <c r="G3146">
        <v>53.33</v>
      </c>
      <c r="H3146" t="s">
        <v>15</v>
      </c>
      <c r="I3146" t="s">
        <v>22</v>
      </c>
      <c r="J3146" t="s">
        <v>48</v>
      </c>
    </row>
    <row r="3147" spans="1:10" x14ac:dyDescent="0.35">
      <c r="A3147" t="s">
        <v>3336</v>
      </c>
      <c r="B3147" s="10">
        <v>46233</v>
      </c>
      <c r="C3147" t="s">
        <v>220</v>
      </c>
      <c r="D3147" t="s">
        <v>59</v>
      </c>
      <c r="E3147" t="s">
        <v>199</v>
      </c>
      <c r="F3147" t="s">
        <v>14</v>
      </c>
      <c r="G3147">
        <v>326.85000000000002</v>
      </c>
      <c r="H3147" t="s">
        <v>21</v>
      </c>
      <c r="I3147" t="s">
        <v>22</v>
      </c>
      <c r="J3147" t="s">
        <v>211</v>
      </c>
    </row>
    <row r="3148" spans="1:10" x14ac:dyDescent="0.35">
      <c r="A3148" t="s">
        <v>3337</v>
      </c>
      <c r="B3148" s="10">
        <v>46234</v>
      </c>
      <c r="C3148" t="s">
        <v>220</v>
      </c>
      <c r="D3148" t="s">
        <v>59</v>
      </c>
      <c r="E3148" t="s">
        <v>199</v>
      </c>
      <c r="F3148" t="s">
        <v>14</v>
      </c>
      <c r="G3148">
        <v>366.5</v>
      </c>
      <c r="H3148" t="s">
        <v>15</v>
      </c>
      <c r="I3148" t="s">
        <v>22</v>
      </c>
      <c r="J3148" t="s">
        <v>211</v>
      </c>
    </row>
    <row r="3149" spans="1:10" x14ac:dyDescent="0.35">
      <c r="A3149" t="s">
        <v>3338</v>
      </c>
      <c r="B3149" s="10">
        <v>46234</v>
      </c>
      <c r="C3149" t="s">
        <v>875</v>
      </c>
      <c r="D3149" t="s">
        <v>69</v>
      </c>
      <c r="E3149" t="s">
        <v>291</v>
      </c>
      <c r="F3149" t="s">
        <v>14</v>
      </c>
      <c r="G3149">
        <v>593.74</v>
      </c>
      <c r="H3149" t="s">
        <v>15</v>
      </c>
      <c r="I3149" t="s">
        <v>47</v>
      </c>
      <c r="J3149" t="s">
        <v>133</v>
      </c>
    </row>
    <row r="3150" spans="1:10" x14ac:dyDescent="0.35">
      <c r="A3150" t="s">
        <v>3339</v>
      </c>
      <c r="B3150" s="10">
        <v>46234</v>
      </c>
      <c r="C3150" t="s">
        <v>229</v>
      </c>
      <c r="D3150" t="s">
        <v>54</v>
      </c>
      <c r="E3150" t="s">
        <v>64</v>
      </c>
      <c r="F3150" t="s">
        <v>54</v>
      </c>
      <c r="G3150">
        <v>252.71</v>
      </c>
      <c r="H3150" t="s">
        <v>15</v>
      </c>
      <c r="I3150" t="s">
        <v>16</v>
      </c>
      <c r="J3150" t="s">
        <v>56</v>
      </c>
    </row>
    <row r="3151" spans="1:10" x14ac:dyDescent="0.35">
      <c r="A3151" t="s">
        <v>3340</v>
      </c>
      <c r="B3151" s="10">
        <v>46234</v>
      </c>
      <c r="C3151" t="s">
        <v>204</v>
      </c>
      <c r="D3151" t="s">
        <v>12</v>
      </c>
      <c r="E3151" t="s">
        <v>51</v>
      </c>
      <c r="F3151" t="s">
        <v>14</v>
      </c>
      <c r="G3151">
        <v>88.82</v>
      </c>
      <c r="H3151" t="s">
        <v>15</v>
      </c>
      <c r="I3151" t="s">
        <v>22</v>
      </c>
      <c r="J3151" t="s">
        <v>23</v>
      </c>
    </row>
    <row r="3152" spans="1:10" x14ac:dyDescent="0.35">
      <c r="A3152" t="s">
        <v>3341</v>
      </c>
      <c r="B3152" s="10">
        <v>46234</v>
      </c>
      <c r="C3152" t="s">
        <v>121</v>
      </c>
      <c r="D3152" t="s">
        <v>34</v>
      </c>
      <c r="E3152" t="s">
        <v>122</v>
      </c>
      <c r="F3152" t="s">
        <v>14</v>
      </c>
      <c r="G3152">
        <v>184.54</v>
      </c>
      <c r="H3152" t="s">
        <v>15</v>
      </c>
      <c r="I3152" t="s">
        <v>22</v>
      </c>
      <c r="J3152" t="s">
        <v>123</v>
      </c>
    </row>
    <row r="3153" spans="1:10" x14ac:dyDescent="0.35">
      <c r="A3153" t="s">
        <v>3342</v>
      </c>
      <c r="B3153" s="10">
        <v>46234</v>
      </c>
      <c r="C3153" t="s">
        <v>198</v>
      </c>
      <c r="D3153" t="s">
        <v>59</v>
      </c>
      <c r="E3153" t="s">
        <v>199</v>
      </c>
      <c r="F3153" t="s">
        <v>14</v>
      </c>
      <c r="G3153">
        <v>80.28</v>
      </c>
      <c r="H3153" t="s">
        <v>15</v>
      </c>
      <c r="I3153" t="s">
        <v>84</v>
      </c>
      <c r="J3153" t="s">
        <v>61</v>
      </c>
    </row>
    <row r="3154" spans="1:10" x14ac:dyDescent="0.35">
      <c r="A3154" t="s">
        <v>3343</v>
      </c>
      <c r="B3154" s="10">
        <v>46235</v>
      </c>
      <c r="C3154" t="s">
        <v>155</v>
      </c>
      <c r="D3154" t="s">
        <v>12</v>
      </c>
      <c r="E3154" t="s">
        <v>51</v>
      </c>
      <c r="F3154" t="s">
        <v>14</v>
      </c>
      <c r="G3154">
        <v>39.630000000000003</v>
      </c>
      <c r="H3154" t="s">
        <v>98</v>
      </c>
      <c r="I3154" t="s">
        <v>36</v>
      </c>
      <c r="J3154" t="s">
        <v>48</v>
      </c>
    </row>
    <row r="3155" spans="1:10" x14ac:dyDescent="0.35">
      <c r="A3155" t="s">
        <v>3344</v>
      </c>
      <c r="B3155" s="10">
        <v>46235</v>
      </c>
      <c r="C3155" t="s">
        <v>150</v>
      </c>
      <c r="D3155" t="s">
        <v>29</v>
      </c>
      <c r="E3155" t="s">
        <v>30</v>
      </c>
      <c r="F3155" t="s">
        <v>14</v>
      </c>
      <c r="G3155">
        <v>52.9</v>
      </c>
      <c r="H3155" t="s">
        <v>15</v>
      </c>
      <c r="I3155" t="s">
        <v>22</v>
      </c>
      <c r="J3155" t="s">
        <v>151</v>
      </c>
    </row>
    <row r="3156" spans="1:10" x14ac:dyDescent="0.35">
      <c r="A3156" t="s">
        <v>3345</v>
      </c>
      <c r="B3156" s="10">
        <v>46235</v>
      </c>
      <c r="C3156" t="s">
        <v>33</v>
      </c>
      <c r="D3156" t="s">
        <v>34</v>
      </c>
      <c r="E3156" t="s">
        <v>35</v>
      </c>
      <c r="F3156" t="s">
        <v>14</v>
      </c>
      <c r="G3156">
        <v>47.02</v>
      </c>
      <c r="H3156" t="s">
        <v>21</v>
      </c>
      <c r="I3156" t="s">
        <v>36</v>
      </c>
      <c r="J3156" t="s">
        <v>37</v>
      </c>
    </row>
    <row r="3157" spans="1:10" x14ac:dyDescent="0.35">
      <c r="A3157" t="s">
        <v>3346</v>
      </c>
      <c r="B3157" s="10">
        <v>46235</v>
      </c>
      <c r="C3157" t="s">
        <v>189</v>
      </c>
      <c r="D3157" t="s">
        <v>34</v>
      </c>
      <c r="E3157" t="s">
        <v>122</v>
      </c>
      <c r="F3157" t="s">
        <v>14</v>
      </c>
      <c r="G3157">
        <v>249.5</v>
      </c>
      <c r="H3157" t="s">
        <v>15</v>
      </c>
      <c r="I3157" t="s">
        <v>47</v>
      </c>
      <c r="J3157" t="s">
        <v>37</v>
      </c>
    </row>
    <row r="3158" spans="1:10" x14ac:dyDescent="0.35">
      <c r="A3158" t="s">
        <v>3347</v>
      </c>
      <c r="B3158" s="10">
        <v>46236</v>
      </c>
      <c r="C3158" t="s">
        <v>206</v>
      </c>
      <c r="D3158" t="s">
        <v>29</v>
      </c>
      <c r="E3158" t="s">
        <v>95</v>
      </c>
      <c r="F3158" t="s">
        <v>14</v>
      </c>
      <c r="G3158">
        <v>15.87</v>
      </c>
      <c r="H3158" t="s">
        <v>15</v>
      </c>
      <c r="I3158" t="s">
        <v>36</v>
      </c>
      <c r="J3158" t="s">
        <v>31</v>
      </c>
    </row>
    <row r="3159" spans="1:10" x14ac:dyDescent="0.35">
      <c r="A3159" t="s">
        <v>3348</v>
      </c>
      <c r="B3159" s="10">
        <v>46236</v>
      </c>
      <c r="C3159" t="s">
        <v>267</v>
      </c>
      <c r="D3159" t="s">
        <v>29</v>
      </c>
      <c r="E3159" t="s">
        <v>30</v>
      </c>
      <c r="F3159" t="s">
        <v>14</v>
      </c>
      <c r="G3159">
        <v>29.04</v>
      </c>
      <c r="H3159" t="s">
        <v>15</v>
      </c>
      <c r="I3159" t="s">
        <v>22</v>
      </c>
      <c r="J3159" t="s">
        <v>96</v>
      </c>
    </row>
    <row r="3160" spans="1:10" x14ac:dyDescent="0.35">
      <c r="A3160" t="s">
        <v>3349</v>
      </c>
      <c r="B3160" s="10">
        <v>46236</v>
      </c>
      <c r="C3160" t="s">
        <v>163</v>
      </c>
      <c r="D3160" t="s">
        <v>80</v>
      </c>
      <c r="E3160" t="s">
        <v>92</v>
      </c>
      <c r="F3160" t="s">
        <v>14</v>
      </c>
      <c r="G3160">
        <v>61.55</v>
      </c>
      <c r="H3160" t="s">
        <v>21</v>
      </c>
      <c r="I3160" t="s">
        <v>36</v>
      </c>
      <c r="J3160" t="s">
        <v>118</v>
      </c>
    </row>
    <row r="3161" spans="1:10" x14ac:dyDescent="0.35">
      <c r="A3161" t="s">
        <v>3350</v>
      </c>
      <c r="B3161" s="10">
        <v>46236</v>
      </c>
      <c r="C3161" t="s">
        <v>168</v>
      </c>
      <c r="D3161" t="s">
        <v>59</v>
      </c>
      <c r="E3161" t="s">
        <v>60</v>
      </c>
      <c r="F3161" t="s">
        <v>14</v>
      </c>
      <c r="G3161">
        <v>599.24</v>
      </c>
      <c r="H3161" t="s">
        <v>98</v>
      </c>
      <c r="I3161" t="s">
        <v>36</v>
      </c>
      <c r="J3161" t="s">
        <v>170</v>
      </c>
    </row>
    <row r="3162" spans="1:10" x14ac:dyDescent="0.35">
      <c r="A3162" t="s">
        <v>3351</v>
      </c>
      <c r="B3162" s="10">
        <v>46236</v>
      </c>
      <c r="C3162" t="s">
        <v>298</v>
      </c>
      <c r="D3162" t="s">
        <v>59</v>
      </c>
      <c r="E3162" t="s">
        <v>185</v>
      </c>
      <c r="F3162" t="s">
        <v>14</v>
      </c>
      <c r="G3162">
        <v>805.5</v>
      </c>
      <c r="H3162" t="s">
        <v>15</v>
      </c>
      <c r="I3162" t="s">
        <v>16</v>
      </c>
      <c r="J3162" t="s">
        <v>170</v>
      </c>
    </row>
    <row r="3163" spans="1:10" x14ac:dyDescent="0.35">
      <c r="A3163" t="s">
        <v>3352</v>
      </c>
      <c r="B3163" s="10">
        <v>46236</v>
      </c>
      <c r="C3163" t="s">
        <v>256</v>
      </c>
      <c r="D3163" t="s">
        <v>34</v>
      </c>
      <c r="E3163" t="s">
        <v>40</v>
      </c>
      <c r="F3163" t="s">
        <v>14</v>
      </c>
      <c r="G3163">
        <v>150.63</v>
      </c>
      <c r="H3163" t="s">
        <v>15</v>
      </c>
      <c r="I3163" t="s">
        <v>16</v>
      </c>
      <c r="J3163" t="s">
        <v>239</v>
      </c>
    </row>
    <row r="3164" spans="1:10" x14ac:dyDescent="0.35">
      <c r="A3164" t="s">
        <v>3353</v>
      </c>
      <c r="B3164" s="10">
        <v>46237</v>
      </c>
      <c r="C3164" t="s">
        <v>33</v>
      </c>
      <c r="D3164" t="s">
        <v>34</v>
      </c>
      <c r="E3164" t="s">
        <v>35</v>
      </c>
      <c r="F3164" t="s">
        <v>14</v>
      </c>
      <c r="G3164">
        <v>101.96</v>
      </c>
      <c r="H3164" t="s">
        <v>98</v>
      </c>
      <c r="I3164" t="s">
        <v>22</v>
      </c>
      <c r="J3164" t="s">
        <v>37</v>
      </c>
    </row>
    <row r="3165" spans="1:10" x14ac:dyDescent="0.35">
      <c r="A3165" t="s">
        <v>3354</v>
      </c>
      <c r="B3165" s="10">
        <v>46237</v>
      </c>
      <c r="C3165" t="s">
        <v>227</v>
      </c>
      <c r="D3165" t="s">
        <v>12</v>
      </c>
      <c r="E3165" t="s">
        <v>51</v>
      </c>
      <c r="F3165" t="s">
        <v>14</v>
      </c>
      <c r="G3165">
        <v>37.020000000000003</v>
      </c>
      <c r="H3165" t="s">
        <v>15</v>
      </c>
      <c r="I3165" t="s">
        <v>22</v>
      </c>
      <c r="J3165" t="s">
        <v>17</v>
      </c>
    </row>
    <row r="3166" spans="1:10" x14ac:dyDescent="0.35">
      <c r="A3166" t="s">
        <v>3355</v>
      </c>
      <c r="B3166" s="10">
        <v>46237</v>
      </c>
      <c r="C3166" t="s">
        <v>445</v>
      </c>
      <c r="D3166" t="s">
        <v>101</v>
      </c>
      <c r="E3166" t="s">
        <v>244</v>
      </c>
      <c r="F3166" t="s">
        <v>14</v>
      </c>
      <c r="G3166">
        <v>59.24</v>
      </c>
      <c r="H3166" t="s">
        <v>15</v>
      </c>
      <c r="I3166" t="s">
        <v>22</v>
      </c>
      <c r="J3166" t="s">
        <v>103</v>
      </c>
    </row>
    <row r="3167" spans="1:10" x14ac:dyDescent="0.35">
      <c r="A3167" t="s">
        <v>3356</v>
      </c>
      <c r="B3167" s="10">
        <v>46237</v>
      </c>
      <c r="C3167" t="s">
        <v>76</v>
      </c>
      <c r="D3167" t="s">
        <v>12</v>
      </c>
      <c r="E3167" t="s">
        <v>13</v>
      </c>
      <c r="F3167" t="s">
        <v>14</v>
      </c>
      <c r="G3167">
        <v>72.709999999999994</v>
      </c>
      <c r="H3167" t="s">
        <v>21</v>
      </c>
      <c r="I3167" t="s">
        <v>22</v>
      </c>
      <c r="J3167" t="s">
        <v>77</v>
      </c>
    </row>
    <row r="3168" spans="1:10" x14ac:dyDescent="0.35">
      <c r="A3168" t="s">
        <v>3357</v>
      </c>
      <c r="B3168" s="10">
        <v>46237</v>
      </c>
      <c r="C3168" t="s">
        <v>229</v>
      </c>
      <c r="D3168" t="s">
        <v>54</v>
      </c>
      <c r="E3168" t="s">
        <v>64</v>
      </c>
      <c r="F3168" t="s">
        <v>54</v>
      </c>
      <c r="G3168">
        <v>308.05</v>
      </c>
      <c r="H3168" t="s">
        <v>15</v>
      </c>
      <c r="I3168" t="s">
        <v>36</v>
      </c>
      <c r="J3168" t="s">
        <v>56</v>
      </c>
    </row>
    <row r="3169" spans="1:10" x14ac:dyDescent="0.35">
      <c r="A3169" t="s">
        <v>3358</v>
      </c>
      <c r="B3169" s="10">
        <v>46237</v>
      </c>
      <c r="C3169" t="s">
        <v>734</v>
      </c>
      <c r="D3169" t="s">
        <v>69</v>
      </c>
      <c r="E3169" t="s">
        <v>291</v>
      </c>
      <c r="F3169" t="s">
        <v>14</v>
      </c>
      <c r="G3169">
        <v>367.88</v>
      </c>
      <c r="H3169" t="s">
        <v>98</v>
      </c>
      <c r="I3169" t="s">
        <v>16</v>
      </c>
      <c r="J3169" t="s">
        <v>71</v>
      </c>
    </row>
    <row r="3170" spans="1:10" x14ac:dyDescent="0.35">
      <c r="A3170" t="s">
        <v>3359</v>
      </c>
      <c r="B3170" s="10">
        <v>46237</v>
      </c>
      <c r="C3170" t="s">
        <v>189</v>
      </c>
      <c r="D3170" t="s">
        <v>34</v>
      </c>
      <c r="E3170" t="s">
        <v>122</v>
      </c>
      <c r="F3170" t="s">
        <v>14</v>
      </c>
      <c r="G3170">
        <v>458.84</v>
      </c>
      <c r="H3170" t="s">
        <v>21</v>
      </c>
      <c r="I3170" t="s">
        <v>22</v>
      </c>
      <c r="J3170" t="s">
        <v>37</v>
      </c>
    </row>
    <row r="3171" spans="1:10" x14ac:dyDescent="0.35">
      <c r="A3171" t="s">
        <v>3360</v>
      </c>
      <c r="B3171" s="10">
        <v>46237</v>
      </c>
      <c r="C3171" t="s">
        <v>189</v>
      </c>
      <c r="D3171" t="s">
        <v>34</v>
      </c>
      <c r="E3171" t="s">
        <v>122</v>
      </c>
      <c r="F3171" t="s">
        <v>14</v>
      </c>
      <c r="G3171">
        <v>182.17</v>
      </c>
      <c r="H3171" t="s">
        <v>15</v>
      </c>
      <c r="I3171" t="s">
        <v>36</v>
      </c>
      <c r="J3171" t="s">
        <v>37</v>
      </c>
    </row>
    <row r="3172" spans="1:10" x14ac:dyDescent="0.35">
      <c r="A3172" t="s">
        <v>3361</v>
      </c>
      <c r="B3172" s="10">
        <v>46237</v>
      </c>
      <c r="C3172" t="s">
        <v>232</v>
      </c>
      <c r="D3172" t="s">
        <v>69</v>
      </c>
      <c r="E3172" t="s">
        <v>233</v>
      </c>
      <c r="F3172" t="s">
        <v>14</v>
      </c>
      <c r="G3172">
        <v>107.81</v>
      </c>
      <c r="H3172" t="s">
        <v>21</v>
      </c>
      <c r="I3172" t="s">
        <v>47</v>
      </c>
      <c r="J3172" t="s">
        <v>71</v>
      </c>
    </row>
    <row r="3173" spans="1:10" x14ac:dyDescent="0.35">
      <c r="A3173" t="s">
        <v>3362</v>
      </c>
      <c r="B3173" s="10">
        <v>46238</v>
      </c>
      <c r="C3173" t="s">
        <v>262</v>
      </c>
      <c r="D3173" t="s">
        <v>101</v>
      </c>
      <c r="E3173" t="s">
        <v>244</v>
      </c>
      <c r="F3173" t="s">
        <v>14</v>
      </c>
      <c r="G3173">
        <v>88.28</v>
      </c>
      <c r="H3173" t="s">
        <v>15</v>
      </c>
      <c r="I3173" t="s">
        <v>16</v>
      </c>
      <c r="J3173" t="s">
        <v>136</v>
      </c>
    </row>
    <row r="3174" spans="1:10" x14ac:dyDescent="0.35">
      <c r="A3174" t="s">
        <v>3363</v>
      </c>
      <c r="B3174" s="10">
        <v>46238</v>
      </c>
      <c r="C3174" t="s">
        <v>163</v>
      </c>
      <c r="D3174" t="s">
        <v>80</v>
      </c>
      <c r="E3174" t="s">
        <v>92</v>
      </c>
      <c r="F3174" t="s">
        <v>14</v>
      </c>
      <c r="G3174">
        <v>93.7</v>
      </c>
      <c r="H3174" t="s">
        <v>15</v>
      </c>
      <c r="I3174" t="s">
        <v>36</v>
      </c>
      <c r="J3174" t="s">
        <v>118</v>
      </c>
    </row>
    <row r="3175" spans="1:10" x14ac:dyDescent="0.35">
      <c r="A3175" t="s">
        <v>3364</v>
      </c>
      <c r="B3175" s="10">
        <v>46238</v>
      </c>
      <c r="C3175" t="s">
        <v>875</v>
      </c>
      <c r="D3175" t="s">
        <v>69</v>
      </c>
      <c r="E3175" t="s">
        <v>291</v>
      </c>
      <c r="F3175" t="s">
        <v>14</v>
      </c>
      <c r="G3175">
        <v>454.3</v>
      </c>
      <c r="H3175" t="s">
        <v>15</v>
      </c>
      <c r="I3175" t="s">
        <v>22</v>
      </c>
      <c r="J3175" t="s">
        <v>133</v>
      </c>
    </row>
    <row r="3176" spans="1:10" x14ac:dyDescent="0.35">
      <c r="A3176" t="s">
        <v>3365</v>
      </c>
      <c r="B3176" s="10">
        <v>46238</v>
      </c>
      <c r="C3176" t="s">
        <v>331</v>
      </c>
      <c r="D3176" t="s">
        <v>29</v>
      </c>
      <c r="E3176" t="s">
        <v>95</v>
      </c>
      <c r="F3176" t="s">
        <v>14</v>
      </c>
      <c r="G3176">
        <v>43.51</v>
      </c>
      <c r="H3176" t="s">
        <v>21</v>
      </c>
      <c r="I3176" t="s">
        <v>22</v>
      </c>
      <c r="J3176" t="s">
        <v>151</v>
      </c>
    </row>
    <row r="3177" spans="1:10" x14ac:dyDescent="0.35">
      <c r="A3177" t="s">
        <v>3366</v>
      </c>
      <c r="B3177" s="10">
        <v>46238</v>
      </c>
      <c r="C3177" t="s">
        <v>308</v>
      </c>
      <c r="D3177" t="s">
        <v>54</v>
      </c>
      <c r="E3177" t="s">
        <v>64</v>
      </c>
      <c r="F3177" t="s">
        <v>54</v>
      </c>
      <c r="G3177">
        <v>349.86</v>
      </c>
      <c r="H3177" t="s">
        <v>15</v>
      </c>
      <c r="I3177" t="s">
        <v>22</v>
      </c>
      <c r="J3177" t="s">
        <v>89</v>
      </c>
    </row>
    <row r="3178" spans="1:10" x14ac:dyDescent="0.35">
      <c r="A3178" t="s">
        <v>3367</v>
      </c>
      <c r="B3178" s="10">
        <v>46238</v>
      </c>
      <c r="C3178" t="s">
        <v>243</v>
      </c>
      <c r="D3178" t="s">
        <v>101</v>
      </c>
      <c r="E3178" t="s">
        <v>244</v>
      </c>
      <c r="F3178" t="s">
        <v>14</v>
      </c>
      <c r="G3178">
        <v>250</v>
      </c>
      <c r="H3178" t="s">
        <v>98</v>
      </c>
      <c r="I3178" t="s">
        <v>84</v>
      </c>
      <c r="J3178" t="s">
        <v>102</v>
      </c>
    </row>
    <row r="3179" spans="1:10" x14ac:dyDescent="0.35">
      <c r="A3179" t="s">
        <v>3368</v>
      </c>
      <c r="B3179" s="10">
        <v>46238</v>
      </c>
      <c r="C3179" t="s">
        <v>140</v>
      </c>
      <c r="D3179" t="s">
        <v>80</v>
      </c>
      <c r="E3179" t="s">
        <v>81</v>
      </c>
      <c r="F3179" t="s">
        <v>14</v>
      </c>
      <c r="G3179">
        <v>74.92</v>
      </c>
      <c r="H3179" t="s">
        <v>21</v>
      </c>
      <c r="I3179" t="s">
        <v>22</v>
      </c>
      <c r="J3179" t="s">
        <v>141</v>
      </c>
    </row>
    <row r="3180" spans="1:10" x14ac:dyDescent="0.35">
      <c r="A3180" t="s">
        <v>3369</v>
      </c>
      <c r="B3180" s="10">
        <v>46238</v>
      </c>
      <c r="C3180" t="s">
        <v>395</v>
      </c>
      <c r="D3180" t="s">
        <v>69</v>
      </c>
      <c r="E3180" t="s">
        <v>291</v>
      </c>
      <c r="F3180" t="s">
        <v>14</v>
      </c>
      <c r="G3180">
        <v>283.60000000000002</v>
      </c>
      <c r="H3180" t="s">
        <v>15</v>
      </c>
      <c r="I3180" t="s">
        <v>47</v>
      </c>
      <c r="J3180" t="s">
        <v>396</v>
      </c>
    </row>
    <row r="3181" spans="1:10" x14ac:dyDescent="0.35">
      <c r="A3181" t="s">
        <v>3370</v>
      </c>
      <c r="B3181" s="10">
        <v>46238</v>
      </c>
      <c r="C3181" t="s">
        <v>227</v>
      </c>
      <c r="D3181" t="s">
        <v>12</v>
      </c>
      <c r="E3181" t="s">
        <v>51</v>
      </c>
      <c r="F3181" t="s">
        <v>14</v>
      </c>
      <c r="G3181">
        <v>43.89</v>
      </c>
      <c r="H3181" t="s">
        <v>21</v>
      </c>
      <c r="I3181" t="s">
        <v>36</v>
      </c>
      <c r="J3181" t="s">
        <v>17</v>
      </c>
    </row>
    <row r="3182" spans="1:10" x14ac:dyDescent="0.35">
      <c r="A3182" t="s">
        <v>3371</v>
      </c>
      <c r="B3182" s="10">
        <v>46238</v>
      </c>
      <c r="C3182" t="s">
        <v>198</v>
      </c>
      <c r="D3182" t="s">
        <v>59</v>
      </c>
      <c r="E3182" t="s">
        <v>199</v>
      </c>
      <c r="F3182" t="s">
        <v>14</v>
      </c>
      <c r="G3182">
        <v>163.1</v>
      </c>
      <c r="H3182" t="s">
        <v>98</v>
      </c>
      <c r="I3182" t="s">
        <v>22</v>
      </c>
      <c r="J3182" t="s">
        <v>61</v>
      </c>
    </row>
    <row r="3183" spans="1:10" x14ac:dyDescent="0.35">
      <c r="A3183" t="s">
        <v>3372</v>
      </c>
      <c r="B3183" s="10">
        <v>46239</v>
      </c>
      <c r="C3183" t="s">
        <v>25</v>
      </c>
      <c r="D3183" t="s">
        <v>12</v>
      </c>
      <c r="E3183" t="s">
        <v>26</v>
      </c>
      <c r="F3183" t="s">
        <v>14</v>
      </c>
      <c r="G3183">
        <v>78.430000000000007</v>
      </c>
      <c r="H3183" t="s">
        <v>21</v>
      </c>
      <c r="I3183" t="s">
        <v>16</v>
      </c>
      <c r="J3183" t="s">
        <v>17</v>
      </c>
    </row>
    <row r="3184" spans="1:10" x14ac:dyDescent="0.35">
      <c r="A3184" t="s">
        <v>3373</v>
      </c>
      <c r="B3184" s="10">
        <v>46239</v>
      </c>
      <c r="C3184" t="s">
        <v>875</v>
      </c>
      <c r="D3184" t="s">
        <v>69</v>
      </c>
      <c r="E3184" t="s">
        <v>291</v>
      </c>
      <c r="F3184" t="s">
        <v>14</v>
      </c>
      <c r="G3184">
        <v>374.51</v>
      </c>
      <c r="H3184" t="s">
        <v>15</v>
      </c>
      <c r="I3184" t="s">
        <v>22</v>
      </c>
      <c r="J3184" t="s">
        <v>133</v>
      </c>
    </row>
    <row r="3185" spans="1:10" x14ac:dyDescent="0.35">
      <c r="A3185" t="s">
        <v>3374</v>
      </c>
      <c r="B3185" s="10">
        <v>46239</v>
      </c>
      <c r="C3185" t="s">
        <v>79</v>
      </c>
      <c r="D3185" t="s">
        <v>80</v>
      </c>
      <c r="E3185" t="s">
        <v>81</v>
      </c>
      <c r="F3185" t="s">
        <v>14</v>
      </c>
      <c r="G3185">
        <v>44.57</v>
      </c>
      <c r="H3185" t="s">
        <v>15</v>
      </c>
      <c r="I3185" t="s">
        <v>36</v>
      </c>
      <c r="J3185" t="s">
        <v>82</v>
      </c>
    </row>
    <row r="3186" spans="1:10" x14ac:dyDescent="0.35">
      <c r="A3186" t="s">
        <v>3375</v>
      </c>
      <c r="B3186" s="10">
        <v>46239</v>
      </c>
      <c r="C3186" t="s">
        <v>464</v>
      </c>
      <c r="D3186" t="s">
        <v>34</v>
      </c>
      <c r="E3186" t="s">
        <v>122</v>
      </c>
      <c r="F3186" t="s">
        <v>14</v>
      </c>
      <c r="G3186">
        <v>147.44999999999999</v>
      </c>
      <c r="H3186" t="s">
        <v>21</v>
      </c>
      <c r="I3186" t="s">
        <v>16</v>
      </c>
      <c r="J3186" t="s">
        <v>239</v>
      </c>
    </row>
    <row r="3187" spans="1:10" x14ac:dyDescent="0.35">
      <c r="A3187" t="s">
        <v>3376</v>
      </c>
      <c r="B3187" s="10">
        <v>46239</v>
      </c>
      <c r="C3187" t="s">
        <v>91</v>
      </c>
      <c r="D3187" t="s">
        <v>80</v>
      </c>
      <c r="E3187" t="s">
        <v>92</v>
      </c>
      <c r="F3187" t="s">
        <v>14</v>
      </c>
      <c r="G3187">
        <v>83.75</v>
      </c>
      <c r="H3187" t="s">
        <v>15</v>
      </c>
      <c r="I3187" t="s">
        <v>36</v>
      </c>
      <c r="J3187" t="s">
        <v>82</v>
      </c>
    </row>
    <row r="3188" spans="1:10" x14ac:dyDescent="0.35">
      <c r="A3188" t="s">
        <v>3377</v>
      </c>
      <c r="B3188" s="10">
        <v>46240</v>
      </c>
      <c r="C3188" t="s">
        <v>58</v>
      </c>
      <c r="D3188" t="s">
        <v>59</v>
      </c>
      <c r="E3188" t="s">
        <v>60</v>
      </c>
      <c r="F3188" t="s">
        <v>14</v>
      </c>
      <c r="G3188">
        <v>376.72</v>
      </c>
      <c r="H3188" t="s">
        <v>15</v>
      </c>
      <c r="I3188" t="s">
        <v>22</v>
      </c>
      <c r="J3188" t="s">
        <v>61</v>
      </c>
    </row>
    <row r="3189" spans="1:10" x14ac:dyDescent="0.35">
      <c r="A3189" t="s">
        <v>3378</v>
      </c>
      <c r="B3189" s="10">
        <v>46240</v>
      </c>
      <c r="C3189" t="s">
        <v>155</v>
      </c>
      <c r="D3189" t="s">
        <v>12</v>
      </c>
      <c r="E3189" t="s">
        <v>51</v>
      </c>
      <c r="F3189" t="s">
        <v>14</v>
      </c>
      <c r="G3189">
        <v>30.3</v>
      </c>
      <c r="H3189" t="s">
        <v>21</v>
      </c>
      <c r="I3189" t="s">
        <v>47</v>
      </c>
      <c r="J3189" t="s">
        <v>48</v>
      </c>
    </row>
    <row r="3190" spans="1:10" x14ac:dyDescent="0.35">
      <c r="A3190" t="s">
        <v>3379</v>
      </c>
      <c r="B3190" s="10">
        <v>46240</v>
      </c>
      <c r="C3190" t="s">
        <v>143</v>
      </c>
      <c r="D3190" t="s">
        <v>54</v>
      </c>
      <c r="E3190" t="s">
        <v>55</v>
      </c>
      <c r="F3190" t="s">
        <v>54</v>
      </c>
      <c r="G3190">
        <v>704.48</v>
      </c>
      <c r="H3190" t="s">
        <v>15</v>
      </c>
      <c r="I3190" t="s">
        <v>22</v>
      </c>
      <c r="J3190" t="s">
        <v>89</v>
      </c>
    </row>
    <row r="3191" spans="1:10" x14ac:dyDescent="0.35">
      <c r="A3191" t="s">
        <v>3380</v>
      </c>
      <c r="B3191" s="10">
        <v>46240</v>
      </c>
      <c r="C3191" t="s">
        <v>267</v>
      </c>
      <c r="D3191" t="s">
        <v>29</v>
      </c>
      <c r="E3191" t="s">
        <v>30</v>
      </c>
      <c r="F3191" t="s">
        <v>14</v>
      </c>
      <c r="G3191">
        <v>18.149999999999999</v>
      </c>
      <c r="H3191" t="s">
        <v>21</v>
      </c>
      <c r="I3191" t="s">
        <v>22</v>
      </c>
      <c r="J3191" t="s">
        <v>96</v>
      </c>
    </row>
    <row r="3192" spans="1:10" x14ac:dyDescent="0.35">
      <c r="A3192" t="s">
        <v>3381</v>
      </c>
      <c r="B3192" s="10">
        <v>46240</v>
      </c>
      <c r="C3192" t="s">
        <v>135</v>
      </c>
      <c r="D3192" t="s">
        <v>101</v>
      </c>
      <c r="E3192" t="s">
        <v>102</v>
      </c>
      <c r="F3192" t="s">
        <v>14</v>
      </c>
      <c r="G3192">
        <v>38.64</v>
      </c>
      <c r="H3192" t="s">
        <v>98</v>
      </c>
      <c r="I3192" t="s">
        <v>22</v>
      </c>
      <c r="J3192" t="s">
        <v>136</v>
      </c>
    </row>
    <row r="3193" spans="1:10" x14ac:dyDescent="0.35">
      <c r="A3193" t="s">
        <v>3382</v>
      </c>
      <c r="B3193" s="10">
        <v>46240</v>
      </c>
      <c r="C3193" t="s">
        <v>76</v>
      </c>
      <c r="D3193" t="s">
        <v>12</v>
      </c>
      <c r="E3193" t="s">
        <v>13</v>
      </c>
      <c r="F3193" t="s">
        <v>14</v>
      </c>
      <c r="G3193">
        <v>12.87</v>
      </c>
      <c r="H3193" t="s">
        <v>21</v>
      </c>
      <c r="I3193" t="s">
        <v>22</v>
      </c>
      <c r="J3193" t="s">
        <v>77</v>
      </c>
    </row>
    <row r="3194" spans="1:10" x14ac:dyDescent="0.35">
      <c r="A3194" t="s">
        <v>3383</v>
      </c>
      <c r="B3194" s="10">
        <v>46240</v>
      </c>
      <c r="C3194" t="s">
        <v>179</v>
      </c>
      <c r="D3194" t="s">
        <v>80</v>
      </c>
      <c r="E3194" t="s">
        <v>117</v>
      </c>
      <c r="F3194" t="s">
        <v>14</v>
      </c>
      <c r="G3194">
        <v>119.34</v>
      </c>
      <c r="H3194" t="s">
        <v>21</v>
      </c>
      <c r="I3194" t="s">
        <v>84</v>
      </c>
      <c r="J3194" t="s">
        <v>180</v>
      </c>
    </row>
    <row r="3195" spans="1:10" x14ac:dyDescent="0.35">
      <c r="A3195" t="s">
        <v>3384</v>
      </c>
      <c r="B3195" s="10">
        <v>46240</v>
      </c>
      <c r="C3195" t="s">
        <v>415</v>
      </c>
      <c r="D3195" t="s">
        <v>12</v>
      </c>
      <c r="E3195" t="s">
        <v>51</v>
      </c>
      <c r="F3195" t="s">
        <v>14</v>
      </c>
      <c r="G3195">
        <v>53.56</v>
      </c>
      <c r="H3195" t="s">
        <v>15</v>
      </c>
      <c r="I3195" t="s">
        <v>47</v>
      </c>
      <c r="J3195" t="s">
        <v>77</v>
      </c>
    </row>
    <row r="3196" spans="1:10" x14ac:dyDescent="0.35">
      <c r="A3196" t="s">
        <v>3385</v>
      </c>
      <c r="B3196" s="10">
        <v>46240</v>
      </c>
      <c r="C3196" t="s">
        <v>198</v>
      </c>
      <c r="D3196" t="s">
        <v>59</v>
      </c>
      <c r="E3196" t="s">
        <v>199</v>
      </c>
      <c r="F3196" t="s">
        <v>14</v>
      </c>
      <c r="G3196">
        <v>94.36</v>
      </c>
      <c r="H3196" t="s">
        <v>21</v>
      </c>
      <c r="I3196" t="s">
        <v>22</v>
      </c>
      <c r="J3196" t="s">
        <v>61</v>
      </c>
    </row>
    <row r="3197" spans="1:10" x14ac:dyDescent="0.35">
      <c r="A3197" t="s">
        <v>3386</v>
      </c>
      <c r="B3197" s="10">
        <v>46241</v>
      </c>
      <c r="C3197" t="s">
        <v>324</v>
      </c>
      <c r="D3197" t="s">
        <v>80</v>
      </c>
      <c r="E3197" t="s">
        <v>92</v>
      </c>
      <c r="F3197" t="s">
        <v>14</v>
      </c>
      <c r="G3197">
        <v>61.15</v>
      </c>
      <c r="H3197" t="s">
        <v>15</v>
      </c>
      <c r="I3197" t="s">
        <v>22</v>
      </c>
      <c r="J3197" t="s">
        <v>161</v>
      </c>
    </row>
    <row r="3198" spans="1:10" x14ac:dyDescent="0.35">
      <c r="A3198" t="s">
        <v>3387</v>
      </c>
      <c r="B3198" s="10">
        <v>46241</v>
      </c>
      <c r="C3198" t="s">
        <v>281</v>
      </c>
      <c r="D3198" t="s">
        <v>34</v>
      </c>
      <c r="E3198" t="s">
        <v>40</v>
      </c>
      <c r="F3198" t="s">
        <v>14</v>
      </c>
      <c r="G3198">
        <v>195.57</v>
      </c>
      <c r="H3198" t="s">
        <v>98</v>
      </c>
      <c r="I3198" t="s">
        <v>16</v>
      </c>
      <c r="J3198" t="s">
        <v>123</v>
      </c>
    </row>
    <row r="3199" spans="1:10" x14ac:dyDescent="0.35">
      <c r="A3199" t="s">
        <v>3388</v>
      </c>
      <c r="B3199" s="10">
        <v>46241</v>
      </c>
      <c r="C3199" t="s">
        <v>206</v>
      </c>
      <c r="D3199" t="s">
        <v>29</v>
      </c>
      <c r="E3199" t="s">
        <v>95</v>
      </c>
      <c r="F3199" t="s">
        <v>14</v>
      </c>
      <c r="G3199">
        <v>25.4</v>
      </c>
      <c r="H3199" t="s">
        <v>15</v>
      </c>
      <c r="I3199" t="s">
        <v>22</v>
      </c>
      <c r="J3199" t="s">
        <v>31</v>
      </c>
    </row>
    <row r="3200" spans="1:10" x14ac:dyDescent="0.35">
      <c r="A3200" t="s">
        <v>3389</v>
      </c>
      <c r="B3200" s="10">
        <v>46241</v>
      </c>
      <c r="C3200" t="s">
        <v>269</v>
      </c>
      <c r="D3200" t="s">
        <v>34</v>
      </c>
      <c r="E3200" t="s">
        <v>35</v>
      </c>
      <c r="F3200" t="s">
        <v>14</v>
      </c>
      <c r="G3200">
        <v>43.77</v>
      </c>
      <c r="H3200" t="s">
        <v>15</v>
      </c>
      <c r="I3200" t="s">
        <v>22</v>
      </c>
      <c r="J3200" t="s">
        <v>123</v>
      </c>
    </row>
    <row r="3201" spans="1:10" x14ac:dyDescent="0.35">
      <c r="A3201" t="s">
        <v>3390</v>
      </c>
      <c r="B3201" s="10">
        <v>46241</v>
      </c>
      <c r="C3201" t="s">
        <v>33</v>
      </c>
      <c r="D3201" t="s">
        <v>34</v>
      </c>
      <c r="E3201" t="s">
        <v>35</v>
      </c>
      <c r="F3201" t="s">
        <v>14</v>
      </c>
      <c r="G3201">
        <v>204.79</v>
      </c>
      <c r="H3201" t="s">
        <v>15</v>
      </c>
      <c r="I3201" t="s">
        <v>22</v>
      </c>
      <c r="J3201" t="s">
        <v>37</v>
      </c>
    </row>
    <row r="3202" spans="1:10" x14ac:dyDescent="0.35">
      <c r="A3202" t="s">
        <v>3391</v>
      </c>
      <c r="B3202" s="10">
        <v>46242</v>
      </c>
      <c r="C3202" t="s">
        <v>824</v>
      </c>
      <c r="D3202" t="s">
        <v>69</v>
      </c>
      <c r="E3202" t="s">
        <v>233</v>
      </c>
      <c r="F3202" t="s">
        <v>14</v>
      </c>
      <c r="G3202">
        <v>449.59</v>
      </c>
      <c r="H3202" t="s">
        <v>15</v>
      </c>
      <c r="I3202" t="s">
        <v>84</v>
      </c>
      <c r="J3202" t="s">
        <v>133</v>
      </c>
    </row>
    <row r="3203" spans="1:10" x14ac:dyDescent="0.35">
      <c r="A3203" t="s">
        <v>3392</v>
      </c>
      <c r="B3203" s="10">
        <v>46242</v>
      </c>
      <c r="C3203" t="s">
        <v>204</v>
      </c>
      <c r="D3203" t="s">
        <v>12</v>
      </c>
      <c r="E3203" t="s">
        <v>51</v>
      </c>
      <c r="F3203" t="s">
        <v>14</v>
      </c>
      <c r="G3203">
        <v>40.81</v>
      </c>
      <c r="H3203" t="s">
        <v>98</v>
      </c>
      <c r="I3203" t="s">
        <v>36</v>
      </c>
      <c r="J3203" t="s">
        <v>23</v>
      </c>
    </row>
    <row r="3204" spans="1:10" x14ac:dyDescent="0.35">
      <c r="A3204" t="s">
        <v>3393</v>
      </c>
      <c r="B3204" s="10">
        <v>46242</v>
      </c>
      <c r="C3204" t="s">
        <v>113</v>
      </c>
      <c r="D3204" t="s">
        <v>34</v>
      </c>
      <c r="E3204" t="s">
        <v>40</v>
      </c>
      <c r="F3204" t="s">
        <v>14</v>
      </c>
      <c r="G3204">
        <v>201.05</v>
      </c>
      <c r="H3204" t="s">
        <v>98</v>
      </c>
      <c r="I3204" t="s">
        <v>36</v>
      </c>
      <c r="J3204" t="s">
        <v>37</v>
      </c>
    </row>
    <row r="3205" spans="1:10" x14ac:dyDescent="0.35">
      <c r="A3205" t="s">
        <v>3394</v>
      </c>
      <c r="B3205" s="10">
        <v>46242</v>
      </c>
      <c r="C3205" t="s">
        <v>163</v>
      </c>
      <c r="D3205" t="s">
        <v>80</v>
      </c>
      <c r="E3205" t="s">
        <v>92</v>
      </c>
      <c r="F3205" t="s">
        <v>14</v>
      </c>
      <c r="G3205">
        <v>62.15</v>
      </c>
      <c r="H3205" t="s">
        <v>21</v>
      </c>
      <c r="I3205" t="s">
        <v>36</v>
      </c>
      <c r="J3205" t="s">
        <v>118</v>
      </c>
    </row>
    <row r="3206" spans="1:10" x14ac:dyDescent="0.35">
      <c r="A3206" t="s">
        <v>3395</v>
      </c>
      <c r="B3206" s="10">
        <v>46242</v>
      </c>
      <c r="C3206" t="s">
        <v>253</v>
      </c>
      <c r="D3206" t="s">
        <v>29</v>
      </c>
      <c r="E3206" t="s">
        <v>30</v>
      </c>
      <c r="F3206" t="s">
        <v>14</v>
      </c>
      <c r="G3206">
        <v>45.51</v>
      </c>
      <c r="H3206" t="s">
        <v>98</v>
      </c>
      <c r="I3206" t="s">
        <v>22</v>
      </c>
      <c r="J3206" t="s">
        <v>158</v>
      </c>
    </row>
    <row r="3207" spans="1:10" x14ac:dyDescent="0.35">
      <c r="A3207" t="s">
        <v>3396</v>
      </c>
      <c r="B3207" s="10">
        <v>46242</v>
      </c>
      <c r="C3207" t="s">
        <v>238</v>
      </c>
      <c r="D3207" t="s">
        <v>34</v>
      </c>
      <c r="E3207" t="s">
        <v>35</v>
      </c>
      <c r="F3207" t="s">
        <v>14</v>
      </c>
      <c r="G3207">
        <v>500</v>
      </c>
      <c r="H3207" t="s">
        <v>15</v>
      </c>
      <c r="I3207" t="s">
        <v>22</v>
      </c>
      <c r="J3207" t="s">
        <v>239</v>
      </c>
    </row>
    <row r="3208" spans="1:10" x14ac:dyDescent="0.35">
      <c r="A3208" t="s">
        <v>3397</v>
      </c>
      <c r="B3208" s="10">
        <v>46242</v>
      </c>
      <c r="C3208" t="s">
        <v>143</v>
      </c>
      <c r="D3208" t="s">
        <v>54</v>
      </c>
      <c r="E3208" t="s">
        <v>55</v>
      </c>
      <c r="F3208" t="s">
        <v>54</v>
      </c>
      <c r="G3208">
        <v>674.39</v>
      </c>
      <c r="H3208" t="s">
        <v>21</v>
      </c>
      <c r="I3208" t="s">
        <v>22</v>
      </c>
      <c r="J3208" t="s">
        <v>89</v>
      </c>
    </row>
    <row r="3209" spans="1:10" x14ac:dyDescent="0.35">
      <c r="A3209" t="s">
        <v>3398</v>
      </c>
      <c r="B3209" s="10">
        <v>46242</v>
      </c>
      <c r="C3209" t="s">
        <v>160</v>
      </c>
      <c r="D3209" t="s">
        <v>80</v>
      </c>
      <c r="E3209" t="s">
        <v>117</v>
      </c>
      <c r="F3209" t="s">
        <v>14</v>
      </c>
      <c r="G3209">
        <v>93.54</v>
      </c>
      <c r="H3209" t="s">
        <v>21</v>
      </c>
      <c r="I3209" t="s">
        <v>22</v>
      </c>
      <c r="J3209" t="s">
        <v>161</v>
      </c>
    </row>
    <row r="3210" spans="1:10" x14ac:dyDescent="0.35">
      <c r="A3210" t="s">
        <v>3399</v>
      </c>
      <c r="B3210" s="10">
        <v>46242</v>
      </c>
      <c r="C3210" t="s">
        <v>259</v>
      </c>
      <c r="D3210" t="s">
        <v>59</v>
      </c>
      <c r="E3210" t="s">
        <v>199</v>
      </c>
      <c r="F3210" t="s">
        <v>14</v>
      </c>
      <c r="G3210">
        <v>364.28</v>
      </c>
      <c r="H3210" t="s">
        <v>15</v>
      </c>
      <c r="I3210" t="s">
        <v>47</v>
      </c>
      <c r="J3210" t="s">
        <v>170</v>
      </c>
    </row>
    <row r="3211" spans="1:10" x14ac:dyDescent="0.35">
      <c r="A3211" t="s">
        <v>3400</v>
      </c>
      <c r="B3211" s="10">
        <v>46242</v>
      </c>
      <c r="C3211" t="s">
        <v>33</v>
      </c>
      <c r="D3211" t="s">
        <v>34</v>
      </c>
      <c r="E3211" t="s">
        <v>35</v>
      </c>
      <c r="F3211" t="s">
        <v>14</v>
      </c>
      <c r="G3211">
        <v>62.81</v>
      </c>
      <c r="H3211" t="s">
        <v>15</v>
      </c>
      <c r="I3211" t="s">
        <v>22</v>
      </c>
      <c r="J3211" t="s">
        <v>37</v>
      </c>
    </row>
    <row r="3212" spans="1:10" x14ac:dyDescent="0.35">
      <c r="A3212" t="s">
        <v>3401</v>
      </c>
      <c r="B3212" s="10">
        <v>46242</v>
      </c>
      <c r="C3212" t="s">
        <v>113</v>
      </c>
      <c r="D3212" t="s">
        <v>34</v>
      </c>
      <c r="E3212" t="s">
        <v>40</v>
      </c>
      <c r="F3212" t="s">
        <v>14</v>
      </c>
      <c r="G3212">
        <v>199.14</v>
      </c>
      <c r="H3212" t="s">
        <v>98</v>
      </c>
      <c r="I3212" t="s">
        <v>47</v>
      </c>
      <c r="J3212" t="s">
        <v>37</v>
      </c>
    </row>
    <row r="3213" spans="1:10" x14ac:dyDescent="0.35">
      <c r="A3213" t="s">
        <v>3402</v>
      </c>
      <c r="B3213" s="10">
        <v>46242</v>
      </c>
      <c r="C3213" t="s">
        <v>68</v>
      </c>
      <c r="D3213" t="s">
        <v>69</v>
      </c>
      <c r="E3213" t="s">
        <v>70</v>
      </c>
      <c r="F3213" t="s">
        <v>14</v>
      </c>
      <c r="G3213">
        <v>395.37</v>
      </c>
      <c r="H3213" t="s">
        <v>15</v>
      </c>
      <c r="I3213" t="s">
        <v>47</v>
      </c>
      <c r="J3213" t="s">
        <v>71</v>
      </c>
    </row>
    <row r="3214" spans="1:10" x14ac:dyDescent="0.35">
      <c r="A3214" t="s">
        <v>3403</v>
      </c>
      <c r="B3214" s="10">
        <v>46243</v>
      </c>
      <c r="C3214" t="s">
        <v>177</v>
      </c>
      <c r="D3214" t="s">
        <v>54</v>
      </c>
      <c r="E3214" t="s">
        <v>74</v>
      </c>
      <c r="F3214" t="s">
        <v>54</v>
      </c>
      <c r="G3214">
        <v>2625.19</v>
      </c>
      <c r="H3214" t="s">
        <v>21</v>
      </c>
      <c r="I3214" t="s">
        <v>36</v>
      </c>
      <c r="J3214" t="s">
        <v>56</v>
      </c>
    </row>
    <row r="3215" spans="1:10" x14ac:dyDescent="0.35">
      <c r="A3215" t="s">
        <v>3404</v>
      </c>
      <c r="B3215" s="10">
        <v>46243</v>
      </c>
      <c r="C3215" t="s">
        <v>88</v>
      </c>
      <c r="D3215" t="s">
        <v>54</v>
      </c>
      <c r="E3215" t="s">
        <v>74</v>
      </c>
      <c r="F3215" t="s">
        <v>54</v>
      </c>
      <c r="G3215">
        <v>2717.28</v>
      </c>
      <c r="H3215" t="s">
        <v>98</v>
      </c>
      <c r="I3215" t="s">
        <v>36</v>
      </c>
      <c r="J3215" t="s">
        <v>89</v>
      </c>
    </row>
    <row r="3216" spans="1:10" x14ac:dyDescent="0.35">
      <c r="A3216" t="s">
        <v>3405</v>
      </c>
      <c r="B3216" s="10">
        <v>46244</v>
      </c>
      <c r="C3216" t="s">
        <v>113</v>
      </c>
      <c r="D3216" t="s">
        <v>34</v>
      </c>
      <c r="E3216" t="s">
        <v>40</v>
      </c>
      <c r="F3216" t="s">
        <v>14</v>
      </c>
      <c r="G3216">
        <v>48.67</v>
      </c>
      <c r="H3216" t="s">
        <v>15</v>
      </c>
      <c r="I3216" t="s">
        <v>22</v>
      </c>
      <c r="J3216" t="s">
        <v>37</v>
      </c>
    </row>
    <row r="3217" spans="1:10" x14ac:dyDescent="0.35">
      <c r="A3217" t="s">
        <v>3406</v>
      </c>
      <c r="B3217" s="10">
        <v>46244</v>
      </c>
      <c r="C3217" t="s">
        <v>73</v>
      </c>
      <c r="D3217" t="s">
        <v>54</v>
      </c>
      <c r="E3217" t="s">
        <v>74</v>
      </c>
      <c r="F3217" t="s">
        <v>54</v>
      </c>
      <c r="G3217">
        <v>2326.3000000000002</v>
      </c>
      <c r="H3217" t="s">
        <v>15</v>
      </c>
      <c r="I3217" t="s">
        <v>36</v>
      </c>
      <c r="J3217" t="s">
        <v>65</v>
      </c>
    </row>
    <row r="3218" spans="1:10" x14ac:dyDescent="0.35">
      <c r="A3218" t="s">
        <v>3407</v>
      </c>
      <c r="B3218" s="10">
        <v>46244</v>
      </c>
      <c r="C3218" t="s">
        <v>11</v>
      </c>
      <c r="D3218" t="s">
        <v>12</v>
      </c>
      <c r="E3218" t="s">
        <v>13</v>
      </c>
      <c r="F3218" t="s">
        <v>14</v>
      </c>
      <c r="G3218">
        <v>85.9</v>
      </c>
      <c r="H3218" t="s">
        <v>15</v>
      </c>
      <c r="I3218" t="s">
        <v>47</v>
      </c>
      <c r="J3218" t="s">
        <v>17</v>
      </c>
    </row>
    <row r="3219" spans="1:10" x14ac:dyDescent="0.35">
      <c r="A3219" t="s">
        <v>3408</v>
      </c>
      <c r="B3219" s="10">
        <v>46244</v>
      </c>
      <c r="C3219" t="s">
        <v>426</v>
      </c>
      <c r="D3219" t="s">
        <v>69</v>
      </c>
      <c r="E3219" t="s">
        <v>70</v>
      </c>
      <c r="F3219" t="s">
        <v>14</v>
      </c>
      <c r="G3219">
        <v>288.47000000000003</v>
      </c>
      <c r="H3219" t="s">
        <v>15</v>
      </c>
      <c r="I3219" t="s">
        <v>47</v>
      </c>
      <c r="J3219" t="s">
        <v>396</v>
      </c>
    </row>
    <row r="3220" spans="1:10" x14ac:dyDescent="0.35">
      <c r="A3220" t="s">
        <v>3409</v>
      </c>
      <c r="B3220" s="10">
        <v>46244</v>
      </c>
      <c r="C3220" t="s">
        <v>135</v>
      </c>
      <c r="D3220" t="s">
        <v>101</v>
      </c>
      <c r="E3220" t="s">
        <v>102</v>
      </c>
      <c r="F3220" t="s">
        <v>14</v>
      </c>
      <c r="G3220">
        <v>29.32</v>
      </c>
      <c r="H3220" t="s">
        <v>15</v>
      </c>
      <c r="I3220" t="s">
        <v>22</v>
      </c>
      <c r="J3220" t="s">
        <v>136</v>
      </c>
    </row>
    <row r="3221" spans="1:10" x14ac:dyDescent="0.35">
      <c r="A3221" t="s">
        <v>3410</v>
      </c>
      <c r="B3221" s="10">
        <v>46245</v>
      </c>
      <c r="C3221" t="s">
        <v>109</v>
      </c>
      <c r="D3221" t="s">
        <v>34</v>
      </c>
      <c r="E3221" t="s">
        <v>35</v>
      </c>
      <c r="F3221" t="s">
        <v>14</v>
      </c>
      <c r="G3221">
        <v>57.32</v>
      </c>
      <c r="H3221" t="s">
        <v>15</v>
      </c>
      <c r="I3221" t="s">
        <v>22</v>
      </c>
      <c r="J3221" t="s">
        <v>41</v>
      </c>
    </row>
    <row r="3222" spans="1:10" x14ac:dyDescent="0.35">
      <c r="A3222" t="s">
        <v>3411</v>
      </c>
      <c r="B3222" s="10">
        <v>46245</v>
      </c>
      <c r="C3222" t="s">
        <v>204</v>
      </c>
      <c r="D3222" t="s">
        <v>12</v>
      </c>
      <c r="E3222" t="s">
        <v>51</v>
      </c>
      <c r="F3222" t="s">
        <v>14</v>
      </c>
      <c r="G3222">
        <v>31.28</v>
      </c>
      <c r="H3222" t="s">
        <v>15</v>
      </c>
      <c r="I3222" t="s">
        <v>47</v>
      </c>
      <c r="J3222" t="s">
        <v>23</v>
      </c>
    </row>
    <row r="3223" spans="1:10" x14ac:dyDescent="0.35">
      <c r="A3223" t="s">
        <v>3412</v>
      </c>
      <c r="B3223" s="10">
        <v>46245</v>
      </c>
      <c r="C3223" t="s">
        <v>229</v>
      </c>
      <c r="D3223" t="s">
        <v>54</v>
      </c>
      <c r="E3223" t="s">
        <v>64</v>
      </c>
      <c r="F3223" t="s">
        <v>54</v>
      </c>
      <c r="G3223">
        <v>314.13</v>
      </c>
      <c r="H3223" t="s">
        <v>15</v>
      </c>
      <c r="I3223" t="s">
        <v>22</v>
      </c>
      <c r="J3223" t="s">
        <v>56</v>
      </c>
    </row>
    <row r="3224" spans="1:10" x14ac:dyDescent="0.35">
      <c r="A3224" t="s">
        <v>3413</v>
      </c>
      <c r="B3224" s="10">
        <v>46245</v>
      </c>
      <c r="C3224" t="s">
        <v>272</v>
      </c>
      <c r="D3224" t="s">
        <v>54</v>
      </c>
      <c r="E3224" t="s">
        <v>55</v>
      </c>
      <c r="F3224" t="s">
        <v>54</v>
      </c>
      <c r="G3224">
        <v>581.74</v>
      </c>
      <c r="H3224" t="s">
        <v>15</v>
      </c>
      <c r="I3224" t="s">
        <v>84</v>
      </c>
      <c r="J3224" t="s">
        <v>65</v>
      </c>
    </row>
    <row r="3225" spans="1:10" x14ac:dyDescent="0.35">
      <c r="A3225" t="s">
        <v>3414</v>
      </c>
      <c r="B3225" s="10">
        <v>46245</v>
      </c>
      <c r="C3225" t="s">
        <v>46</v>
      </c>
      <c r="D3225" t="s">
        <v>12</v>
      </c>
      <c r="E3225" t="s">
        <v>13</v>
      </c>
      <c r="F3225" t="s">
        <v>14</v>
      </c>
      <c r="G3225">
        <v>36.47</v>
      </c>
      <c r="H3225" t="s">
        <v>15</v>
      </c>
      <c r="I3225" t="s">
        <v>47</v>
      </c>
      <c r="J3225" t="s">
        <v>48</v>
      </c>
    </row>
    <row r="3226" spans="1:10" x14ac:dyDescent="0.35">
      <c r="A3226" t="s">
        <v>3415</v>
      </c>
      <c r="B3226" s="10">
        <v>46246</v>
      </c>
      <c r="C3226" t="s">
        <v>272</v>
      </c>
      <c r="D3226" t="s">
        <v>54</v>
      </c>
      <c r="E3226" t="s">
        <v>55</v>
      </c>
      <c r="F3226" t="s">
        <v>54</v>
      </c>
      <c r="G3226">
        <v>699.43</v>
      </c>
      <c r="H3226" t="s">
        <v>21</v>
      </c>
      <c r="I3226" t="s">
        <v>36</v>
      </c>
      <c r="J3226" t="s">
        <v>65</v>
      </c>
    </row>
    <row r="3227" spans="1:10" x14ac:dyDescent="0.35">
      <c r="A3227" t="s">
        <v>3416</v>
      </c>
      <c r="B3227" s="10">
        <v>46246</v>
      </c>
      <c r="C3227" t="s">
        <v>210</v>
      </c>
      <c r="D3227" t="s">
        <v>59</v>
      </c>
      <c r="E3227" t="s">
        <v>185</v>
      </c>
      <c r="F3227" t="s">
        <v>14</v>
      </c>
      <c r="G3227">
        <v>288.64999999999998</v>
      </c>
      <c r="H3227" t="s">
        <v>15</v>
      </c>
      <c r="I3227" t="s">
        <v>22</v>
      </c>
      <c r="J3227" t="s">
        <v>211</v>
      </c>
    </row>
    <row r="3228" spans="1:10" x14ac:dyDescent="0.35">
      <c r="A3228" t="s">
        <v>3417</v>
      </c>
      <c r="B3228" s="10">
        <v>46246</v>
      </c>
      <c r="C3228" t="s">
        <v>229</v>
      </c>
      <c r="D3228" t="s">
        <v>54</v>
      </c>
      <c r="E3228" t="s">
        <v>64</v>
      </c>
      <c r="F3228" t="s">
        <v>54</v>
      </c>
      <c r="G3228">
        <v>277.08</v>
      </c>
      <c r="H3228" t="s">
        <v>15</v>
      </c>
      <c r="I3228" t="s">
        <v>47</v>
      </c>
      <c r="J3228" t="s">
        <v>56</v>
      </c>
    </row>
    <row r="3229" spans="1:10" x14ac:dyDescent="0.35">
      <c r="A3229" t="s">
        <v>3418</v>
      </c>
      <c r="B3229" s="10">
        <v>46246</v>
      </c>
      <c r="C3229" t="s">
        <v>125</v>
      </c>
      <c r="D3229" t="s">
        <v>12</v>
      </c>
      <c r="E3229" t="s">
        <v>13</v>
      </c>
      <c r="F3229" t="s">
        <v>14</v>
      </c>
      <c r="G3229">
        <v>18.510000000000002</v>
      </c>
      <c r="H3229" t="s">
        <v>15</v>
      </c>
      <c r="I3229" t="s">
        <v>47</v>
      </c>
      <c r="J3229" t="s">
        <v>44</v>
      </c>
    </row>
    <row r="3230" spans="1:10" x14ac:dyDescent="0.35">
      <c r="A3230" t="s">
        <v>3419</v>
      </c>
      <c r="B3230" s="10">
        <v>46246</v>
      </c>
      <c r="C3230" t="s">
        <v>113</v>
      </c>
      <c r="D3230" t="s">
        <v>34</v>
      </c>
      <c r="E3230" t="s">
        <v>40</v>
      </c>
      <c r="F3230" t="s">
        <v>14</v>
      </c>
      <c r="G3230">
        <v>123.36</v>
      </c>
      <c r="H3230" t="s">
        <v>21</v>
      </c>
      <c r="I3230" t="s">
        <v>16</v>
      </c>
      <c r="J3230" t="s">
        <v>37</v>
      </c>
    </row>
    <row r="3231" spans="1:10" x14ac:dyDescent="0.35">
      <c r="A3231" t="s">
        <v>3420</v>
      </c>
      <c r="B3231" s="10">
        <v>46246</v>
      </c>
      <c r="C3231" t="s">
        <v>63</v>
      </c>
      <c r="D3231" t="s">
        <v>54</v>
      </c>
      <c r="E3231" t="s">
        <v>64</v>
      </c>
      <c r="F3231" t="s">
        <v>54</v>
      </c>
      <c r="G3231">
        <v>289.97000000000003</v>
      </c>
      <c r="H3231" t="s">
        <v>21</v>
      </c>
      <c r="I3231" t="s">
        <v>47</v>
      </c>
      <c r="J3231" t="s">
        <v>65</v>
      </c>
    </row>
    <row r="3232" spans="1:10" x14ac:dyDescent="0.35">
      <c r="A3232" t="s">
        <v>3421</v>
      </c>
      <c r="B3232" s="10">
        <v>46246</v>
      </c>
      <c r="C3232" t="s">
        <v>198</v>
      </c>
      <c r="D3232" t="s">
        <v>59</v>
      </c>
      <c r="E3232" t="s">
        <v>199</v>
      </c>
      <c r="F3232" t="s">
        <v>14</v>
      </c>
      <c r="G3232">
        <v>181.7</v>
      </c>
      <c r="H3232" t="s">
        <v>15</v>
      </c>
      <c r="I3232" t="s">
        <v>36</v>
      </c>
      <c r="J3232" t="s">
        <v>61</v>
      </c>
    </row>
    <row r="3233" spans="1:10" x14ac:dyDescent="0.35">
      <c r="A3233" t="s">
        <v>3422</v>
      </c>
      <c r="B3233" s="10">
        <v>46246</v>
      </c>
      <c r="C3233" t="s">
        <v>25</v>
      </c>
      <c r="D3233" t="s">
        <v>12</v>
      </c>
      <c r="E3233" t="s">
        <v>26</v>
      </c>
      <c r="F3233" t="s">
        <v>14</v>
      </c>
      <c r="G3233">
        <v>59.5</v>
      </c>
      <c r="H3233" t="s">
        <v>15</v>
      </c>
      <c r="I3233" t="s">
        <v>22</v>
      </c>
      <c r="J3233" t="s">
        <v>17</v>
      </c>
    </row>
    <row r="3234" spans="1:10" x14ac:dyDescent="0.35">
      <c r="A3234" t="s">
        <v>3423</v>
      </c>
      <c r="B3234" s="10">
        <v>46246</v>
      </c>
      <c r="C3234" t="s">
        <v>143</v>
      </c>
      <c r="D3234" t="s">
        <v>54</v>
      </c>
      <c r="E3234" t="s">
        <v>55</v>
      </c>
      <c r="F3234" t="s">
        <v>54</v>
      </c>
      <c r="G3234">
        <v>676.77</v>
      </c>
      <c r="H3234" t="s">
        <v>15</v>
      </c>
      <c r="I3234" t="s">
        <v>47</v>
      </c>
      <c r="J3234" t="s">
        <v>89</v>
      </c>
    </row>
    <row r="3235" spans="1:10" x14ac:dyDescent="0.35">
      <c r="A3235" t="s">
        <v>3424</v>
      </c>
      <c r="B3235" s="10">
        <v>46246</v>
      </c>
      <c r="C3235" t="s">
        <v>272</v>
      </c>
      <c r="D3235" t="s">
        <v>54</v>
      </c>
      <c r="E3235" t="s">
        <v>55</v>
      </c>
      <c r="F3235" t="s">
        <v>54</v>
      </c>
      <c r="G3235">
        <v>780.6</v>
      </c>
      <c r="H3235" t="s">
        <v>21</v>
      </c>
      <c r="I3235" t="s">
        <v>47</v>
      </c>
      <c r="J3235" t="s">
        <v>65</v>
      </c>
    </row>
    <row r="3236" spans="1:10" x14ac:dyDescent="0.35">
      <c r="A3236" t="s">
        <v>3425</v>
      </c>
      <c r="B3236" s="10">
        <v>46247</v>
      </c>
      <c r="C3236" t="s">
        <v>259</v>
      </c>
      <c r="D3236" t="s">
        <v>59</v>
      </c>
      <c r="E3236" t="s">
        <v>199</v>
      </c>
      <c r="F3236" t="s">
        <v>14</v>
      </c>
      <c r="G3236">
        <v>303.54000000000002</v>
      </c>
      <c r="H3236" t="s">
        <v>15</v>
      </c>
      <c r="I3236" t="s">
        <v>47</v>
      </c>
      <c r="J3236" t="s">
        <v>170</v>
      </c>
    </row>
    <row r="3237" spans="1:10" x14ac:dyDescent="0.35">
      <c r="A3237" t="s">
        <v>3426</v>
      </c>
      <c r="B3237" s="10">
        <v>46247</v>
      </c>
      <c r="C3237" t="s">
        <v>39</v>
      </c>
      <c r="D3237" t="s">
        <v>34</v>
      </c>
      <c r="E3237" t="s">
        <v>40</v>
      </c>
      <c r="F3237" t="s">
        <v>14</v>
      </c>
      <c r="G3237">
        <v>136.79</v>
      </c>
      <c r="H3237" t="s">
        <v>21</v>
      </c>
      <c r="I3237" t="s">
        <v>16</v>
      </c>
      <c r="J3237" t="s">
        <v>41</v>
      </c>
    </row>
    <row r="3238" spans="1:10" x14ac:dyDescent="0.35">
      <c r="A3238" t="s">
        <v>3427</v>
      </c>
      <c r="B3238" s="10">
        <v>46247</v>
      </c>
      <c r="C3238" t="s">
        <v>132</v>
      </c>
      <c r="D3238" t="s">
        <v>69</v>
      </c>
      <c r="E3238" t="s">
        <v>70</v>
      </c>
      <c r="F3238" t="s">
        <v>14</v>
      </c>
      <c r="G3238">
        <v>543.03</v>
      </c>
      <c r="H3238" t="s">
        <v>15</v>
      </c>
      <c r="I3238" t="s">
        <v>22</v>
      </c>
      <c r="J3238" t="s">
        <v>133</v>
      </c>
    </row>
    <row r="3239" spans="1:10" x14ac:dyDescent="0.35">
      <c r="A3239" t="s">
        <v>3428</v>
      </c>
      <c r="B3239" s="10">
        <v>46247</v>
      </c>
      <c r="C3239" t="s">
        <v>172</v>
      </c>
      <c r="D3239" t="s">
        <v>101</v>
      </c>
      <c r="E3239" t="s">
        <v>102</v>
      </c>
      <c r="F3239" t="s">
        <v>14</v>
      </c>
      <c r="G3239">
        <v>45.5</v>
      </c>
      <c r="H3239" t="s">
        <v>15</v>
      </c>
      <c r="I3239" t="s">
        <v>22</v>
      </c>
      <c r="J3239" t="s">
        <v>102</v>
      </c>
    </row>
    <row r="3240" spans="1:10" x14ac:dyDescent="0.35">
      <c r="A3240" t="s">
        <v>3429</v>
      </c>
      <c r="B3240" s="10">
        <v>46247</v>
      </c>
      <c r="C3240" t="s">
        <v>262</v>
      </c>
      <c r="D3240" t="s">
        <v>101</v>
      </c>
      <c r="E3240" t="s">
        <v>244</v>
      </c>
      <c r="F3240" t="s">
        <v>14</v>
      </c>
      <c r="G3240">
        <v>122.37</v>
      </c>
      <c r="H3240" t="s">
        <v>21</v>
      </c>
      <c r="I3240" t="s">
        <v>22</v>
      </c>
      <c r="J3240" t="s">
        <v>136</v>
      </c>
    </row>
    <row r="3241" spans="1:10" x14ac:dyDescent="0.35">
      <c r="A3241" t="s">
        <v>3430</v>
      </c>
      <c r="B3241" s="10">
        <v>46247</v>
      </c>
      <c r="C3241" t="s">
        <v>267</v>
      </c>
      <c r="D3241" t="s">
        <v>29</v>
      </c>
      <c r="E3241" t="s">
        <v>30</v>
      </c>
      <c r="F3241" t="s">
        <v>14</v>
      </c>
      <c r="G3241">
        <v>56.81</v>
      </c>
      <c r="H3241" t="s">
        <v>21</v>
      </c>
      <c r="I3241" t="s">
        <v>22</v>
      </c>
      <c r="J3241" t="s">
        <v>96</v>
      </c>
    </row>
    <row r="3242" spans="1:10" x14ac:dyDescent="0.35">
      <c r="A3242" t="s">
        <v>3431</v>
      </c>
      <c r="B3242" s="10">
        <v>46247</v>
      </c>
      <c r="C3242" t="s">
        <v>198</v>
      </c>
      <c r="D3242" t="s">
        <v>59</v>
      </c>
      <c r="E3242" t="s">
        <v>199</v>
      </c>
      <c r="F3242" t="s">
        <v>14</v>
      </c>
      <c r="G3242">
        <v>242.71</v>
      </c>
      <c r="H3242" t="s">
        <v>21</v>
      </c>
      <c r="I3242" t="s">
        <v>36</v>
      </c>
      <c r="J3242" t="s">
        <v>61</v>
      </c>
    </row>
    <row r="3243" spans="1:10" x14ac:dyDescent="0.35">
      <c r="A3243" t="s">
        <v>3432</v>
      </c>
      <c r="B3243" s="10">
        <v>46247</v>
      </c>
      <c r="C3243" t="s">
        <v>138</v>
      </c>
      <c r="D3243" t="s">
        <v>12</v>
      </c>
      <c r="E3243" t="s">
        <v>26</v>
      </c>
      <c r="F3243" t="s">
        <v>14</v>
      </c>
      <c r="G3243">
        <v>18.79</v>
      </c>
      <c r="H3243" t="s">
        <v>15</v>
      </c>
      <c r="I3243" t="s">
        <v>22</v>
      </c>
      <c r="J3243" t="s">
        <v>77</v>
      </c>
    </row>
    <row r="3244" spans="1:10" x14ac:dyDescent="0.35">
      <c r="A3244" t="s">
        <v>3433</v>
      </c>
      <c r="B3244" s="10">
        <v>46247</v>
      </c>
      <c r="C3244" t="s">
        <v>229</v>
      </c>
      <c r="D3244" t="s">
        <v>54</v>
      </c>
      <c r="E3244" t="s">
        <v>64</v>
      </c>
      <c r="F3244" t="s">
        <v>54</v>
      </c>
      <c r="G3244">
        <v>341.63</v>
      </c>
      <c r="H3244" t="s">
        <v>15</v>
      </c>
      <c r="I3244" t="s">
        <v>22</v>
      </c>
      <c r="J3244" t="s">
        <v>56</v>
      </c>
    </row>
    <row r="3245" spans="1:10" x14ac:dyDescent="0.35">
      <c r="A3245" t="s">
        <v>3434</v>
      </c>
      <c r="B3245" s="10">
        <v>46247</v>
      </c>
      <c r="C3245" t="s">
        <v>281</v>
      </c>
      <c r="D3245" t="s">
        <v>34</v>
      </c>
      <c r="E3245" t="s">
        <v>40</v>
      </c>
      <c r="F3245" t="s">
        <v>14</v>
      </c>
      <c r="G3245">
        <v>57.54</v>
      </c>
      <c r="H3245" t="s">
        <v>21</v>
      </c>
      <c r="I3245" t="s">
        <v>36</v>
      </c>
      <c r="J3245" t="s">
        <v>123</v>
      </c>
    </row>
    <row r="3246" spans="1:10" x14ac:dyDescent="0.35">
      <c r="A3246" t="s">
        <v>3435</v>
      </c>
      <c r="B3246" s="10">
        <v>46247</v>
      </c>
      <c r="C3246" t="s">
        <v>232</v>
      </c>
      <c r="D3246" t="s">
        <v>69</v>
      </c>
      <c r="E3246" t="s">
        <v>233</v>
      </c>
      <c r="F3246" t="s">
        <v>14</v>
      </c>
      <c r="G3246">
        <v>657.28</v>
      </c>
      <c r="H3246" t="s">
        <v>15</v>
      </c>
      <c r="I3246" t="s">
        <v>84</v>
      </c>
      <c r="J3246" t="s">
        <v>71</v>
      </c>
    </row>
    <row r="3247" spans="1:10" x14ac:dyDescent="0.35">
      <c r="A3247" t="s">
        <v>3436</v>
      </c>
      <c r="B3247" s="10">
        <v>46248</v>
      </c>
      <c r="C3247" t="s">
        <v>113</v>
      </c>
      <c r="D3247" t="s">
        <v>34</v>
      </c>
      <c r="E3247" t="s">
        <v>40</v>
      </c>
      <c r="F3247" t="s">
        <v>14</v>
      </c>
      <c r="G3247">
        <v>114.21</v>
      </c>
      <c r="H3247" t="s">
        <v>15</v>
      </c>
      <c r="I3247" t="s">
        <v>22</v>
      </c>
      <c r="J3247" t="s">
        <v>37</v>
      </c>
    </row>
    <row r="3248" spans="1:10" x14ac:dyDescent="0.35">
      <c r="A3248" t="s">
        <v>3437</v>
      </c>
      <c r="B3248" s="10">
        <v>46248</v>
      </c>
      <c r="C3248" t="s">
        <v>94</v>
      </c>
      <c r="D3248" t="s">
        <v>29</v>
      </c>
      <c r="E3248" t="s">
        <v>95</v>
      </c>
      <c r="F3248" t="s">
        <v>14</v>
      </c>
      <c r="G3248">
        <v>69.16</v>
      </c>
      <c r="H3248" t="s">
        <v>21</v>
      </c>
      <c r="I3248" t="s">
        <v>22</v>
      </c>
      <c r="J3248" t="s">
        <v>96</v>
      </c>
    </row>
    <row r="3249" spans="1:10" x14ac:dyDescent="0.35">
      <c r="A3249" t="s">
        <v>3438</v>
      </c>
      <c r="B3249" s="10">
        <v>46248</v>
      </c>
      <c r="C3249" t="s">
        <v>28</v>
      </c>
      <c r="D3249" t="s">
        <v>29</v>
      </c>
      <c r="E3249" t="s">
        <v>30</v>
      </c>
      <c r="F3249" t="s">
        <v>14</v>
      </c>
      <c r="G3249">
        <v>30.13</v>
      </c>
      <c r="H3249" t="s">
        <v>15</v>
      </c>
      <c r="I3249" t="s">
        <v>22</v>
      </c>
      <c r="J3249" t="s">
        <v>31</v>
      </c>
    </row>
    <row r="3250" spans="1:10" x14ac:dyDescent="0.35">
      <c r="A3250" t="s">
        <v>3439</v>
      </c>
      <c r="B3250" s="10">
        <v>46249</v>
      </c>
      <c r="C3250" t="s">
        <v>53</v>
      </c>
      <c r="D3250" t="s">
        <v>54</v>
      </c>
      <c r="E3250" t="s">
        <v>55</v>
      </c>
      <c r="F3250" t="s">
        <v>54</v>
      </c>
      <c r="G3250">
        <v>750.51</v>
      </c>
      <c r="H3250" t="s">
        <v>21</v>
      </c>
      <c r="I3250" t="s">
        <v>22</v>
      </c>
      <c r="J3250" t="s">
        <v>56</v>
      </c>
    </row>
    <row r="3251" spans="1:10" x14ac:dyDescent="0.35">
      <c r="A3251" t="s">
        <v>3440</v>
      </c>
      <c r="B3251" s="10">
        <v>46249</v>
      </c>
      <c r="C3251" t="s">
        <v>143</v>
      </c>
      <c r="D3251" t="s">
        <v>54</v>
      </c>
      <c r="E3251" t="s">
        <v>55</v>
      </c>
      <c r="F3251" t="s">
        <v>54</v>
      </c>
      <c r="G3251">
        <v>706.99</v>
      </c>
      <c r="H3251" t="s">
        <v>15</v>
      </c>
      <c r="I3251" t="s">
        <v>47</v>
      </c>
      <c r="J3251" t="s">
        <v>89</v>
      </c>
    </row>
    <row r="3252" spans="1:10" x14ac:dyDescent="0.35">
      <c r="A3252" t="s">
        <v>3441</v>
      </c>
      <c r="B3252" s="10">
        <v>46249</v>
      </c>
      <c r="C3252" t="s">
        <v>143</v>
      </c>
      <c r="D3252" t="s">
        <v>54</v>
      </c>
      <c r="E3252" t="s">
        <v>55</v>
      </c>
      <c r="F3252" t="s">
        <v>54</v>
      </c>
      <c r="G3252">
        <v>661.91</v>
      </c>
      <c r="H3252" t="s">
        <v>15</v>
      </c>
      <c r="I3252" t="s">
        <v>36</v>
      </c>
      <c r="J3252" t="s">
        <v>89</v>
      </c>
    </row>
    <row r="3253" spans="1:10" x14ac:dyDescent="0.35">
      <c r="A3253" t="s">
        <v>3442</v>
      </c>
      <c r="B3253" s="10">
        <v>46249</v>
      </c>
      <c r="C3253" t="s">
        <v>272</v>
      </c>
      <c r="D3253" t="s">
        <v>54</v>
      </c>
      <c r="E3253" t="s">
        <v>55</v>
      </c>
      <c r="F3253" t="s">
        <v>54</v>
      </c>
      <c r="G3253">
        <v>814.55</v>
      </c>
      <c r="H3253" t="s">
        <v>15</v>
      </c>
      <c r="I3253" t="s">
        <v>36</v>
      </c>
      <c r="J3253" t="s">
        <v>65</v>
      </c>
    </row>
    <row r="3254" spans="1:10" x14ac:dyDescent="0.35">
      <c r="A3254" t="s">
        <v>3443</v>
      </c>
      <c r="B3254" s="10">
        <v>46249</v>
      </c>
      <c r="C3254" t="s">
        <v>345</v>
      </c>
      <c r="D3254" t="s">
        <v>59</v>
      </c>
      <c r="E3254" t="s">
        <v>60</v>
      </c>
      <c r="F3254" t="s">
        <v>14</v>
      </c>
      <c r="G3254">
        <v>129.09</v>
      </c>
      <c r="H3254" t="s">
        <v>15</v>
      </c>
      <c r="I3254" t="s">
        <v>47</v>
      </c>
      <c r="J3254" t="s">
        <v>211</v>
      </c>
    </row>
    <row r="3255" spans="1:10" x14ac:dyDescent="0.35">
      <c r="A3255" t="s">
        <v>3444</v>
      </c>
      <c r="B3255" s="10">
        <v>46250</v>
      </c>
      <c r="C3255" t="s">
        <v>272</v>
      </c>
      <c r="D3255" t="s">
        <v>54</v>
      </c>
      <c r="E3255" t="s">
        <v>55</v>
      </c>
      <c r="F3255" t="s">
        <v>54</v>
      </c>
      <c r="G3255">
        <v>779.49</v>
      </c>
      <c r="H3255" t="s">
        <v>21</v>
      </c>
      <c r="I3255" t="s">
        <v>47</v>
      </c>
      <c r="J3255" t="s">
        <v>65</v>
      </c>
    </row>
    <row r="3256" spans="1:10" x14ac:dyDescent="0.35">
      <c r="A3256" t="s">
        <v>3445</v>
      </c>
      <c r="B3256" s="10">
        <v>46250</v>
      </c>
      <c r="C3256" t="s">
        <v>238</v>
      </c>
      <c r="D3256" t="s">
        <v>34</v>
      </c>
      <c r="E3256" t="s">
        <v>35</v>
      </c>
      <c r="F3256" t="s">
        <v>14</v>
      </c>
      <c r="G3256">
        <v>112.28</v>
      </c>
      <c r="H3256" t="s">
        <v>21</v>
      </c>
      <c r="I3256" t="s">
        <v>36</v>
      </c>
      <c r="J3256" t="s">
        <v>239</v>
      </c>
    </row>
    <row r="3257" spans="1:10" x14ac:dyDescent="0.35">
      <c r="A3257" t="s">
        <v>3446</v>
      </c>
      <c r="B3257" s="10">
        <v>46250</v>
      </c>
      <c r="C3257" t="s">
        <v>580</v>
      </c>
      <c r="D3257" t="s">
        <v>80</v>
      </c>
      <c r="E3257" t="s">
        <v>81</v>
      </c>
      <c r="F3257" t="s">
        <v>14</v>
      </c>
      <c r="G3257">
        <v>55.82</v>
      </c>
      <c r="H3257" t="s">
        <v>21</v>
      </c>
      <c r="I3257" t="s">
        <v>22</v>
      </c>
      <c r="J3257" t="s">
        <v>118</v>
      </c>
    </row>
    <row r="3258" spans="1:10" x14ac:dyDescent="0.35">
      <c r="A3258" t="s">
        <v>3447</v>
      </c>
      <c r="B3258" s="10">
        <v>46250</v>
      </c>
      <c r="C3258" t="s">
        <v>11</v>
      </c>
      <c r="D3258" t="s">
        <v>12</v>
      </c>
      <c r="E3258" t="s">
        <v>13</v>
      </c>
      <c r="F3258" t="s">
        <v>14</v>
      </c>
      <c r="G3258">
        <v>32.770000000000003</v>
      </c>
      <c r="H3258" t="s">
        <v>15</v>
      </c>
      <c r="I3258" t="s">
        <v>22</v>
      </c>
      <c r="J3258" t="s">
        <v>17</v>
      </c>
    </row>
    <row r="3259" spans="1:10" x14ac:dyDescent="0.35">
      <c r="A3259" t="s">
        <v>3448</v>
      </c>
      <c r="B3259" s="10">
        <v>46250</v>
      </c>
      <c r="C3259" t="s">
        <v>350</v>
      </c>
      <c r="D3259" t="s">
        <v>29</v>
      </c>
      <c r="E3259" t="s">
        <v>151</v>
      </c>
      <c r="F3259" t="s">
        <v>14</v>
      </c>
      <c r="G3259">
        <v>70.400000000000006</v>
      </c>
      <c r="H3259" t="s">
        <v>21</v>
      </c>
      <c r="I3259" t="s">
        <v>36</v>
      </c>
      <c r="J3259" t="s">
        <v>158</v>
      </c>
    </row>
    <row r="3260" spans="1:10" x14ac:dyDescent="0.35">
      <c r="A3260" t="s">
        <v>3449</v>
      </c>
      <c r="B3260" s="10">
        <v>46250</v>
      </c>
      <c r="C3260" t="s">
        <v>116</v>
      </c>
      <c r="D3260" t="s">
        <v>80</v>
      </c>
      <c r="E3260" t="s">
        <v>117</v>
      </c>
      <c r="F3260" t="s">
        <v>14</v>
      </c>
      <c r="G3260">
        <v>81.14</v>
      </c>
      <c r="H3260" t="s">
        <v>15</v>
      </c>
      <c r="I3260" t="s">
        <v>22</v>
      </c>
      <c r="J3260" t="s">
        <v>118</v>
      </c>
    </row>
    <row r="3261" spans="1:10" x14ac:dyDescent="0.35">
      <c r="A3261" t="s">
        <v>3450</v>
      </c>
      <c r="B3261" s="10">
        <v>46251</v>
      </c>
      <c r="C3261" t="s">
        <v>130</v>
      </c>
      <c r="D3261" t="s">
        <v>12</v>
      </c>
      <c r="E3261" t="s">
        <v>26</v>
      </c>
      <c r="F3261" t="s">
        <v>14</v>
      </c>
      <c r="G3261">
        <v>31.84</v>
      </c>
      <c r="H3261" t="s">
        <v>15</v>
      </c>
      <c r="I3261" t="s">
        <v>47</v>
      </c>
      <c r="J3261" t="s">
        <v>48</v>
      </c>
    </row>
    <row r="3262" spans="1:10" x14ac:dyDescent="0.35">
      <c r="A3262" t="s">
        <v>3451</v>
      </c>
      <c r="B3262" s="10">
        <v>46252</v>
      </c>
      <c r="C3262" t="s">
        <v>19</v>
      </c>
      <c r="D3262" t="s">
        <v>12</v>
      </c>
      <c r="E3262" t="s">
        <v>13</v>
      </c>
      <c r="F3262" t="s">
        <v>14</v>
      </c>
      <c r="G3262">
        <v>11.25</v>
      </c>
      <c r="H3262" t="s">
        <v>21</v>
      </c>
      <c r="I3262" t="s">
        <v>22</v>
      </c>
      <c r="J3262" t="s">
        <v>23</v>
      </c>
    </row>
    <row r="3263" spans="1:10" x14ac:dyDescent="0.35">
      <c r="A3263" t="s">
        <v>3452</v>
      </c>
      <c r="B3263" s="10">
        <v>46252</v>
      </c>
      <c r="C3263" t="s">
        <v>445</v>
      </c>
      <c r="D3263" t="s">
        <v>101</v>
      </c>
      <c r="E3263" t="s">
        <v>244</v>
      </c>
      <c r="F3263" t="s">
        <v>14</v>
      </c>
      <c r="G3263">
        <v>92.13</v>
      </c>
      <c r="H3263" t="s">
        <v>15</v>
      </c>
      <c r="I3263" t="s">
        <v>22</v>
      </c>
      <c r="J3263" t="s">
        <v>103</v>
      </c>
    </row>
    <row r="3264" spans="1:10" x14ac:dyDescent="0.35">
      <c r="A3264" t="s">
        <v>3453</v>
      </c>
      <c r="B3264" s="10">
        <v>46252</v>
      </c>
      <c r="C3264" t="s">
        <v>229</v>
      </c>
      <c r="D3264" t="s">
        <v>54</v>
      </c>
      <c r="E3264" t="s">
        <v>64</v>
      </c>
      <c r="F3264" t="s">
        <v>54</v>
      </c>
      <c r="G3264">
        <v>435.96</v>
      </c>
      <c r="H3264" t="s">
        <v>15</v>
      </c>
      <c r="I3264" t="s">
        <v>22</v>
      </c>
      <c r="J3264" t="s">
        <v>56</v>
      </c>
    </row>
    <row r="3265" spans="1:10" x14ac:dyDescent="0.35">
      <c r="A3265" t="s">
        <v>3454</v>
      </c>
      <c r="B3265" s="10">
        <v>46252</v>
      </c>
      <c r="C3265" t="s">
        <v>53</v>
      </c>
      <c r="D3265" t="s">
        <v>54</v>
      </c>
      <c r="E3265" t="s">
        <v>55</v>
      </c>
      <c r="F3265" t="s">
        <v>54</v>
      </c>
      <c r="G3265">
        <v>772.98</v>
      </c>
      <c r="H3265" t="s">
        <v>21</v>
      </c>
      <c r="I3265" t="s">
        <v>47</v>
      </c>
      <c r="J3265" t="s">
        <v>56</v>
      </c>
    </row>
    <row r="3266" spans="1:10" x14ac:dyDescent="0.35">
      <c r="A3266" t="s">
        <v>3455</v>
      </c>
      <c r="B3266" s="10">
        <v>46252</v>
      </c>
      <c r="C3266" t="s">
        <v>53</v>
      </c>
      <c r="D3266" t="s">
        <v>54</v>
      </c>
      <c r="E3266" t="s">
        <v>55</v>
      </c>
      <c r="F3266" t="s">
        <v>54</v>
      </c>
      <c r="G3266">
        <v>705.36</v>
      </c>
      <c r="H3266" t="s">
        <v>98</v>
      </c>
      <c r="I3266" t="s">
        <v>22</v>
      </c>
      <c r="J3266" t="s">
        <v>56</v>
      </c>
    </row>
    <row r="3267" spans="1:10" x14ac:dyDescent="0.35">
      <c r="A3267" t="s">
        <v>3456</v>
      </c>
      <c r="B3267" s="10">
        <v>46252</v>
      </c>
      <c r="C3267" t="s">
        <v>172</v>
      </c>
      <c r="D3267" t="s">
        <v>101</v>
      </c>
      <c r="E3267" t="s">
        <v>102</v>
      </c>
      <c r="F3267" t="s">
        <v>14</v>
      </c>
      <c r="G3267">
        <v>110.33</v>
      </c>
      <c r="H3267" t="s">
        <v>15</v>
      </c>
      <c r="I3267" t="s">
        <v>36</v>
      </c>
      <c r="J3267" t="s">
        <v>102</v>
      </c>
    </row>
    <row r="3268" spans="1:10" x14ac:dyDescent="0.35">
      <c r="A3268" t="s">
        <v>3457</v>
      </c>
      <c r="B3268" s="10">
        <v>46252</v>
      </c>
      <c r="C3268" t="s">
        <v>296</v>
      </c>
      <c r="D3268" t="s">
        <v>101</v>
      </c>
      <c r="E3268" t="s">
        <v>136</v>
      </c>
      <c r="F3268" t="s">
        <v>14</v>
      </c>
      <c r="G3268">
        <v>78.08</v>
      </c>
      <c r="H3268" t="s">
        <v>15</v>
      </c>
      <c r="I3268" t="s">
        <v>36</v>
      </c>
      <c r="J3268" t="s">
        <v>136</v>
      </c>
    </row>
    <row r="3269" spans="1:10" x14ac:dyDescent="0.35">
      <c r="A3269" t="s">
        <v>3458</v>
      </c>
      <c r="B3269" s="10">
        <v>46252</v>
      </c>
      <c r="C3269" t="s">
        <v>73</v>
      </c>
      <c r="D3269" t="s">
        <v>54</v>
      </c>
      <c r="E3269" t="s">
        <v>74</v>
      </c>
      <c r="F3269" t="s">
        <v>54</v>
      </c>
      <c r="G3269">
        <v>2400.73</v>
      </c>
      <c r="H3269" t="s">
        <v>15</v>
      </c>
      <c r="I3269" t="s">
        <v>22</v>
      </c>
      <c r="J3269" t="s">
        <v>65</v>
      </c>
    </row>
    <row r="3270" spans="1:10" x14ac:dyDescent="0.35">
      <c r="A3270" t="s">
        <v>3459</v>
      </c>
      <c r="B3270" s="10">
        <v>46252</v>
      </c>
      <c r="C3270" t="s">
        <v>395</v>
      </c>
      <c r="D3270" t="s">
        <v>69</v>
      </c>
      <c r="E3270" t="s">
        <v>291</v>
      </c>
      <c r="F3270" t="s">
        <v>14</v>
      </c>
      <c r="G3270">
        <v>74.38</v>
      </c>
      <c r="H3270" t="s">
        <v>15</v>
      </c>
      <c r="I3270" t="s">
        <v>47</v>
      </c>
      <c r="J3270" t="s">
        <v>396</v>
      </c>
    </row>
    <row r="3271" spans="1:10" x14ac:dyDescent="0.35">
      <c r="A3271" t="s">
        <v>3460</v>
      </c>
      <c r="B3271" s="10">
        <v>46253</v>
      </c>
      <c r="C3271" t="s">
        <v>464</v>
      </c>
      <c r="D3271" t="s">
        <v>34</v>
      </c>
      <c r="E3271" t="s">
        <v>122</v>
      </c>
      <c r="F3271" t="s">
        <v>14</v>
      </c>
      <c r="G3271">
        <v>196.02</v>
      </c>
      <c r="H3271" t="s">
        <v>15</v>
      </c>
      <c r="I3271" t="s">
        <v>22</v>
      </c>
      <c r="J3271" t="s">
        <v>239</v>
      </c>
    </row>
    <row r="3272" spans="1:10" x14ac:dyDescent="0.35">
      <c r="A3272" t="s">
        <v>3461</v>
      </c>
      <c r="B3272" s="10">
        <v>46253</v>
      </c>
      <c r="C3272" t="s">
        <v>130</v>
      </c>
      <c r="D3272" t="s">
        <v>12</v>
      </c>
      <c r="E3272" t="s">
        <v>26</v>
      </c>
      <c r="F3272" t="s">
        <v>14</v>
      </c>
      <c r="G3272">
        <v>31.21</v>
      </c>
      <c r="H3272" t="s">
        <v>15</v>
      </c>
      <c r="I3272" t="s">
        <v>22</v>
      </c>
      <c r="J3272" t="s">
        <v>48</v>
      </c>
    </row>
    <row r="3273" spans="1:10" x14ac:dyDescent="0.35">
      <c r="A3273" t="s">
        <v>3462</v>
      </c>
      <c r="B3273" s="10">
        <v>46253</v>
      </c>
      <c r="C3273" t="s">
        <v>168</v>
      </c>
      <c r="D3273" t="s">
        <v>59</v>
      </c>
      <c r="E3273" t="s">
        <v>60</v>
      </c>
      <c r="F3273" t="s">
        <v>14</v>
      </c>
      <c r="G3273">
        <v>224.14</v>
      </c>
      <c r="H3273" t="s">
        <v>21</v>
      </c>
      <c r="I3273" t="s">
        <v>22</v>
      </c>
      <c r="J3273" t="s">
        <v>170</v>
      </c>
    </row>
    <row r="3274" spans="1:10" x14ac:dyDescent="0.35">
      <c r="A3274" t="s">
        <v>3463</v>
      </c>
      <c r="B3274" s="10">
        <v>46253</v>
      </c>
      <c r="C3274" t="s">
        <v>39</v>
      </c>
      <c r="D3274" t="s">
        <v>34</v>
      </c>
      <c r="E3274" t="s">
        <v>40</v>
      </c>
      <c r="F3274" t="s">
        <v>14</v>
      </c>
      <c r="G3274">
        <v>75.19</v>
      </c>
      <c r="H3274" t="s">
        <v>21</v>
      </c>
      <c r="I3274" t="s">
        <v>22</v>
      </c>
      <c r="J3274" t="s">
        <v>41</v>
      </c>
    </row>
    <row r="3275" spans="1:10" x14ac:dyDescent="0.35">
      <c r="A3275" t="s">
        <v>3464</v>
      </c>
      <c r="B3275" s="10">
        <v>46254</v>
      </c>
      <c r="C3275" t="s">
        <v>229</v>
      </c>
      <c r="D3275" t="s">
        <v>54</v>
      </c>
      <c r="E3275" t="s">
        <v>64</v>
      </c>
      <c r="F3275" t="s">
        <v>54</v>
      </c>
      <c r="G3275">
        <v>358.17</v>
      </c>
      <c r="H3275" t="s">
        <v>21</v>
      </c>
      <c r="I3275" t="s">
        <v>36</v>
      </c>
      <c r="J3275" t="s">
        <v>56</v>
      </c>
    </row>
    <row r="3276" spans="1:10" x14ac:dyDescent="0.35">
      <c r="A3276" t="s">
        <v>3465</v>
      </c>
      <c r="B3276" s="10">
        <v>46254</v>
      </c>
      <c r="C3276" t="s">
        <v>220</v>
      </c>
      <c r="D3276" t="s">
        <v>59</v>
      </c>
      <c r="E3276" t="s">
        <v>199</v>
      </c>
      <c r="F3276" t="s">
        <v>14</v>
      </c>
      <c r="G3276">
        <v>309.85000000000002</v>
      </c>
      <c r="H3276" t="s">
        <v>15</v>
      </c>
      <c r="I3276" t="s">
        <v>36</v>
      </c>
      <c r="J3276" t="s">
        <v>211</v>
      </c>
    </row>
    <row r="3277" spans="1:10" x14ac:dyDescent="0.35">
      <c r="A3277" t="s">
        <v>3466</v>
      </c>
      <c r="B3277" s="10">
        <v>46254</v>
      </c>
      <c r="C3277" t="s">
        <v>88</v>
      </c>
      <c r="D3277" t="s">
        <v>54</v>
      </c>
      <c r="E3277" t="s">
        <v>74</v>
      </c>
      <c r="F3277" t="s">
        <v>54</v>
      </c>
      <c r="G3277">
        <v>2693.83</v>
      </c>
      <c r="H3277" t="s">
        <v>98</v>
      </c>
      <c r="I3277" t="s">
        <v>47</v>
      </c>
      <c r="J3277" t="s">
        <v>89</v>
      </c>
    </row>
    <row r="3278" spans="1:10" x14ac:dyDescent="0.35">
      <c r="A3278" t="s">
        <v>3467</v>
      </c>
      <c r="B3278" s="10">
        <v>46254</v>
      </c>
      <c r="C3278" t="s">
        <v>130</v>
      </c>
      <c r="D3278" t="s">
        <v>12</v>
      </c>
      <c r="E3278" t="s">
        <v>26</v>
      </c>
      <c r="F3278" t="s">
        <v>14</v>
      </c>
      <c r="G3278">
        <v>12.18</v>
      </c>
      <c r="H3278" t="s">
        <v>98</v>
      </c>
      <c r="I3278" t="s">
        <v>16</v>
      </c>
      <c r="J3278" t="s">
        <v>48</v>
      </c>
    </row>
    <row r="3279" spans="1:10" x14ac:dyDescent="0.35">
      <c r="A3279" t="s">
        <v>3468</v>
      </c>
      <c r="B3279" s="10">
        <v>46254</v>
      </c>
      <c r="C3279" t="s">
        <v>395</v>
      </c>
      <c r="D3279" t="s">
        <v>69</v>
      </c>
      <c r="E3279" t="s">
        <v>291</v>
      </c>
      <c r="F3279" t="s">
        <v>14</v>
      </c>
      <c r="G3279">
        <v>253.28</v>
      </c>
      <c r="H3279" t="s">
        <v>98</v>
      </c>
      <c r="I3279" t="s">
        <v>36</v>
      </c>
      <c r="J3279" t="s">
        <v>396</v>
      </c>
    </row>
    <row r="3280" spans="1:10" x14ac:dyDescent="0.35">
      <c r="A3280" t="s">
        <v>3469</v>
      </c>
      <c r="B3280" s="10">
        <v>46255</v>
      </c>
      <c r="C3280" t="s">
        <v>215</v>
      </c>
      <c r="D3280" t="s">
        <v>80</v>
      </c>
      <c r="E3280" t="s">
        <v>117</v>
      </c>
      <c r="F3280" t="s">
        <v>14</v>
      </c>
      <c r="G3280">
        <v>120.59</v>
      </c>
      <c r="H3280" t="s">
        <v>15</v>
      </c>
      <c r="I3280" t="s">
        <v>22</v>
      </c>
      <c r="J3280" t="s">
        <v>141</v>
      </c>
    </row>
    <row r="3281" spans="1:10" x14ac:dyDescent="0.35">
      <c r="A3281" t="s">
        <v>3470</v>
      </c>
      <c r="B3281" s="10">
        <v>46255</v>
      </c>
      <c r="C3281" t="s">
        <v>210</v>
      </c>
      <c r="D3281" t="s">
        <v>59</v>
      </c>
      <c r="E3281" t="s">
        <v>185</v>
      </c>
      <c r="F3281" t="s">
        <v>14</v>
      </c>
      <c r="G3281">
        <v>250.33</v>
      </c>
      <c r="H3281" t="s">
        <v>21</v>
      </c>
      <c r="I3281" t="s">
        <v>22</v>
      </c>
      <c r="J3281" t="s">
        <v>211</v>
      </c>
    </row>
    <row r="3282" spans="1:10" x14ac:dyDescent="0.35">
      <c r="A3282" t="s">
        <v>3471</v>
      </c>
      <c r="B3282" s="10">
        <v>46255</v>
      </c>
      <c r="C3282" t="s">
        <v>253</v>
      </c>
      <c r="D3282" t="s">
        <v>29</v>
      </c>
      <c r="E3282" t="s">
        <v>30</v>
      </c>
      <c r="F3282" t="s">
        <v>14</v>
      </c>
      <c r="G3282">
        <v>24.35</v>
      </c>
      <c r="H3282" t="s">
        <v>21</v>
      </c>
      <c r="I3282" t="s">
        <v>47</v>
      </c>
      <c r="J3282" t="s">
        <v>158</v>
      </c>
    </row>
    <row r="3283" spans="1:10" x14ac:dyDescent="0.35">
      <c r="A3283" t="s">
        <v>3472</v>
      </c>
      <c r="B3283" s="10">
        <v>46255</v>
      </c>
      <c r="C3283" t="s">
        <v>143</v>
      </c>
      <c r="D3283" t="s">
        <v>54</v>
      </c>
      <c r="E3283" t="s">
        <v>55</v>
      </c>
      <c r="F3283" t="s">
        <v>54</v>
      </c>
      <c r="G3283">
        <v>615.01</v>
      </c>
      <c r="H3283" t="s">
        <v>15</v>
      </c>
      <c r="I3283" t="s">
        <v>22</v>
      </c>
      <c r="J3283" t="s">
        <v>89</v>
      </c>
    </row>
    <row r="3284" spans="1:10" x14ac:dyDescent="0.35">
      <c r="A3284" t="s">
        <v>3473</v>
      </c>
      <c r="B3284" s="10">
        <v>46256</v>
      </c>
      <c r="C3284" t="s">
        <v>130</v>
      </c>
      <c r="D3284" t="s">
        <v>12</v>
      </c>
      <c r="E3284" t="s">
        <v>26</v>
      </c>
      <c r="F3284" t="s">
        <v>14</v>
      </c>
      <c r="G3284">
        <v>33.32</v>
      </c>
      <c r="H3284" t="s">
        <v>15</v>
      </c>
      <c r="I3284" t="s">
        <v>22</v>
      </c>
      <c r="J3284" t="s">
        <v>48</v>
      </c>
    </row>
    <row r="3285" spans="1:10" x14ac:dyDescent="0.35">
      <c r="A3285" t="s">
        <v>3474</v>
      </c>
      <c r="B3285" s="10">
        <v>46256</v>
      </c>
      <c r="C3285" t="s">
        <v>281</v>
      </c>
      <c r="D3285" t="s">
        <v>34</v>
      </c>
      <c r="E3285" t="s">
        <v>40</v>
      </c>
      <c r="F3285" t="s">
        <v>14</v>
      </c>
      <c r="G3285">
        <v>165.51</v>
      </c>
      <c r="H3285" t="s">
        <v>15</v>
      </c>
      <c r="I3285" t="s">
        <v>36</v>
      </c>
      <c r="J3285" t="s">
        <v>123</v>
      </c>
    </row>
    <row r="3286" spans="1:10" x14ac:dyDescent="0.35">
      <c r="A3286" t="s">
        <v>3475</v>
      </c>
      <c r="B3286" s="10">
        <v>46256</v>
      </c>
      <c r="C3286" t="s">
        <v>215</v>
      </c>
      <c r="D3286" t="s">
        <v>80</v>
      </c>
      <c r="E3286" t="s">
        <v>117</v>
      </c>
      <c r="F3286" t="s">
        <v>14</v>
      </c>
      <c r="G3286">
        <v>123.89</v>
      </c>
      <c r="H3286" t="s">
        <v>21</v>
      </c>
      <c r="I3286" t="s">
        <v>22</v>
      </c>
      <c r="J3286" t="s">
        <v>141</v>
      </c>
    </row>
    <row r="3287" spans="1:10" x14ac:dyDescent="0.35">
      <c r="A3287" t="s">
        <v>3476</v>
      </c>
      <c r="B3287" s="10">
        <v>46256</v>
      </c>
      <c r="C3287" t="s">
        <v>79</v>
      </c>
      <c r="D3287" t="s">
        <v>80</v>
      </c>
      <c r="E3287" t="s">
        <v>81</v>
      </c>
      <c r="F3287" t="s">
        <v>14</v>
      </c>
      <c r="G3287">
        <v>41.71</v>
      </c>
      <c r="H3287" t="s">
        <v>15</v>
      </c>
      <c r="I3287" t="s">
        <v>36</v>
      </c>
      <c r="J3287" t="s">
        <v>82</v>
      </c>
    </row>
    <row r="3288" spans="1:10" x14ac:dyDescent="0.35">
      <c r="A3288" t="s">
        <v>3477</v>
      </c>
      <c r="B3288" s="10">
        <v>46256</v>
      </c>
      <c r="C3288" t="s">
        <v>28</v>
      </c>
      <c r="D3288" t="s">
        <v>29</v>
      </c>
      <c r="E3288" t="s">
        <v>30</v>
      </c>
      <c r="F3288" t="s">
        <v>14</v>
      </c>
      <c r="G3288">
        <v>41.44</v>
      </c>
      <c r="H3288" t="s">
        <v>21</v>
      </c>
      <c r="I3288" t="s">
        <v>22</v>
      </c>
      <c r="J3288" t="s">
        <v>31</v>
      </c>
    </row>
    <row r="3289" spans="1:10" x14ac:dyDescent="0.35">
      <c r="A3289" t="s">
        <v>3478</v>
      </c>
      <c r="B3289" s="10">
        <v>46256</v>
      </c>
      <c r="C3289" t="s">
        <v>198</v>
      </c>
      <c r="D3289" t="s">
        <v>59</v>
      </c>
      <c r="E3289" t="s">
        <v>199</v>
      </c>
      <c r="F3289" t="s">
        <v>14</v>
      </c>
      <c r="G3289">
        <v>912.25</v>
      </c>
      <c r="H3289" t="s">
        <v>15</v>
      </c>
      <c r="I3289" t="s">
        <v>36</v>
      </c>
      <c r="J3289" t="s">
        <v>61</v>
      </c>
    </row>
    <row r="3290" spans="1:10" x14ac:dyDescent="0.35">
      <c r="A3290" t="s">
        <v>3479</v>
      </c>
      <c r="B3290" s="10">
        <v>46257</v>
      </c>
      <c r="C3290" t="s">
        <v>256</v>
      </c>
      <c r="D3290" t="s">
        <v>34</v>
      </c>
      <c r="E3290" t="s">
        <v>40</v>
      </c>
      <c r="F3290" t="s">
        <v>14</v>
      </c>
      <c r="G3290">
        <v>272.10000000000002</v>
      </c>
      <c r="H3290" t="s">
        <v>15</v>
      </c>
      <c r="I3290" t="s">
        <v>47</v>
      </c>
      <c r="J3290" t="s">
        <v>239</v>
      </c>
    </row>
    <row r="3291" spans="1:10" x14ac:dyDescent="0.35">
      <c r="A3291" t="s">
        <v>3480</v>
      </c>
      <c r="B3291" s="10">
        <v>46257</v>
      </c>
      <c r="C3291" t="s">
        <v>53</v>
      </c>
      <c r="D3291" t="s">
        <v>54</v>
      </c>
      <c r="E3291" t="s">
        <v>55</v>
      </c>
      <c r="F3291" t="s">
        <v>54</v>
      </c>
      <c r="G3291">
        <v>641.83000000000004</v>
      </c>
      <c r="H3291" t="s">
        <v>15</v>
      </c>
      <c r="I3291" t="s">
        <v>22</v>
      </c>
      <c r="J3291" t="s">
        <v>56</v>
      </c>
    </row>
    <row r="3292" spans="1:10" x14ac:dyDescent="0.35">
      <c r="A3292" t="s">
        <v>3481</v>
      </c>
      <c r="B3292" s="10">
        <v>46257</v>
      </c>
      <c r="C3292" t="s">
        <v>76</v>
      </c>
      <c r="D3292" t="s">
        <v>12</v>
      </c>
      <c r="E3292" t="s">
        <v>13</v>
      </c>
      <c r="F3292" t="s">
        <v>14</v>
      </c>
      <c r="G3292">
        <v>52.36</v>
      </c>
      <c r="H3292" t="s">
        <v>15</v>
      </c>
      <c r="I3292" t="s">
        <v>22</v>
      </c>
      <c r="J3292" t="s">
        <v>77</v>
      </c>
    </row>
    <row r="3293" spans="1:10" x14ac:dyDescent="0.35">
      <c r="A3293" t="s">
        <v>3482</v>
      </c>
      <c r="B3293" s="10">
        <v>46257</v>
      </c>
      <c r="C3293" t="s">
        <v>376</v>
      </c>
      <c r="D3293" t="s">
        <v>80</v>
      </c>
      <c r="E3293" t="s">
        <v>117</v>
      </c>
      <c r="F3293" t="s">
        <v>14</v>
      </c>
      <c r="G3293">
        <v>68.08</v>
      </c>
      <c r="H3293" t="s">
        <v>15</v>
      </c>
      <c r="I3293" t="s">
        <v>22</v>
      </c>
      <c r="J3293" t="s">
        <v>82</v>
      </c>
    </row>
    <row r="3294" spans="1:10" x14ac:dyDescent="0.35">
      <c r="A3294" t="s">
        <v>3483</v>
      </c>
      <c r="B3294" s="10">
        <v>46257</v>
      </c>
      <c r="C3294" t="s">
        <v>94</v>
      </c>
      <c r="D3294" t="s">
        <v>29</v>
      </c>
      <c r="E3294" t="s">
        <v>95</v>
      </c>
      <c r="F3294" t="s">
        <v>14</v>
      </c>
      <c r="G3294">
        <v>12.61</v>
      </c>
      <c r="H3294" t="s">
        <v>21</v>
      </c>
      <c r="I3294" t="s">
        <v>36</v>
      </c>
      <c r="J3294" t="s">
        <v>96</v>
      </c>
    </row>
    <row r="3295" spans="1:10" x14ac:dyDescent="0.35">
      <c r="A3295" t="s">
        <v>3484</v>
      </c>
      <c r="B3295" s="10">
        <v>46257</v>
      </c>
      <c r="C3295" t="s">
        <v>143</v>
      </c>
      <c r="D3295" t="s">
        <v>54</v>
      </c>
      <c r="E3295" t="s">
        <v>55</v>
      </c>
      <c r="F3295" t="s">
        <v>54</v>
      </c>
      <c r="G3295">
        <v>705.52</v>
      </c>
      <c r="H3295" t="s">
        <v>21</v>
      </c>
      <c r="I3295" t="s">
        <v>47</v>
      </c>
      <c r="J3295" t="s">
        <v>89</v>
      </c>
    </row>
    <row r="3296" spans="1:10" x14ac:dyDescent="0.35">
      <c r="A3296" t="s">
        <v>3485</v>
      </c>
      <c r="B3296" s="10">
        <v>46257</v>
      </c>
      <c r="C3296" t="s">
        <v>175</v>
      </c>
      <c r="D3296" t="s">
        <v>80</v>
      </c>
      <c r="E3296" t="s">
        <v>92</v>
      </c>
      <c r="F3296" t="s">
        <v>14</v>
      </c>
      <c r="G3296">
        <v>22.99</v>
      </c>
      <c r="H3296" t="s">
        <v>21</v>
      </c>
      <c r="I3296" t="s">
        <v>22</v>
      </c>
      <c r="J3296" t="s">
        <v>141</v>
      </c>
    </row>
    <row r="3297" spans="1:10" x14ac:dyDescent="0.35">
      <c r="A3297" t="s">
        <v>3486</v>
      </c>
      <c r="B3297" s="10">
        <v>46257</v>
      </c>
      <c r="C3297" t="s">
        <v>63</v>
      </c>
      <c r="D3297" t="s">
        <v>54</v>
      </c>
      <c r="E3297" t="s">
        <v>64</v>
      </c>
      <c r="F3297" t="s">
        <v>54</v>
      </c>
      <c r="G3297">
        <v>386.46</v>
      </c>
      <c r="H3297" t="s">
        <v>21</v>
      </c>
      <c r="I3297" t="s">
        <v>36</v>
      </c>
      <c r="J3297" t="s">
        <v>65</v>
      </c>
    </row>
    <row r="3298" spans="1:10" x14ac:dyDescent="0.35">
      <c r="A3298" t="s">
        <v>3487</v>
      </c>
      <c r="B3298" s="10">
        <v>46257</v>
      </c>
      <c r="C3298" t="s">
        <v>111</v>
      </c>
      <c r="D3298" t="s">
        <v>12</v>
      </c>
      <c r="E3298" t="s">
        <v>26</v>
      </c>
      <c r="F3298" t="s">
        <v>14</v>
      </c>
      <c r="G3298">
        <v>32.700000000000003</v>
      </c>
      <c r="H3298" t="s">
        <v>21</v>
      </c>
      <c r="I3298" t="s">
        <v>16</v>
      </c>
      <c r="J3298" t="s">
        <v>23</v>
      </c>
    </row>
    <row r="3299" spans="1:10" x14ac:dyDescent="0.35">
      <c r="A3299" t="s">
        <v>3488</v>
      </c>
      <c r="B3299" s="10">
        <v>46258</v>
      </c>
      <c r="C3299" t="s">
        <v>111</v>
      </c>
      <c r="D3299" t="s">
        <v>12</v>
      </c>
      <c r="E3299" t="s">
        <v>26</v>
      </c>
      <c r="F3299" t="s">
        <v>14</v>
      </c>
      <c r="G3299">
        <v>102.97</v>
      </c>
      <c r="H3299" t="s">
        <v>15</v>
      </c>
      <c r="I3299" t="s">
        <v>36</v>
      </c>
      <c r="J3299" t="s">
        <v>23</v>
      </c>
    </row>
    <row r="3300" spans="1:10" x14ac:dyDescent="0.35">
      <c r="A3300" t="s">
        <v>3489</v>
      </c>
      <c r="B3300" s="10">
        <v>46258</v>
      </c>
      <c r="C3300" t="s">
        <v>194</v>
      </c>
      <c r="D3300" t="s">
        <v>101</v>
      </c>
      <c r="E3300" t="s">
        <v>136</v>
      </c>
      <c r="F3300" t="s">
        <v>14</v>
      </c>
      <c r="G3300">
        <v>47.26</v>
      </c>
      <c r="H3300" t="s">
        <v>98</v>
      </c>
      <c r="I3300" t="s">
        <v>47</v>
      </c>
      <c r="J3300" t="s">
        <v>103</v>
      </c>
    </row>
    <row r="3301" spans="1:10" x14ac:dyDescent="0.35">
      <c r="A3301" t="s">
        <v>3490</v>
      </c>
      <c r="B3301" s="10">
        <v>46258</v>
      </c>
      <c r="C3301" t="s">
        <v>253</v>
      </c>
      <c r="D3301" t="s">
        <v>29</v>
      </c>
      <c r="E3301" t="s">
        <v>30</v>
      </c>
      <c r="F3301" t="s">
        <v>14</v>
      </c>
      <c r="G3301">
        <v>71.45</v>
      </c>
      <c r="H3301" t="s">
        <v>98</v>
      </c>
      <c r="I3301" t="s">
        <v>22</v>
      </c>
      <c r="J3301" t="s">
        <v>158</v>
      </c>
    </row>
    <row r="3302" spans="1:10" x14ac:dyDescent="0.35">
      <c r="A3302" t="s">
        <v>3491</v>
      </c>
      <c r="B3302" s="10">
        <v>46258</v>
      </c>
      <c r="C3302" t="s">
        <v>111</v>
      </c>
      <c r="D3302" t="s">
        <v>12</v>
      </c>
      <c r="E3302" t="s">
        <v>26</v>
      </c>
      <c r="F3302" t="s">
        <v>14</v>
      </c>
      <c r="G3302">
        <v>48</v>
      </c>
      <c r="H3302" t="s">
        <v>98</v>
      </c>
      <c r="I3302" t="s">
        <v>22</v>
      </c>
      <c r="J3302" t="s">
        <v>23</v>
      </c>
    </row>
    <row r="3303" spans="1:10" x14ac:dyDescent="0.35">
      <c r="A3303" t="s">
        <v>3492</v>
      </c>
      <c r="B3303" s="10">
        <v>46258</v>
      </c>
      <c r="C3303" t="s">
        <v>331</v>
      </c>
      <c r="D3303" t="s">
        <v>29</v>
      </c>
      <c r="E3303" t="s">
        <v>95</v>
      </c>
      <c r="F3303" t="s">
        <v>14</v>
      </c>
      <c r="G3303">
        <v>23.92</v>
      </c>
      <c r="H3303" t="s">
        <v>15</v>
      </c>
      <c r="I3303" t="s">
        <v>36</v>
      </c>
      <c r="J3303" t="s">
        <v>151</v>
      </c>
    </row>
    <row r="3304" spans="1:10" x14ac:dyDescent="0.35">
      <c r="A3304" t="s">
        <v>3493</v>
      </c>
      <c r="B3304" s="10">
        <v>46258</v>
      </c>
      <c r="C3304" t="s">
        <v>155</v>
      </c>
      <c r="D3304" t="s">
        <v>12</v>
      </c>
      <c r="E3304" t="s">
        <v>51</v>
      </c>
      <c r="F3304" t="s">
        <v>14</v>
      </c>
      <c r="G3304">
        <v>39.25</v>
      </c>
      <c r="H3304" t="s">
        <v>15</v>
      </c>
      <c r="I3304" t="s">
        <v>22</v>
      </c>
      <c r="J3304" t="s">
        <v>48</v>
      </c>
    </row>
    <row r="3305" spans="1:10" x14ac:dyDescent="0.35">
      <c r="A3305" t="s">
        <v>3494</v>
      </c>
      <c r="B3305" s="10">
        <v>46258</v>
      </c>
      <c r="C3305" t="s">
        <v>253</v>
      </c>
      <c r="D3305" t="s">
        <v>29</v>
      </c>
      <c r="E3305" t="s">
        <v>30</v>
      </c>
      <c r="F3305" t="s">
        <v>14</v>
      </c>
      <c r="G3305">
        <v>11.45</v>
      </c>
      <c r="H3305" t="s">
        <v>21</v>
      </c>
      <c r="I3305" t="s">
        <v>47</v>
      </c>
      <c r="J3305" t="s">
        <v>158</v>
      </c>
    </row>
    <row r="3306" spans="1:10" x14ac:dyDescent="0.35">
      <c r="A3306" t="s">
        <v>3495</v>
      </c>
      <c r="B3306" s="10">
        <v>46258</v>
      </c>
      <c r="C3306" t="s">
        <v>210</v>
      </c>
      <c r="D3306" t="s">
        <v>59</v>
      </c>
      <c r="E3306" t="s">
        <v>185</v>
      </c>
      <c r="F3306" t="s">
        <v>14</v>
      </c>
      <c r="G3306">
        <v>199.97</v>
      </c>
      <c r="H3306" t="s">
        <v>98</v>
      </c>
      <c r="I3306" t="s">
        <v>47</v>
      </c>
      <c r="J3306" t="s">
        <v>211</v>
      </c>
    </row>
    <row r="3307" spans="1:10" x14ac:dyDescent="0.35">
      <c r="A3307" t="s">
        <v>3496</v>
      </c>
      <c r="B3307" s="10">
        <v>46258</v>
      </c>
      <c r="C3307" t="s">
        <v>177</v>
      </c>
      <c r="D3307" t="s">
        <v>54</v>
      </c>
      <c r="E3307" t="s">
        <v>74</v>
      </c>
      <c r="F3307" t="s">
        <v>54</v>
      </c>
      <c r="G3307">
        <v>2897.12</v>
      </c>
      <c r="H3307" t="s">
        <v>15</v>
      </c>
      <c r="I3307" t="s">
        <v>22</v>
      </c>
      <c r="J3307" t="s">
        <v>56</v>
      </c>
    </row>
    <row r="3308" spans="1:10" x14ac:dyDescent="0.35">
      <c r="A3308" t="s">
        <v>3497</v>
      </c>
      <c r="B3308" s="10">
        <v>46259</v>
      </c>
      <c r="C3308" t="s">
        <v>25</v>
      </c>
      <c r="D3308" t="s">
        <v>12</v>
      </c>
      <c r="E3308" t="s">
        <v>26</v>
      </c>
      <c r="F3308" t="s">
        <v>14</v>
      </c>
      <c r="G3308">
        <v>112.22</v>
      </c>
      <c r="H3308" t="s">
        <v>15</v>
      </c>
      <c r="I3308" t="s">
        <v>16</v>
      </c>
      <c r="J3308" t="s">
        <v>17</v>
      </c>
    </row>
    <row r="3309" spans="1:10" x14ac:dyDescent="0.35">
      <c r="A3309" t="s">
        <v>3498</v>
      </c>
      <c r="B3309" s="10">
        <v>46259</v>
      </c>
      <c r="C3309" t="s">
        <v>121</v>
      </c>
      <c r="D3309" t="s">
        <v>34</v>
      </c>
      <c r="E3309" t="s">
        <v>122</v>
      </c>
      <c r="F3309" t="s">
        <v>14</v>
      </c>
      <c r="G3309">
        <v>181.89</v>
      </c>
      <c r="H3309" t="s">
        <v>21</v>
      </c>
      <c r="I3309" t="s">
        <v>47</v>
      </c>
      <c r="J3309" t="s">
        <v>123</v>
      </c>
    </row>
    <row r="3310" spans="1:10" x14ac:dyDescent="0.35">
      <c r="A3310" t="s">
        <v>3499</v>
      </c>
      <c r="B3310" s="10">
        <v>46259</v>
      </c>
      <c r="C3310" t="s">
        <v>415</v>
      </c>
      <c r="D3310" t="s">
        <v>12</v>
      </c>
      <c r="E3310" t="s">
        <v>51</v>
      </c>
      <c r="F3310" t="s">
        <v>14</v>
      </c>
      <c r="G3310">
        <v>14.13</v>
      </c>
      <c r="H3310" t="s">
        <v>15</v>
      </c>
      <c r="I3310" t="s">
        <v>36</v>
      </c>
      <c r="J3310" t="s">
        <v>77</v>
      </c>
    </row>
    <row r="3311" spans="1:10" x14ac:dyDescent="0.35">
      <c r="A3311" t="s">
        <v>3500</v>
      </c>
      <c r="B3311" s="10">
        <v>46259</v>
      </c>
      <c r="C3311" t="s">
        <v>281</v>
      </c>
      <c r="D3311" t="s">
        <v>34</v>
      </c>
      <c r="E3311" t="s">
        <v>40</v>
      </c>
      <c r="F3311" t="s">
        <v>14</v>
      </c>
      <c r="G3311">
        <v>167.72</v>
      </c>
      <c r="H3311" t="s">
        <v>15</v>
      </c>
      <c r="I3311" t="s">
        <v>22</v>
      </c>
      <c r="J3311" t="s">
        <v>123</v>
      </c>
    </row>
    <row r="3312" spans="1:10" x14ac:dyDescent="0.35">
      <c r="A3312" t="s">
        <v>3501</v>
      </c>
      <c r="B3312" s="10">
        <v>46259</v>
      </c>
      <c r="C3312" t="s">
        <v>248</v>
      </c>
      <c r="D3312" t="s">
        <v>80</v>
      </c>
      <c r="E3312" t="s">
        <v>81</v>
      </c>
      <c r="F3312" t="s">
        <v>14</v>
      </c>
      <c r="G3312">
        <v>65.81</v>
      </c>
      <c r="H3312" t="s">
        <v>21</v>
      </c>
      <c r="I3312" t="s">
        <v>36</v>
      </c>
      <c r="J3312" t="s">
        <v>161</v>
      </c>
    </row>
    <row r="3313" spans="1:10" x14ac:dyDescent="0.35">
      <c r="A3313" t="s">
        <v>3502</v>
      </c>
      <c r="B3313" s="10">
        <v>46259</v>
      </c>
      <c r="C3313" t="s">
        <v>256</v>
      </c>
      <c r="D3313" t="s">
        <v>34</v>
      </c>
      <c r="E3313" t="s">
        <v>40</v>
      </c>
      <c r="F3313" t="s">
        <v>14</v>
      </c>
      <c r="G3313">
        <v>229.72</v>
      </c>
      <c r="H3313" t="s">
        <v>15</v>
      </c>
      <c r="I3313" t="s">
        <v>36</v>
      </c>
      <c r="J3313" t="s">
        <v>239</v>
      </c>
    </row>
    <row r="3314" spans="1:10" x14ac:dyDescent="0.35">
      <c r="A3314" t="s">
        <v>3503</v>
      </c>
      <c r="B3314" s="10">
        <v>46259</v>
      </c>
      <c r="C3314" t="s">
        <v>298</v>
      </c>
      <c r="D3314" t="s">
        <v>59</v>
      </c>
      <c r="E3314" t="s">
        <v>185</v>
      </c>
      <c r="F3314" t="s">
        <v>14</v>
      </c>
      <c r="G3314">
        <v>127.4</v>
      </c>
      <c r="H3314" t="s">
        <v>15</v>
      </c>
      <c r="I3314" t="s">
        <v>22</v>
      </c>
      <c r="J3314" t="s">
        <v>170</v>
      </c>
    </row>
    <row r="3315" spans="1:10" x14ac:dyDescent="0.35">
      <c r="A3315" t="s">
        <v>3504</v>
      </c>
      <c r="B3315" s="10">
        <v>46259</v>
      </c>
      <c r="C3315" t="s">
        <v>63</v>
      </c>
      <c r="D3315" t="s">
        <v>54</v>
      </c>
      <c r="E3315" t="s">
        <v>64</v>
      </c>
      <c r="F3315" t="s">
        <v>54</v>
      </c>
      <c r="G3315">
        <v>332.91</v>
      </c>
      <c r="H3315" t="s">
        <v>15</v>
      </c>
      <c r="I3315" t="s">
        <v>84</v>
      </c>
      <c r="J3315" t="s">
        <v>65</v>
      </c>
    </row>
    <row r="3316" spans="1:10" x14ac:dyDescent="0.35">
      <c r="A3316" t="s">
        <v>3505</v>
      </c>
      <c r="B3316" s="10">
        <v>46260</v>
      </c>
      <c r="C3316" t="s">
        <v>33</v>
      </c>
      <c r="D3316" t="s">
        <v>34</v>
      </c>
      <c r="E3316" t="s">
        <v>35</v>
      </c>
      <c r="F3316" t="s">
        <v>14</v>
      </c>
      <c r="G3316">
        <v>48.2</v>
      </c>
      <c r="H3316" t="s">
        <v>15</v>
      </c>
      <c r="I3316" t="s">
        <v>22</v>
      </c>
      <c r="J3316" t="s">
        <v>37</v>
      </c>
    </row>
    <row r="3317" spans="1:10" x14ac:dyDescent="0.35">
      <c r="A3317" t="s">
        <v>3506</v>
      </c>
      <c r="B3317" s="10">
        <v>46260</v>
      </c>
      <c r="C3317" t="s">
        <v>177</v>
      </c>
      <c r="D3317" t="s">
        <v>54</v>
      </c>
      <c r="E3317" t="s">
        <v>74</v>
      </c>
      <c r="F3317" t="s">
        <v>54</v>
      </c>
      <c r="G3317">
        <v>2685.13</v>
      </c>
      <c r="H3317" t="s">
        <v>21</v>
      </c>
      <c r="I3317" t="s">
        <v>36</v>
      </c>
      <c r="J3317" t="s">
        <v>56</v>
      </c>
    </row>
    <row r="3318" spans="1:10" x14ac:dyDescent="0.35">
      <c r="A3318" t="s">
        <v>3507</v>
      </c>
      <c r="B3318" s="10">
        <v>46260</v>
      </c>
      <c r="C3318" t="s">
        <v>1491</v>
      </c>
      <c r="D3318" t="s">
        <v>69</v>
      </c>
      <c r="E3318" t="s">
        <v>233</v>
      </c>
      <c r="F3318" t="s">
        <v>14</v>
      </c>
      <c r="G3318">
        <v>386.29</v>
      </c>
      <c r="H3318" t="s">
        <v>21</v>
      </c>
      <c r="I3318" t="s">
        <v>22</v>
      </c>
      <c r="J3318" t="s">
        <v>396</v>
      </c>
    </row>
    <row r="3319" spans="1:10" x14ac:dyDescent="0.35">
      <c r="A3319" t="s">
        <v>3508</v>
      </c>
      <c r="B3319" s="10">
        <v>46260</v>
      </c>
      <c r="C3319" t="s">
        <v>33</v>
      </c>
      <c r="D3319" t="s">
        <v>34</v>
      </c>
      <c r="E3319" t="s">
        <v>35</v>
      </c>
      <c r="F3319" t="s">
        <v>14</v>
      </c>
      <c r="G3319">
        <v>112.01</v>
      </c>
      <c r="H3319" t="s">
        <v>15</v>
      </c>
      <c r="I3319" t="s">
        <v>36</v>
      </c>
      <c r="J3319" t="s">
        <v>37</v>
      </c>
    </row>
    <row r="3320" spans="1:10" x14ac:dyDescent="0.35">
      <c r="A3320" t="s">
        <v>3509</v>
      </c>
      <c r="B3320" s="10">
        <v>46260</v>
      </c>
      <c r="C3320" t="s">
        <v>267</v>
      </c>
      <c r="D3320" t="s">
        <v>29</v>
      </c>
      <c r="E3320" t="s">
        <v>30</v>
      </c>
      <c r="F3320" t="s">
        <v>14</v>
      </c>
      <c r="G3320">
        <v>27.67</v>
      </c>
      <c r="H3320" t="s">
        <v>15</v>
      </c>
      <c r="I3320" t="s">
        <v>22</v>
      </c>
      <c r="J3320" t="s">
        <v>96</v>
      </c>
    </row>
    <row r="3321" spans="1:10" x14ac:dyDescent="0.35">
      <c r="A3321" t="s">
        <v>3510</v>
      </c>
      <c r="B3321" s="10">
        <v>46261</v>
      </c>
      <c r="C3321" t="s">
        <v>143</v>
      </c>
      <c r="D3321" t="s">
        <v>54</v>
      </c>
      <c r="E3321" t="s">
        <v>55</v>
      </c>
      <c r="F3321" t="s">
        <v>54</v>
      </c>
      <c r="G3321">
        <v>644.22</v>
      </c>
      <c r="H3321" t="s">
        <v>21</v>
      </c>
      <c r="I3321" t="s">
        <v>22</v>
      </c>
      <c r="J3321" t="s">
        <v>89</v>
      </c>
    </row>
    <row r="3322" spans="1:10" x14ac:dyDescent="0.35">
      <c r="A3322" t="s">
        <v>3511</v>
      </c>
      <c r="B3322" s="10">
        <v>46261</v>
      </c>
      <c r="C3322" t="s">
        <v>215</v>
      </c>
      <c r="D3322" t="s">
        <v>80</v>
      </c>
      <c r="E3322" t="s">
        <v>117</v>
      </c>
      <c r="F3322" t="s">
        <v>14</v>
      </c>
      <c r="G3322">
        <v>118.35</v>
      </c>
      <c r="H3322" t="s">
        <v>98</v>
      </c>
      <c r="I3322" t="s">
        <v>36</v>
      </c>
      <c r="J3322" t="s">
        <v>141</v>
      </c>
    </row>
    <row r="3323" spans="1:10" x14ac:dyDescent="0.35">
      <c r="A3323" t="s">
        <v>3512</v>
      </c>
      <c r="B3323" s="10">
        <v>46261</v>
      </c>
      <c r="C3323" t="s">
        <v>19</v>
      </c>
      <c r="D3323" t="s">
        <v>12</v>
      </c>
      <c r="E3323" t="s">
        <v>13</v>
      </c>
      <c r="F3323" t="s">
        <v>14</v>
      </c>
      <c r="G3323">
        <v>29.59</v>
      </c>
      <c r="H3323" t="s">
        <v>98</v>
      </c>
      <c r="I3323" t="s">
        <v>22</v>
      </c>
      <c r="J3323" t="s">
        <v>23</v>
      </c>
    </row>
    <row r="3324" spans="1:10" x14ac:dyDescent="0.35">
      <c r="A3324" t="s">
        <v>3513</v>
      </c>
      <c r="B3324" s="10">
        <v>46261</v>
      </c>
      <c r="C3324" t="s">
        <v>177</v>
      </c>
      <c r="D3324" t="s">
        <v>54</v>
      </c>
      <c r="E3324" t="s">
        <v>74</v>
      </c>
      <c r="F3324" t="s">
        <v>54</v>
      </c>
      <c r="G3324">
        <v>2474.2800000000002</v>
      </c>
      <c r="H3324" t="s">
        <v>15</v>
      </c>
      <c r="I3324" t="s">
        <v>22</v>
      </c>
      <c r="J3324" t="s">
        <v>56</v>
      </c>
    </row>
    <row r="3325" spans="1:10" x14ac:dyDescent="0.35">
      <c r="A3325" t="s">
        <v>3514</v>
      </c>
      <c r="B3325" s="10">
        <v>46261</v>
      </c>
      <c r="C3325" t="s">
        <v>734</v>
      </c>
      <c r="D3325" t="s">
        <v>69</v>
      </c>
      <c r="E3325" t="s">
        <v>291</v>
      </c>
      <c r="F3325" t="s">
        <v>14</v>
      </c>
      <c r="G3325">
        <v>997.69</v>
      </c>
      <c r="H3325" t="s">
        <v>15</v>
      </c>
      <c r="I3325" t="s">
        <v>36</v>
      </c>
      <c r="J3325" t="s">
        <v>71</v>
      </c>
    </row>
    <row r="3326" spans="1:10" x14ac:dyDescent="0.35">
      <c r="A3326" t="s">
        <v>3515</v>
      </c>
      <c r="B3326" s="10">
        <v>46261</v>
      </c>
      <c r="C3326" t="s">
        <v>53</v>
      </c>
      <c r="D3326" t="s">
        <v>54</v>
      </c>
      <c r="E3326" t="s">
        <v>55</v>
      </c>
      <c r="F3326" t="s">
        <v>54</v>
      </c>
      <c r="G3326">
        <v>696.35</v>
      </c>
      <c r="H3326" t="s">
        <v>15</v>
      </c>
      <c r="I3326" t="s">
        <v>22</v>
      </c>
      <c r="J3326" t="s">
        <v>56</v>
      </c>
    </row>
    <row r="3327" spans="1:10" x14ac:dyDescent="0.35">
      <c r="A3327" t="s">
        <v>3516</v>
      </c>
      <c r="B3327" s="10">
        <v>46261</v>
      </c>
      <c r="C3327" t="s">
        <v>248</v>
      </c>
      <c r="D3327" t="s">
        <v>80</v>
      </c>
      <c r="E3327" t="s">
        <v>81</v>
      </c>
      <c r="F3327" t="s">
        <v>14</v>
      </c>
      <c r="G3327">
        <v>28.76</v>
      </c>
      <c r="H3327" t="s">
        <v>15</v>
      </c>
      <c r="I3327" t="s">
        <v>84</v>
      </c>
      <c r="J3327" t="s">
        <v>161</v>
      </c>
    </row>
    <row r="3328" spans="1:10" x14ac:dyDescent="0.35">
      <c r="A3328" t="s">
        <v>3517</v>
      </c>
      <c r="B3328" s="10">
        <v>46262</v>
      </c>
      <c r="C3328" t="s">
        <v>256</v>
      </c>
      <c r="D3328" t="s">
        <v>34</v>
      </c>
      <c r="E3328" t="s">
        <v>40</v>
      </c>
      <c r="F3328" t="s">
        <v>14</v>
      </c>
      <c r="G3328">
        <v>141.49</v>
      </c>
      <c r="H3328" t="s">
        <v>15</v>
      </c>
      <c r="I3328" t="s">
        <v>47</v>
      </c>
      <c r="J3328" t="s">
        <v>239</v>
      </c>
    </row>
    <row r="3329" spans="1:10" x14ac:dyDescent="0.35">
      <c r="A3329" t="s">
        <v>3518</v>
      </c>
      <c r="B3329" s="10">
        <v>46262</v>
      </c>
      <c r="C3329" t="s">
        <v>155</v>
      </c>
      <c r="D3329" t="s">
        <v>12</v>
      </c>
      <c r="E3329" t="s">
        <v>51</v>
      </c>
      <c r="F3329" t="s">
        <v>14</v>
      </c>
      <c r="G3329">
        <v>95.02</v>
      </c>
      <c r="H3329" t="s">
        <v>98</v>
      </c>
      <c r="I3329" t="s">
        <v>47</v>
      </c>
      <c r="J3329" t="s">
        <v>48</v>
      </c>
    </row>
    <row r="3330" spans="1:10" x14ac:dyDescent="0.35">
      <c r="A3330" t="s">
        <v>3519</v>
      </c>
      <c r="B3330" s="10">
        <v>46262</v>
      </c>
      <c r="C3330" t="s">
        <v>572</v>
      </c>
      <c r="D3330" t="s">
        <v>69</v>
      </c>
      <c r="E3330" t="s">
        <v>233</v>
      </c>
      <c r="F3330" t="s">
        <v>14</v>
      </c>
      <c r="G3330">
        <v>458.67</v>
      </c>
      <c r="H3330" t="s">
        <v>15</v>
      </c>
      <c r="I3330" t="s">
        <v>22</v>
      </c>
      <c r="J3330" t="s">
        <v>292</v>
      </c>
    </row>
    <row r="3331" spans="1:10" x14ac:dyDescent="0.35">
      <c r="A3331" t="s">
        <v>3520</v>
      </c>
      <c r="B3331" s="10">
        <v>46262</v>
      </c>
      <c r="C3331" t="s">
        <v>251</v>
      </c>
      <c r="D3331" t="s">
        <v>29</v>
      </c>
      <c r="E3331" t="s">
        <v>151</v>
      </c>
      <c r="F3331" t="s">
        <v>14</v>
      </c>
      <c r="G3331">
        <v>59.51</v>
      </c>
      <c r="H3331" t="s">
        <v>15</v>
      </c>
      <c r="I3331" t="s">
        <v>16</v>
      </c>
      <c r="J3331" t="s">
        <v>31</v>
      </c>
    </row>
    <row r="3332" spans="1:10" x14ac:dyDescent="0.35">
      <c r="A3332" t="s">
        <v>3521</v>
      </c>
      <c r="B3332" s="10">
        <v>46263</v>
      </c>
      <c r="C3332" t="s">
        <v>28</v>
      </c>
      <c r="D3332" t="s">
        <v>29</v>
      </c>
      <c r="E3332" t="s">
        <v>30</v>
      </c>
      <c r="F3332" t="s">
        <v>14</v>
      </c>
      <c r="G3332">
        <v>13.74</v>
      </c>
      <c r="H3332" t="s">
        <v>15</v>
      </c>
      <c r="I3332" t="s">
        <v>36</v>
      </c>
      <c r="J3332" t="s">
        <v>31</v>
      </c>
    </row>
    <row r="3333" spans="1:10" x14ac:dyDescent="0.35">
      <c r="A3333" t="s">
        <v>3522</v>
      </c>
      <c r="B3333" s="10">
        <v>46263</v>
      </c>
      <c r="C3333" t="s">
        <v>168</v>
      </c>
      <c r="D3333" t="s">
        <v>59</v>
      </c>
      <c r="E3333" t="s">
        <v>60</v>
      </c>
      <c r="F3333" t="s">
        <v>14</v>
      </c>
      <c r="G3333">
        <v>328.9</v>
      </c>
      <c r="H3333" t="s">
        <v>21</v>
      </c>
      <c r="I3333" t="s">
        <v>22</v>
      </c>
      <c r="J3333" t="s">
        <v>170</v>
      </c>
    </row>
    <row r="3334" spans="1:10" x14ac:dyDescent="0.35">
      <c r="A3334" t="s">
        <v>3523</v>
      </c>
      <c r="B3334" s="10">
        <v>46263</v>
      </c>
      <c r="C3334" t="s">
        <v>298</v>
      </c>
      <c r="D3334" t="s">
        <v>59</v>
      </c>
      <c r="E3334" t="s">
        <v>185</v>
      </c>
      <c r="F3334" t="s">
        <v>14</v>
      </c>
      <c r="G3334">
        <v>383.16</v>
      </c>
      <c r="H3334" t="s">
        <v>21</v>
      </c>
      <c r="I3334" t="s">
        <v>47</v>
      </c>
      <c r="J3334" t="s">
        <v>170</v>
      </c>
    </row>
    <row r="3335" spans="1:10" x14ac:dyDescent="0.35">
      <c r="A3335" t="s">
        <v>3524</v>
      </c>
      <c r="B3335" s="10">
        <v>46263</v>
      </c>
      <c r="C3335" t="s">
        <v>238</v>
      </c>
      <c r="D3335" t="s">
        <v>34</v>
      </c>
      <c r="E3335" t="s">
        <v>35</v>
      </c>
      <c r="F3335" t="s">
        <v>14</v>
      </c>
      <c r="G3335">
        <v>318.88</v>
      </c>
      <c r="H3335" t="s">
        <v>15</v>
      </c>
      <c r="I3335" t="s">
        <v>36</v>
      </c>
      <c r="J3335" t="s">
        <v>239</v>
      </c>
    </row>
    <row r="3336" spans="1:10" x14ac:dyDescent="0.35">
      <c r="A3336" t="s">
        <v>3525</v>
      </c>
      <c r="B3336" s="10">
        <v>46263</v>
      </c>
      <c r="C3336" t="s">
        <v>243</v>
      </c>
      <c r="D3336" t="s">
        <v>101</v>
      </c>
      <c r="E3336" t="s">
        <v>244</v>
      </c>
      <c r="F3336" t="s">
        <v>14</v>
      </c>
      <c r="G3336">
        <v>42.1</v>
      </c>
      <c r="H3336" t="s">
        <v>15</v>
      </c>
      <c r="I3336" t="s">
        <v>36</v>
      </c>
      <c r="J3336" t="s">
        <v>102</v>
      </c>
    </row>
    <row r="3337" spans="1:10" x14ac:dyDescent="0.35">
      <c r="A3337" t="s">
        <v>3526</v>
      </c>
      <c r="B3337" s="10">
        <v>46263</v>
      </c>
      <c r="C3337" t="s">
        <v>143</v>
      </c>
      <c r="D3337" t="s">
        <v>54</v>
      </c>
      <c r="E3337" t="s">
        <v>55</v>
      </c>
      <c r="F3337" t="s">
        <v>54</v>
      </c>
      <c r="G3337">
        <v>700.29</v>
      </c>
      <c r="H3337" t="s">
        <v>15</v>
      </c>
      <c r="I3337" t="s">
        <v>16</v>
      </c>
      <c r="J3337" t="s">
        <v>89</v>
      </c>
    </row>
    <row r="3338" spans="1:10" x14ac:dyDescent="0.35">
      <c r="A3338" t="s">
        <v>3527</v>
      </c>
      <c r="B3338" s="10">
        <v>46263</v>
      </c>
      <c r="C3338" t="s">
        <v>153</v>
      </c>
      <c r="D3338" t="s">
        <v>34</v>
      </c>
      <c r="E3338" t="s">
        <v>122</v>
      </c>
      <c r="F3338" t="s">
        <v>14</v>
      </c>
      <c r="G3338">
        <v>83.64</v>
      </c>
      <c r="H3338" t="s">
        <v>15</v>
      </c>
      <c r="I3338" t="s">
        <v>22</v>
      </c>
      <c r="J3338" t="s">
        <v>41</v>
      </c>
    </row>
    <row r="3339" spans="1:10" x14ac:dyDescent="0.35">
      <c r="A3339" t="s">
        <v>3528</v>
      </c>
      <c r="B3339" s="10">
        <v>46264</v>
      </c>
      <c r="C3339" t="s">
        <v>125</v>
      </c>
      <c r="D3339" t="s">
        <v>12</v>
      </c>
      <c r="E3339" t="s">
        <v>13</v>
      </c>
      <c r="F3339" t="s">
        <v>14</v>
      </c>
      <c r="G3339">
        <v>21.35</v>
      </c>
      <c r="H3339" t="s">
        <v>21</v>
      </c>
      <c r="I3339" t="s">
        <v>22</v>
      </c>
      <c r="J3339" t="s">
        <v>44</v>
      </c>
    </row>
    <row r="3340" spans="1:10" x14ac:dyDescent="0.35">
      <c r="A3340" t="s">
        <v>3529</v>
      </c>
      <c r="B3340" s="10">
        <v>46264</v>
      </c>
      <c r="C3340" t="s">
        <v>415</v>
      </c>
      <c r="D3340" t="s">
        <v>12</v>
      </c>
      <c r="E3340" t="s">
        <v>51</v>
      </c>
      <c r="F3340" t="s">
        <v>14</v>
      </c>
      <c r="G3340">
        <v>15.49</v>
      </c>
      <c r="H3340" t="s">
        <v>15</v>
      </c>
      <c r="I3340" t="s">
        <v>36</v>
      </c>
      <c r="J3340" t="s">
        <v>77</v>
      </c>
    </row>
    <row r="3341" spans="1:10" x14ac:dyDescent="0.35">
      <c r="A3341" t="s">
        <v>3530</v>
      </c>
      <c r="B3341" s="10">
        <v>46264</v>
      </c>
      <c r="C3341" t="s">
        <v>308</v>
      </c>
      <c r="D3341" t="s">
        <v>54</v>
      </c>
      <c r="E3341" t="s">
        <v>64</v>
      </c>
      <c r="F3341" t="s">
        <v>54</v>
      </c>
      <c r="G3341">
        <v>331.52</v>
      </c>
      <c r="H3341" t="s">
        <v>15</v>
      </c>
      <c r="I3341" t="s">
        <v>36</v>
      </c>
      <c r="J3341" t="s">
        <v>89</v>
      </c>
    </row>
    <row r="3342" spans="1:10" x14ac:dyDescent="0.35">
      <c r="A3342" t="s">
        <v>3531</v>
      </c>
      <c r="B3342" s="10">
        <v>46264</v>
      </c>
      <c r="C3342" t="s">
        <v>259</v>
      </c>
      <c r="D3342" t="s">
        <v>59</v>
      </c>
      <c r="E3342" t="s">
        <v>199</v>
      </c>
      <c r="F3342" t="s">
        <v>14</v>
      </c>
      <c r="G3342">
        <v>127.55</v>
      </c>
      <c r="H3342" t="s">
        <v>98</v>
      </c>
      <c r="I3342" t="s">
        <v>16</v>
      </c>
      <c r="J3342" t="s">
        <v>170</v>
      </c>
    </row>
    <row r="3343" spans="1:10" x14ac:dyDescent="0.35">
      <c r="A3343" t="s">
        <v>3532</v>
      </c>
      <c r="B3343" s="10">
        <v>46265</v>
      </c>
      <c r="C3343" t="s">
        <v>33</v>
      </c>
      <c r="D3343" t="s">
        <v>34</v>
      </c>
      <c r="E3343" t="s">
        <v>35</v>
      </c>
      <c r="F3343" t="s">
        <v>14</v>
      </c>
      <c r="G3343">
        <v>195.92</v>
      </c>
      <c r="H3343" t="s">
        <v>15</v>
      </c>
      <c r="I3343" t="s">
        <v>47</v>
      </c>
      <c r="J3343" t="s">
        <v>37</v>
      </c>
    </row>
    <row r="3344" spans="1:10" x14ac:dyDescent="0.35">
      <c r="A3344" t="s">
        <v>3533</v>
      </c>
      <c r="B3344" s="10">
        <v>46265</v>
      </c>
      <c r="C3344" t="s">
        <v>206</v>
      </c>
      <c r="D3344" t="s">
        <v>29</v>
      </c>
      <c r="E3344" t="s">
        <v>95</v>
      </c>
      <c r="F3344" t="s">
        <v>14</v>
      </c>
      <c r="G3344">
        <v>73.53</v>
      </c>
      <c r="H3344" t="s">
        <v>15</v>
      </c>
      <c r="I3344" t="s">
        <v>36</v>
      </c>
      <c r="J3344" t="s">
        <v>31</v>
      </c>
    </row>
    <row r="3345" spans="1:10" x14ac:dyDescent="0.35">
      <c r="A3345" t="s">
        <v>3534</v>
      </c>
      <c r="B3345" s="10">
        <v>46265</v>
      </c>
      <c r="C3345" t="s">
        <v>88</v>
      </c>
      <c r="D3345" t="s">
        <v>54</v>
      </c>
      <c r="E3345" t="s">
        <v>74</v>
      </c>
      <c r="F3345" t="s">
        <v>54</v>
      </c>
      <c r="G3345">
        <v>2263.9499999999998</v>
      </c>
      <c r="H3345" t="s">
        <v>15</v>
      </c>
      <c r="I3345" t="s">
        <v>36</v>
      </c>
      <c r="J3345" t="s">
        <v>89</v>
      </c>
    </row>
    <row r="3346" spans="1:10" x14ac:dyDescent="0.35">
      <c r="A3346" t="s">
        <v>3535</v>
      </c>
      <c r="B3346" s="10">
        <v>46265</v>
      </c>
      <c r="C3346" t="s">
        <v>63</v>
      </c>
      <c r="D3346" t="s">
        <v>54</v>
      </c>
      <c r="E3346" t="s">
        <v>64</v>
      </c>
      <c r="F3346" t="s">
        <v>54</v>
      </c>
      <c r="G3346">
        <v>384.95</v>
      </c>
      <c r="H3346" t="s">
        <v>15</v>
      </c>
      <c r="I3346" t="s">
        <v>47</v>
      </c>
      <c r="J3346" t="s">
        <v>65</v>
      </c>
    </row>
    <row r="3347" spans="1:10" x14ac:dyDescent="0.35">
      <c r="A3347" t="s">
        <v>3536</v>
      </c>
      <c r="B3347" s="10">
        <v>46265</v>
      </c>
      <c r="C3347" t="s">
        <v>572</v>
      </c>
      <c r="D3347" t="s">
        <v>69</v>
      </c>
      <c r="E3347" t="s">
        <v>233</v>
      </c>
      <c r="F3347" t="s">
        <v>14</v>
      </c>
      <c r="G3347">
        <v>211.09</v>
      </c>
      <c r="H3347" t="s">
        <v>15</v>
      </c>
      <c r="I3347" t="s">
        <v>22</v>
      </c>
      <c r="J3347" t="s">
        <v>292</v>
      </c>
    </row>
    <row r="3348" spans="1:10" x14ac:dyDescent="0.35">
      <c r="A3348" t="s">
        <v>3537</v>
      </c>
      <c r="B3348" s="10">
        <v>46266</v>
      </c>
      <c r="C3348" t="s">
        <v>184</v>
      </c>
      <c r="D3348" t="s">
        <v>59</v>
      </c>
      <c r="E3348" t="s">
        <v>185</v>
      </c>
      <c r="F3348" t="s">
        <v>14</v>
      </c>
      <c r="G3348">
        <v>550.85</v>
      </c>
      <c r="H3348" t="s">
        <v>15</v>
      </c>
      <c r="I3348" t="s">
        <v>36</v>
      </c>
      <c r="J3348" t="s">
        <v>61</v>
      </c>
    </row>
    <row r="3349" spans="1:10" x14ac:dyDescent="0.35">
      <c r="A3349" t="s">
        <v>3538</v>
      </c>
      <c r="B3349" s="10">
        <v>46266</v>
      </c>
      <c r="C3349" t="s">
        <v>204</v>
      </c>
      <c r="D3349" t="s">
        <v>12</v>
      </c>
      <c r="E3349" t="s">
        <v>51</v>
      </c>
      <c r="F3349" t="s">
        <v>14</v>
      </c>
      <c r="G3349">
        <v>7.5</v>
      </c>
      <c r="H3349" t="s">
        <v>15</v>
      </c>
      <c r="I3349" t="s">
        <v>16</v>
      </c>
      <c r="J3349" t="s">
        <v>23</v>
      </c>
    </row>
    <row r="3350" spans="1:10" x14ac:dyDescent="0.35">
      <c r="A3350" t="s">
        <v>3539</v>
      </c>
      <c r="B3350" s="10">
        <v>46266</v>
      </c>
      <c r="C3350" t="s">
        <v>39</v>
      </c>
      <c r="D3350" t="s">
        <v>34</v>
      </c>
      <c r="E3350" t="s">
        <v>40</v>
      </c>
      <c r="F3350" t="s">
        <v>14</v>
      </c>
      <c r="G3350">
        <v>293.74</v>
      </c>
      <c r="H3350" t="s">
        <v>98</v>
      </c>
      <c r="I3350" t="s">
        <v>22</v>
      </c>
      <c r="J3350" t="s">
        <v>41</v>
      </c>
    </row>
    <row r="3351" spans="1:10" x14ac:dyDescent="0.35">
      <c r="A3351" t="s">
        <v>3540</v>
      </c>
      <c r="B3351" s="10">
        <v>46266</v>
      </c>
      <c r="C3351" t="s">
        <v>177</v>
      </c>
      <c r="D3351" t="s">
        <v>54</v>
      </c>
      <c r="E3351" t="s">
        <v>74</v>
      </c>
      <c r="F3351" t="s">
        <v>54</v>
      </c>
      <c r="G3351">
        <v>2422.48</v>
      </c>
      <c r="H3351" t="s">
        <v>21</v>
      </c>
      <c r="I3351" t="s">
        <v>22</v>
      </c>
      <c r="J3351" t="s">
        <v>56</v>
      </c>
    </row>
    <row r="3352" spans="1:10" x14ac:dyDescent="0.35">
      <c r="A3352" t="s">
        <v>3541</v>
      </c>
      <c r="B3352" s="10">
        <v>46266</v>
      </c>
      <c r="C3352" t="s">
        <v>215</v>
      </c>
      <c r="D3352" t="s">
        <v>80</v>
      </c>
      <c r="E3352" t="s">
        <v>117</v>
      </c>
      <c r="F3352" t="s">
        <v>14</v>
      </c>
      <c r="G3352">
        <v>112.29</v>
      </c>
      <c r="H3352" t="s">
        <v>15</v>
      </c>
      <c r="I3352" t="s">
        <v>22</v>
      </c>
      <c r="J3352" t="s">
        <v>141</v>
      </c>
    </row>
    <row r="3353" spans="1:10" x14ac:dyDescent="0.35">
      <c r="A3353" t="s">
        <v>3542</v>
      </c>
      <c r="B3353" s="10">
        <v>46266</v>
      </c>
      <c r="C3353" t="s">
        <v>347</v>
      </c>
      <c r="D3353" t="s">
        <v>29</v>
      </c>
      <c r="E3353" t="s">
        <v>151</v>
      </c>
      <c r="F3353" t="s">
        <v>14</v>
      </c>
      <c r="G3353">
        <v>78.3</v>
      </c>
      <c r="H3353" t="s">
        <v>15</v>
      </c>
      <c r="I3353" t="s">
        <v>36</v>
      </c>
      <c r="J3353" t="s">
        <v>96</v>
      </c>
    </row>
    <row r="3354" spans="1:10" x14ac:dyDescent="0.35">
      <c r="A3354" t="s">
        <v>3543</v>
      </c>
      <c r="B3354" s="10">
        <v>46267</v>
      </c>
      <c r="C3354" t="s">
        <v>11</v>
      </c>
      <c r="D3354" t="s">
        <v>12</v>
      </c>
      <c r="E3354" t="s">
        <v>13</v>
      </c>
      <c r="F3354" t="s">
        <v>14</v>
      </c>
      <c r="G3354">
        <v>87.18</v>
      </c>
      <c r="H3354" t="s">
        <v>15</v>
      </c>
      <c r="I3354" t="s">
        <v>22</v>
      </c>
      <c r="J3354" t="s">
        <v>17</v>
      </c>
    </row>
    <row r="3355" spans="1:10" x14ac:dyDescent="0.35">
      <c r="A3355" t="s">
        <v>3544</v>
      </c>
      <c r="B3355" s="10">
        <v>46267</v>
      </c>
      <c r="C3355" t="s">
        <v>157</v>
      </c>
      <c r="D3355" t="s">
        <v>29</v>
      </c>
      <c r="E3355" t="s">
        <v>95</v>
      </c>
      <c r="F3355" t="s">
        <v>14</v>
      </c>
      <c r="G3355">
        <v>62.43</v>
      </c>
      <c r="H3355" t="s">
        <v>21</v>
      </c>
      <c r="I3355" t="s">
        <v>36</v>
      </c>
      <c r="J3355" t="s">
        <v>158</v>
      </c>
    </row>
    <row r="3356" spans="1:10" x14ac:dyDescent="0.35">
      <c r="A3356" t="s">
        <v>3545</v>
      </c>
      <c r="B3356" s="10">
        <v>46267</v>
      </c>
      <c r="C3356" t="s">
        <v>210</v>
      </c>
      <c r="D3356" t="s">
        <v>59</v>
      </c>
      <c r="E3356" t="s">
        <v>185</v>
      </c>
      <c r="F3356" t="s">
        <v>14</v>
      </c>
      <c r="G3356">
        <v>320.02999999999997</v>
      </c>
      <c r="H3356" t="s">
        <v>15</v>
      </c>
      <c r="I3356" t="s">
        <v>22</v>
      </c>
      <c r="J3356" t="s">
        <v>211</v>
      </c>
    </row>
    <row r="3357" spans="1:10" x14ac:dyDescent="0.35">
      <c r="A3357" t="s">
        <v>3546</v>
      </c>
      <c r="B3357" s="10">
        <v>46268</v>
      </c>
      <c r="C3357" t="s">
        <v>157</v>
      </c>
      <c r="D3357" t="s">
        <v>29</v>
      </c>
      <c r="E3357" t="s">
        <v>95</v>
      </c>
      <c r="F3357" t="s">
        <v>14</v>
      </c>
      <c r="G3357">
        <v>13.4</v>
      </c>
      <c r="H3357" t="s">
        <v>15</v>
      </c>
      <c r="I3357" t="s">
        <v>47</v>
      </c>
      <c r="J3357" t="s">
        <v>158</v>
      </c>
    </row>
    <row r="3358" spans="1:10" x14ac:dyDescent="0.35">
      <c r="A3358" t="s">
        <v>3547</v>
      </c>
      <c r="B3358" s="10">
        <v>46268</v>
      </c>
      <c r="C3358" t="s">
        <v>184</v>
      </c>
      <c r="D3358" t="s">
        <v>59</v>
      </c>
      <c r="E3358" t="s">
        <v>185</v>
      </c>
      <c r="F3358" t="s">
        <v>14</v>
      </c>
      <c r="G3358">
        <v>242.43</v>
      </c>
      <c r="H3358" t="s">
        <v>21</v>
      </c>
      <c r="I3358" t="s">
        <v>36</v>
      </c>
      <c r="J3358" t="s">
        <v>61</v>
      </c>
    </row>
    <row r="3359" spans="1:10" x14ac:dyDescent="0.35">
      <c r="A3359" t="s">
        <v>3548</v>
      </c>
      <c r="B3359" s="10">
        <v>46268</v>
      </c>
      <c r="C3359" t="s">
        <v>198</v>
      </c>
      <c r="D3359" t="s">
        <v>59</v>
      </c>
      <c r="E3359" t="s">
        <v>199</v>
      </c>
      <c r="F3359" t="s">
        <v>14</v>
      </c>
      <c r="G3359">
        <v>950</v>
      </c>
      <c r="H3359" t="s">
        <v>21</v>
      </c>
      <c r="I3359" t="s">
        <v>47</v>
      </c>
      <c r="J3359" t="s">
        <v>61</v>
      </c>
    </row>
    <row r="3360" spans="1:10" x14ac:dyDescent="0.35">
      <c r="A3360" t="s">
        <v>3549</v>
      </c>
      <c r="B3360" s="10">
        <v>46268</v>
      </c>
      <c r="C3360" t="s">
        <v>262</v>
      </c>
      <c r="D3360" t="s">
        <v>101</v>
      </c>
      <c r="E3360" t="s">
        <v>244</v>
      </c>
      <c r="F3360" t="s">
        <v>14</v>
      </c>
      <c r="G3360">
        <v>226.55</v>
      </c>
      <c r="H3360" t="s">
        <v>15</v>
      </c>
      <c r="I3360" t="s">
        <v>36</v>
      </c>
      <c r="J3360" t="s">
        <v>136</v>
      </c>
    </row>
    <row r="3361" spans="1:10" x14ac:dyDescent="0.35">
      <c r="A3361" t="s">
        <v>3550</v>
      </c>
      <c r="B3361" s="10">
        <v>46269</v>
      </c>
      <c r="C3361" t="s">
        <v>53</v>
      </c>
      <c r="D3361" t="s">
        <v>54</v>
      </c>
      <c r="E3361" t="s">
        <v>55</v>
      </c>
      <c r="F3361" t="s">
        <v>54</v>
      </c>
      <c r="G3361">
        <v>682.48</v>
      </c>
      <c r="H3361" t="s">
        <v>21</v>
      </c>
      <c r="I3361" t="s">
        <v>22</v>
      </c>
      <c r="J3361" t="s">
        <v>56</v>
      </c>
    </row>
    <row r="3362" spans="1:10" x14ac:dyDescent="0.35">
      <c r="A3362" t="s">
        <v>3551</v>
      </c>
      <c r="B3362" s="10">
        <v>46269</v>
      </c>
      <c r="C3362" t="s">
        <v>157</v>
      </c>
      <c r="D3362" t="s">
        <v>29</v>
      </c>
      <c r="E3362" t="s">
        <v>95</v>
      </c>
      <c r="F3362" t="s">
        <v>14</v>
      </c>
      <c r="G3362">
        <v>91.06</v>
      </c>
      <c r="H3362" t="s">
        <v>15</v>
      </c>
      <c r="I3362" t="s">
        <v>36</v>
      </c>
      <c r="J3362" t="s">
        <v>158</v>
      </c>
    </row>
    <row r="3363" spans="1:10" x14ac:dyDescent="0.35">
      <c r="A3363" t="s">
        <v>3552</v>
      </c>
      <c r="B3363" s="10">
        <v>46269</v>
      </c>
      <c r="C3363" t="s">
        <v>130</v>
      </c>
      <c r="D3363" t="s">
        <v>12</v>
      </c>
      <c r="E3363" t="s">
        <v>26</v>
      </c>
      <c r="F3363" t="s">
        <v>14</v>
      </c>
      <c r="G3363">
        <v>19.98</v>
      </c>
      <c r="H3363" t="s">
        <v>15</v>
      </c>
      <c r="I3363" t="s">
        <v>22</v>
      </c>
      <c r="J3363" t="s">
        <v>48</v>
      </c>
    </row>
    <row r="3364" spans="1:10" x14ac:dyDescent="0.35">
      <c r="A3364" t="s">
        <v>3553</v>
      </c>
      <c r="B3364" s="10">
        <v>46269</v>
      </c>
      <c r="C3364" t="s">
        <v>11</v>
      </c>
      <c r="D3364" t="s">
        <v>12</v>
      </c>
      <c r="E3364" t="s">
        <v>13</v>
      </c>
      <c r="F3364" t="s">
        <v>14</v>
      </c>
      <c r="G3364">
        <v>29.31</v>
      </c>
      <c r="H3364" t="s">
        <v>21</v>
      </c>
      <c r="I3364" t="s">
        <v>36</v>
      </c>
      <c r="J3364" t="s">
        <v>17</v>
      </c>
    </row>
    <row r="3365" spans="1:10" x14ac:dyDescent="0.35">
      <c r="A3365" t="s">
        <v>3554</v>
      </c>
      <c r="B3365" s="10">
        <v>46270</v>
      </c>
      <c r="C3365" t="s">
        <v>140</v>
      </c>
      <c r="D3365" t="s">
        <v>80</v>
      </c>
      <c r="E3365" t="s">
        <v>81</v>
      </c>
      <c r="F3365" t="s">
        <v>14</v>
      </c>
      <c r="G3365">
        <v>35.71</v>
      </c>
      <c r="H3365" t="s">
        <v>21</v>
      </c>
      <c r="I3365" t="s">
        <v>36</v>
      </c>
      <c r="J3365" t="s">
        <v>141</v>
      </c>
    </row>
    <row r="3366" spans="1:10" x14ac:dyDescent="0.35">
      <c r="A3366" t="s">
        <v>3555</v>
      </c>
      <c r="B3366" s="10">
        <v>46270</v>
      </c>
      <c r="C3366" t="s">
        <v>194</v>
      </c>
      <c r="D3366" t="s">
        <v>101</v>
      </c>
      <c r="E3366" t="s">
        <v>136</v>
      </c>
      <c r="F3366" t="s">
        <v>14</v>
      </c>
      <c r="G3366">
        <v>156.55000000000001</v>
      </c>
      <c r="H3366" t="s">
        <v>98</v>
      </c>
      <c r="I3366" t="s">
        <v>36</v>
      </c>
      <c r="J3366" t="s">
        <v>103</v>
      </c>
    </row>
    <row r="3367" spans="1:10" x14ac:dyDescent="0.35">
      <c r="A3367" t="s">
        <v>3556</v>
      </c>
      <c r="B3367" s="10">
        <v>46270</v>
      </c>
      <c r="C3367" t="s">
        <v>140</v>
      </c>
      <c r="D3367" t="s">
        <v>80</v>
      </c>
      <c r="E3367" t="s">
        <v>81</v>
      </c>
      <c r="F3367" t="s">
        <v>14</v>
      </c>
      <c r="G3367">
        <v>110.86</v>
      </c>
      <c r="H3367" t="s">
        <v>15</v>
      </c>
      <c r="I3367" t="s">
        <v>22</v>
      </c>
      <c r="J3367" t="s">
        <v>141</v>
      </c>
    </row>
    <row r="3368" spans="1:10" x14ac:dyDescent="0.35">
      <c r="A3368" t="s">
        <v>3557</v>
      </c>
      <c r="B3368" s="10">
        <v>46270</v>
      </c>
      <c r="C3368" t="s">
        <v>331</v>
      </c>
      <c r="D3368" t="s">
        <v>29</v>
      </c>
      <c r="E3368" t="s">
        <v>95</v>
      </c>
      <c r="F3368" t="s">
        <v>14</v>
      </c>
      <c r="G3368">
        <v>77.56</v>
      </c>
      <c r="H3368" t="s">
        <v>15</v>
      </c>
      <c r="I3368" t="s">
        <v>36</v>
      </c>
      <c r="J3368" t="s">
        <v>151</v>
      </c>
    </row>
    <row r="3369" spans="1:10" x14ac:dyDescent="0.35">
      <c r="A3369" t="s">
        <v>3558</v>
      </c>
      <c r="B3369" s="10">
        <v>46270</v>
      </c>
      <c r="C3369" t="s">
        <v>177</v>
      </c>
      <c r="D3369" t="s">
        <v>54</v>
      </c>
      <c r="E3369" t="s">
        <v>74</v>
      </c>
      <c r="F3369" t="s">
        <v>54</v>
      </c>
      <c r="G3369">
        <v>2792.55</v>
      </c>
      <c r="H3369" t="s">
        <v>98</v>
      </c>
      <c r="I3369" t="s">
        <v>22</v>
      </c>
      <c r="J3369" t="s">
        <v>56</v>
      </c>
    </row>
    <row r="3370" spans="1:10" x14ac:dyDescent="0.35">
      <c r="A3370" t="s">
        <v>3559</v>
      </c>
      <c r="B3370" s="10">
        <v>46271</v>
      </c>
      <c r="C3370" t="s">
        <v>58</v>
      </c>
      <c r="D3370" t="s">
        <v>59</v>
      </c>
      <c r="E3370" t="s">
        <v>60</v>
      </c>
      <c r="F3370" t="s">
        <v>14</v>
      </c>
      <c r="G3370">
        <v>259.7</v>
      </c>
      <c r="H3370" t="s">
        <v>15</v>
      </c>
      <c r="I3370" t="s">
        <v>22</v>
      </c>
      <c r="J3370" t="s">
        <v>61</v>
      </c>
    </row>
    <row r="3371" spans="1:10" x14ac:dyDescent="0.35">
      <c r="A3371" t="s">
        <v>3560</v>
      </c>
      <c r="B3371" s="10">
        <v>46271</v>
      </c>
      <c r="C3371" t="s">
        <v>143</v>
      </c>
      <c r="D3371" t="s">
        <v>54</v>
      </c>
      <c r="E3371" t="s">
        <v>55</v>
      </c>
      <c r="F3371" t="s">
        <v>54</v>
      </c>
      <c r="G3371">
        <v>653.24</v>
      </c>
      <c r="H3371" t="s">
        <v>15</v>
      </c>
      <c r="I3371" t="s">
        <v>22</v>
      </c>
      <c r="J3371" t="s">
        <v>89</v>
      </c>
    </row>
    <row r="3372" spans="1:10" x14ac:dyDescent="0.35">
      <c r="A3372" t="s">
        <v>3561</v>
      </c>
      <c r="B3372" s="10">
        <v>46271</v>
      </c>
      <c r="C3372" t="s">
        <v>143</v>
      </c>
      <c r="D3372" t="s">
        <v>54</v>
      </c>
      <c r="E3372" t="s">
        <v>55</v>
      </c>
      <c r="F3372" t="s">
        <v>54</v>
      </c>
      <c r="G3372">
        <v>663.83</v>
      </c>
      <c r="H3372" t="s">
        <v>15</v>
      </c>
      <c r="I3372" t="s">
        <v>84</v>
      </c>
      <c r="J3372" t="s">
        <v>89</v>
      </c>
    </row>
    <row r="3373" spans="1:10" x14ac:dyDescent="0.35">
      <c r="A3373" t="s">
        <v>3562</v>
      </c>
      <c r="B3373" s="10">
        <v>46271</v>
      </c>
      <c r="C3373" t="s">
        <v>210</v>
      </c>
      <c r="D3373" t="s">
        <v>59</v>
      </c>
      <c r="E3373" t="s">
        <v>185</v>
      </c>
      <c r="F3373" t="s">
        <v>14</v>
      </c>
      <c r="G3373">
        <v>89.09</v>
      </c>
      <c r="H3373" t="s">
        <v>21</v>
      </c>
      <c r="I3373" t="s">
        <v>22</v>
      </c>
      <c r="J3373" t="s">
        <v>211</v>
      </c>
    </row>
    <row r="3374" spans="1:10" x14ac:dyDescent="0.35">
      <c r="A3374" t="s">
        <v>3563</v>
      </c>
      <c r="B3374" s="10">
        <v>46271</v>
      </c>
      <c r="C3374" t="s">
        <v>345</v>
      </c>
      <c r="D3374" t="s">
        <v>59</v>
      </c>
      <c r="E3374" t="s">
        <v>60</v>
      </c>
      <c r="F3374" t="s">
        <v>14</v>
      </c>
      <c r="G3374">
        <v>274.3</v>
      </c>
      <c r="H3374" t="s">
        <v>15</v>
      </c>
      <c r="I3374" t="s">
        <v>22</v>
      </c>
      <c r="J3374" t="s">
        <v>211</v>
      </c>
    </row>
    <row r="3375" spans="1:10" x14ac:dyDescent="0.35">
      <c r="A3375" t="s">
        <v>3564</v>
      </c>
      <c r="B3375" s="10">
        <v>46271</v>
      </c>
      <c r="C3375" t="s">
        <v>111</v>
      </c>
      <c r="D3375" t="s">
        <v>12</v>
      </c>
      <c r="E3375" t="s">
        <v>26</v>
      </c>
      <c r="F3375" t="s">
        <v>14</v>
      </c>
      <c r="G3375">
        <v>176.98</v>
      </c>
      <c r="H3375" t="s">
        <v>21</v>
      </c>
      <c r="I3375" t="s">
        <v>36</v>
      </c>
      <c r="J3375" t="s">
        <v>23</v>
      </c>
    </row>
    <row r="3376" spans="1:10" x14ac:dyDescent="0.35">
      <c r="A3376" t="s">
        <v>3565</v>
      </c>
      <c r="B3376" s="10">
        <v>46271</v>
      </c>
      <c r="C3376" t="s">
        <v>415</v>
      </c>
      <c r="D3376" t="s">
        <v>12</v>
      </c>
      <c r="E3376" t="s">
        <v>51</v>
      </c>
      <c r="F3376" t="s">
        <v>14</v>
      </c>
      <c r="G3376">
        <v>25.49</v>
      </c>
      <c r="H3376" t="s">
        <v>15</v>
      </c>
      <c r="I3376" t="s">
        <v>22</v>
      </c>
      <c r="J3376" t="s">
        <v>77</v>
      </c>
    </row>
    <row r="3377" spans="1:10" x14ac:dyDescent="0.35">
      <c r="A3377" t="s">
        <v>3566</v>
      </c>
      <c r="B3377" s="10">
        <v>46271</v>
      </c>
      <c r="C3377" t="s">
        <v>109</v>
      </c>
      <c r="D3377" t="s">
        <v>34</v>
      </c>
      <c r="E3377" t="s">
        <v>35</v>
      </c>
      <c r="F3377" t="s">
        <v>14</v>
      </c>
      <c r="G3377">
        <v>87.43</v>
      </c>
      <c r="H3377" t="s">
        <v>15</v>
      </c>
      <c r="I3377" t="s">
        <v>47</v>
      </c>
      <c r="J3377" t="s">
        <v>41</v>
      </c>
    </row>
    <row r="3378" spans="1:10" x14ac:dyDescent="0.35">
      <c r="A3378" t="s">
        <v>3567</v>
      </c>
      <c r="B3378" s="10">
        <v>46272</v>
      </c>
      <c r="C3378" t="s">
        <v>189</v>
      </c>
      <c r="D3378" t="s">
        <v>34</v>
      </c>
      <c r="E3378" t="s">
        <v>122</v>
      </c>
      <c r="F3378" t="s">
        <v>14</v>
      </c>
      <c r="G3378">
        <v>107.76</v>
      </c>
      <c r="H3378" t="s">
        <v>21</v>
      </c>
      <c r="I3378" t="s">
        <v>16</v>
      </c>
      <c r="J3378" t="s">
        <v>37</v>
      </c>
    </row>
    <row r="3379" spans="1:10" x14ac:dyDescent="0.35">
      <c r="A3379" t="s">
        <v>3568</v>
      </c>
      <c r="B3379" s="10">
        <v>46272</v>
      </c>
      <c r="C3379" t="s">
        <v>464</v>
      </c>
      <c r="D3379" t="s">
        <v>34</v>
      </c>
      <c r="E3379" t="s">
        <v>122</v>
      </c>
      <c r="F3379" t="s">
        <v>14</v>
      </c>
      <c r="G3379">
        <v>296.01</v>
      </c>
      <c r="H3379" t="s">
        <v>21</v>
      </c>
      <c r="I3379" t="s">
        <v>22</v>
      </c>
      <c r="J3379" t="s">
        <v>239</v>
      </c>
    </row>
    <row r="3380" spans="1:10" x14ac:dyDescent="0.35">
      <c r="A3380" t="s">
        <v>3569</v>
      </c>
      <c r="B3380" s="10">
        <v>46272</v>
      </c>
      <c r="C3380" t="s">
        <v>168</v>
      </c>
      <c r="D3380" t="s">
        <v>59</v>
      </c>
      <c r="E3380" t="s">
        <v>60</v>
      </c>
      <c r="F3380" t="s">
        <v>14</v>
      </c>
      <c r="G3380">
        <v>196.39</v>
      </c>
      <c r="H3380" t="s">
        <v>98</v>
      </c>
      <c r="I3380" t="s">
        <v>84</v>
      </c>
      <c r="J3380" t="s">
        <v>170</v>
      </c>
    </row>
    <row r="3381" spans="1:10" x14ac:dyDescent="0.35">
      <c r="A3381" t="s">
        <v>3570</v>
      </c>
      <c r="B3381" s="10">
        <v>46272</v>
      </c>
      <c r="C3381" t="s">
        <v>113</v>
      </c>
      <c r="D3381" t="s">
        <v>34</v>
      </c>
      <c r="E3381" t="s">
        <v>40</v>
      </c>
      <c r="F3381" t="s">
        <v>14</v>
      </c>
      <c r="G3381">
        <v>47.28</v>
      </c>
      <c r="H3381" t="s">
        <v>21</v>
      </c>
      <c r="I3381" t="s">
        <v>22</v>
      </c>
      <c r="J3381" t="s">
        <v>37</v>
      </c>
    </row>
    <row r="3382" spans="1:10" x14ac:dyDescent="0.35">
      <c r="A3382" t="s">
        <v>3571</v>
      </c>
      <c r="B3382" s="10">
        <v>46272</v>
      </c>
      <c r="C3382" t="s">
        <v>281</v>
      </c>
      <c r="D3382" t="s">
        <v>34</v>
      </c>
      <c r="E3382" t="s">
        <v>40</v>
      </c>
      <c r="F3382" t="s">
        <v>14</v>
      </c>
      <c r="G3382">
        <v>79.23</v>
      </c>
      <c r="H3382" t="s">
        <v>21</v>
      </c>
      <c r="I3382" t="s">
        <v>47</v>
      </c>
      <c r="J3382" t="s">
        <v>123</v>
      </c>
    </row>
    <row r="3383" spans="1:10" x14ac:dyDescent="0.35">
      <c r="A3383" t="s">
        <v>3572</v>
      </c>
      <c r="B3383" s="10">
        <v>46272</v>
      </c>
      <c r="C3383" t="s">
        <v>130</v>
      </c>
      <c r="D3383" t="s">
        <v>12</v>
      </c>
      <c r="E3383" t="s">
        <v>26</v>
      </c>
      <c r="F3383" t="s">
        <v>14</v>
      </c>
      <c r="G3383">
        <v>51.08</v>
      </c>
      <c r="H3383" t="s">
        <v>15</v>
      </c>
      <c r="I3383" t="s">
        <v>22</v>
      </c>
      <c r="J3383" t="s">
        <v>48</v>
      </c>
    </row>
    <row r="3384" spans="1:10" x14ac:dyDescent="0.35">
      <c r="A3384" t="s">
        <v>3573</v>
      </c>
      <c r="B3384" s="10">
        <v>46273</v>
      </c>
      <c r="C3384" t="s">
        <v>1491</v>
      </c>
      <c r="D3384" t="s">
        <v>69</v>
      </c>
      <c r="E3384" t="s">
        <v>233</v>
      </c>
      <c r="F3384" t="s">
        <v>14</v>
      </c>
      <c r="G3384">
        <v>511.74</v>
      </c>
      <c r="H3384" t="s">
        <v>21</v>
      </c>
      <c r="I3384" t="s">
        <v>84</v>
      </c>
      <c r="J3384" t="s">
        <v>396</v>
      </c>
    </row>
    <row r="3385" spans="1:10" x14ac:dyDescent="0.35">
      <c r="A3385" t="s">
        <v>3574</v>
      </c>
      <c r="B3385" s="10">
        <v>46273</v>
      </c>
      <c r="C3385" t="s">
        <v>76</v>
      </c>
      <c r="D3385" t="s">
        <v>12</v>
      </c>
      <c r="E3385" t="s">
        <v>13</v>
      </c>
      <c r="F3385" t="s">
        <v>14</v>
      </c>
      <c r="G3385">
        <v>48.17</v>
      </c>
      <c r="H3385" t="s">
        <v>15</v>
      </c>
      <c r="I3385" t="s">
        <v>22</v>
      </c>
      <c r="J3385" t="s">
        <v>77</v>
      </c>
    </row>
    <row r="3386" spans="1:10" x14ac:dyDescent="0.35">
      <c r="A3386" t="s">
        <v>3575</v>
      </c>
      <c r="B3386" s="10">
        <v>46273</v>
      </c>
      <c r="C3386" t="s">
        <v>345</v>
      </c>
      <c r="D3386" t="s">
        <v>59</v>
      </c>
      <c r="E3386" t="s">
        <v>60</v>
      </c>
      <c r="F3386" t="s">
        <v>14</v>
      </c>
      <c r="G3386">
        <v>715.69</v>
      </c>
      <c r="H3386" t="s">
        <v>15</v>
      </c>
      <c r="I3386" t="s">
        <v>22</v>
      </c>
      <c r="J3386" t="s">
        <v>211</v>
      </c>
    </row>
    <row r="3387" spans="1:10" x14ac:dyDescent="0.35">
      <c r="A3387" t="s">
        <v>3576</v>
      </c>
      <c r="B3387" s="10">
        <v>46273</v>
      </c>
      <c r="C3387" t="s">
        <v>11</v>
      </c>
      <c r="D3387" t="s">
        <v>12</v>
      </c>
      <c r="E3387" t="s">
        <v>13</v>
      </c>
      <c r="F3387" t="s">
        <v>14</v>
      </c>
      <c r="G3387">
        <v>15.34</v>
      </c>
      <c r="H3387" t="s">
        <v>15</v>
      </c>
      <c r="I3387" t="s">
        <v>36</v>
      </c>
      <c r="J3387" t="s">
        <v>17</v>
      </c>
    </row>
    <row r="3388" spans="1:10" x14ac:dyDescent="0.35">
      <c r="A3388" t="s">
        <v>3577</v>
      </c>
      <c r="B3388" s="10">
        <v>46273</v>
      </c>
      <c r="C3388" t="s">
        <v>464</v>
      </c>
      <c r="D3388" t="s">
        <v>34</v>
      </c>
      <c r="E3388" t="s">
        <v>122</v>
      </c>
      <c r="F3388" t="s">
        <v>14</v>
      </c>
      <c r="G3388">
        <v>92.37</v>
      </c>
      <c r="H3388" t="s">
        <v>15</v>
      </c>
      <c r="I3388" t="s">
        <v>22</v>
      </c>
      <c r="J3388" t="s">
        <v>239</v>
      </c>
    </row>
    <row r="3389" spans="1:10" x14ac:dyDescent="0.35">
      <c r="A3389" t="s">
        <v>3578</v>
      </c>
      <c r="B3389" s="10">
        <v>46274</v>
      </c>
      <c r="C3389" t="s">
        <v>153</v>
      </c>
      <c r="D3389" t="s">
        <v>34</v>
      </c>
      <c r="E3389" t="s">
        <v>122</v>
      </c>
      <c r="F3389" t="s">
        <v>14</v>
      </c>
      <c r="G3389">
        <v>58.2</v>
      </c>
      <c r="H3389" t="s">
        <v>21</v>
      </c>
      <c r="I3389" t="s">
        <v>36</v>
      </c>
      <c r="J3389" t="s">
        <v>41</v>
      </c>
    </row>
    <row r="3390" spans="1:10" x14ac:dyDescent="0.35">
      <c r="A3390" t="s">
        <v>3579</v>
      </c>
      <c r="B3390" s="10">
        <v>46274</v>
      </c>
      <c r="C3390" t="s">
        <v>63</v>
      </c>
      <c r="D3390" t="s">
        <v>54</v>
      </c>
      <c r="E3390" t="s">
        <v>64</v>
      </c>
      <c r="F3390" t="s">
        <v>54</v>
      </c>
      <c r="G3390">
        <v>327.08</v>
      </c>
      <c r="H3390" t="s">
        <v>15</v>
      </c>
      <c r="I3390" t="s">
        <v>22</v>
      </c>
      <c r="J3390" t="s">
        <v>65</v>
      </c>
    </row>
    <row r="3391" spans="1:10" x14ac:dyDescent="0.35">
      <c r="A3391" t="s">
        <v>3580</v>
      </c>
      <c r="B3391" s="10">
        <v>46275</v>
      </c>
      <c r="C3391" t="s">
        <v>184</v>
      </c>
      <c r="D3391" t="s">
        <v>59</v>
      </c>
      <c r="E3391" t="s">
        <v>185</v>
      </c>
      <c r="F3391" t="s">
        <v>14</v>
      </c>
      <c r="G3391">
        <v>155.44</v>
      </c>
      <c r="H3391" t="s">
        <v>15</v>
      </c>
      <c r="I3391" t="s">
        <v>22</v>
      </c>
      <c r="J3391" t="s">
        <v>61</v>
      </c>
    </row>
    <row r="3392" spans="1:10" x14ac:dyDescent="0.35">
      <c r="A3392" t="s">
        <v>3581</v>
      </c>
      <c r="B3392" s="10">
        <v>46275</v>
      </c>
      <c r="C3392" t="s">
        <v>269</v>
      </c>
      <c r="D3392" t="s">
        <v>34</v>
      </c>
      <c r="E3392" t="s">
        <v>35</v>
      </c>
      <c r="F3392" t="s">
        <v>14</v>
      </c>
      <c r="G3392">
        <v>122.97</v>
      </c>
      <c r="H3392" t="s">
        <v>15</v>
      </c>
      <c r="I3392" t="s">
        <v>36</v>
      </c>
      <c r="J3392" t="s">
        <v>123</v>
      </c>
    </row>
    <row r="3393" spans="1:10" x14ac:dyDescent="0.35">
      <c r="A3393" t="s">
        <v>3582</v>
      </c>
      <c r="B3393" s="10">
        <v>46275</v>
      </c>
      <c r="C3393" t="s">
        <v>138</v>
      </c>
      <c r="D3393" t="s">
        <v>12</v>
      </c>
      <c r="E3393" t="s">
        <v>26</v>
      </c>
      <c r="F3393" t="s">
        <v>14</v>
      </c>
      <c r="G3393">
        <v>55.47</v>
      </c>
      <c r="H3393" t="s">
        <v>15</v>
      </c>
      <c r="I3393" t="s">
        <v>36</v>
      </c>
      <c r="J3393" t="s">
        <v>77</v>
      </c>
    </row>
    <row r="3394" spans="1:10" x14ac:dyDescent="0.35">
      <c r="A3394" t="s">
        <v>3583</v>
      </c>
      <c r="B3394" s="10">
        <v>46275</v>
      </c>
      <c r="C3394" t="s">
        <v>88</v>
      </c>
      <c r="D3394" t="s">
        <v>54</v>
      </c>
      <c r="E3394" t="s">
        <v>74</v>
      </c>
      <c r="F3394" t="s">
        <v>54</v>
      </c>
      <c r="G3394">
        <v>2793</v>
      </c>
      <c r="H3394" t="s">
        <v>15</v>
      </c>
      <c r="I3394" t="s">
        <v>16</v>
      </c>
      <c r="J3394" t="s">
        <v>89</v>
      </c>
    </row>
    <row r="3395" spans="1:10" x14ac:dyDescent="0.35">
      <c r="A3395" t="s">
        <v>3584</v>
      </c>
      <c r="B3395" s="10">
        <v>46276</v>
      </c>
      <c r="C3395" t="s">
        <v>153</v>
      </c>
      <c r="D3395" t="s">
        <v>34</v>
      </c>
      <c r="E3395" t="s">
        <v>122</v>
      </c>
      <c r="F3395" t="s">
        <v>14</v>
      </c>
      <c r="G3395">
        <v>192.41</v>
      </c>
      <c r="H3395" t="s">
        <v>15</v>
      </c>
      <c r="I3395" t="s">
        <v>16</v>
      </c>
      <c r="J3395" t="s">
        <v>41</v>
      </c>
    </row>
    <row r="3396" spans="1:10" x14ac:dyDescent="0.35">
      <c r="A3396" t="s">
        <v>3585</v>
      </c>
      <c r="B3396" s="10">
        <v>46276</v>
      </c>
      <c r="C3396" t="s">
        <v>189</v>
      </c>
      <c r="D3396" t="s">
        <v>34</v>
      </c>
      <c r="E3396" t="s">
        <v>122</v>
      </c>
      <c r="F3396" t="s">
        <v>14</v>
      </c>
      <c r="G3396">
        <v>148.26</v>
      </c>
      <c r="H3396" t="s">
        <v>15</v>
      </c>
      <c r="I3396" t="s">
        <v>84</v>
      </c>
      <c r="J3396" t="s">
        <v>37</v>
      </c>
    </row>
    <row r="3397" spans="1:10" x14ac:dyDescent="0.35">
      <c r="A3397" t="s">
        <v>3586</v>
      </c>
      <c r="B3397" s="10">
        <v>46276</v>
      </c>
      <c r="C3397" t="s">
        <v>217</v>
      </c>
      <c r="D3397" t="s">
        <v>80</v>
      </c>
      <c r="E3397" t="s">
        <v>81</v>
      </c>
      <c r="F3397" t="s">
        <v>14</v>
      </c>
      <c r="G3397">
        <v>22.55</v>
      </c>
      <c r="H3397" t="s">
        <v>98</v>
      </c>
      <c r="I3397" t="s">
        <v>16</v>
      </c>
      <c r="J3397" t="s">
        <v>180</v>
      </c>
    </row>
    <row r="3398" spans="1:10" x14ac:dyDescent="0.35">
      <c r="A3398" t="s">
        <v>3587</v>
      </c>
      <c r="B3398" s="10">
        <v>46277</v>
      </c>
      <c r="C3398" t="s">
        <v>33</v>
      </c>
      <c r="D3398" t="s">
        <v>34</v>
      </c>
      <c r="E3398" t="s">
        <v>35</v>
      </c>
      <c r="F3398" t="s">
        <v>14</v>
      </c>
      <c r="G3398">
        <v>197.18</v>
      </c>
      <c r="H3398" t="s">
        <v>15</v>
      </c>
      <c r="I3398" t="s">
        <v>22</v>
      </c>
      <c r="J3398" t="s">
        <v>37</v>
      </c>
    </row>
    <row r="3399" spans="1:10" x14ac:dyDescent="0.35">
      <c r="A3399" t="s">
        <v>3588</v>
      </c>
      <c r="B3399" s="10">
        <v>46278</v>
      </c>
      <c r="C3399" t="s">
        <v>296</v>
      </c>
      <c r="D3399" t="s">
        <v>101</v>
      </c>
      <c r="E3399" t="s">
        <v>136</v>
      </c>
      <c r="F3399" t="s">
        <v>14</v>
      </c>
      <c r="G3399">
        <v>219.8</v>
      </c>
      <c r="H3399" t="s">
        <v>21</v>
      </c>
      <c r="I3399" t="s">
        <v>22</v>
      </c>
      <c r="J3399" t="s">
        <v>136</v>
      </c>
    </row>
    <row r="3400" spans="1:10" x14ac:dyDescent="0.35">
      <c r="A3400" t="s">
        <v>3589</v>
      </c>
      <c r="B3400" s="10">
        <v>46278</v>
      </c>
      <c r="C3400" t="s">
        <v>198</v>
      </c>
      <c r="D3400" t="s">
        <v>59</v>
      </c>
      <c r="E3400" t="s">
        <v>199</v>
      </c>
      <c r="F3400" t="s">
        <v>14</v>
      </c>
      <c r="G3400">
        <v>179.87</v>
      </c>
      <c r="H3400" t="s">
        <v>15</v>
      </c>
      <c r="I3400" t="s">
        <v>16</v>
      </c>
      <c r="J3400" t="s">
        <v>61</v>
      </c>
    </row>
    <row r="3401" spans="1:10" x14ac:dyDescent="0.35">
      <c r="A3401" t="s">
        <v>3590</v>
      </c>
      <c r="B3401" s="10">
        <v>46278</v>
      </c>
      <c r="C3401" t="s">
        <v>272</v>
      </c>
      <c r="D3401" t="s">
        <v>54</v>
      </c>
      <c r="E3401" t="s">
        <v>55</v>
      </c>
      <c r="F3401" t="s">
        <v>54</v>
      </c>
      <c r="G3401">
        <v>733.65</v>
      </c>
      <c r="H3401" t="s">
        <v>21</v>
      </c>
      <c r="I3401" t="s">
        <v>47</v>
      </c>
      <c r="J3401" t="s">
        <v>65</v>
      </c>
    </row>
    <row r="3402" spans="1:10" x14ac:dyDescent="0.35">
      <c r="A3402" t="s">
        <v>3591</v>
      </c>
      <c r="B3402" s="10">
        <v>46278</v>
      </c>
      <c r="C3402" t="s">
        <v>135</v>
      </c>
      <c r="D3402" t="s">
        <v>101</v>
      </c>
      <c r="E3402" t="s">
        <v>102</v>
      </c>
      <c r="F3402" t="s">
        <v>14</v>
      </c>
      <c r="G3402">
        <v>104.15</v>
      </c>
      <c r="H3402" t="s">
        <v>21</v>
      </c>
      <c r="I3402" t="s">
        <v>36</v>
      </c>
      <c r="J3402" t="s">
        <v>136</v>
      </c>
    </row>
    <row r="3403" spans="1:10" x14ac:dyDescent="0.35">
      <c r="A3403" t="s">
        <v>3592</v>
      </c>
      <c r="B3403" s="10">
        <v>46279</v>
      </c>
      <c r="C3403" t="s">
        <v>28</v>
      </c>
      <c r="D3403" t="s">
        <v>29</v>
      </c>
      <c r="E3403" t="s">
        <v>30</v>
      </c>
      <c r="F3403" t="s">
        <v>14</v>
      </c>
      <c r="G3403">
        <v>10.02</v>
      </c>
      <c r="H3403" t="s">
        <v>21</v>
      </c>
      <c r="I3403" t="s">
        <v>36</v>
      </c>
      <c r="J3403" t="s">
        <v>31</v>
      </c>
    </row>
    <row r="3404" spans="1:10" x14ac:dyDescent="0.35">
      <c r="A3404" t="s">
        <v>3593</v>
      </c>
      <c r="B3404" s="10">
        <v>46279</v>
      </c>
      <c r="C3404" t="s">
        <v>345</v>
      </c>
      <c r="D3404" t="s">
        <v>59</v>
      </c>
      <c r="E3404" t="s">
        <v>60</v>
      </c>
      <c r="F3404" t="s">
        <v>14</v>
      </c>
      <c r="G3404">
        <v>160.03</v>
      </c>
      <c r="H3404" t="s">
        <v>98</v>
      </c>
      <c r="I3404" t="s">
        <v>36</v>
      </c>
      <c r="J3404" t="s">
        <v>211</v>
      </c>
    </row>
    <row r="3405" spans="1:10" x14ac:dyDescent="0.35">
      <c r="A3405" t="s">
        <v>3594</v>
      </c>
      <c r="B3405" s="10">
        <v>46279</v>
      </c>
      <c r="C3405" t="s">
        <v>308</v>
      </c>
      <c r="D3405" t="s">
        <v>54</v>
      </c>
      <c r="E3405" t="s">
        <v>64</v>
      </c>
      <c r="F3405" t="s">
        <v>54</v>
      </c>
      <c r="G3405">
        <v>317.73</v>
      </c>
      <c r="H3405" t="s">
        <v>98</v>
      </c>
      <c r="I3405" t="s">
        <v>84</v>
      </c>
      <c r="J3405" t="s">
        <v>89</v>
      </c>
    </row>
    <row r="3406" spans="1:10" x14ac:dyDescent="0.35">
      <c r="A3406" t="s">
        <v>3595</v>
      </c>
      <c r="B3406" s="10">
        <v>46279</v>
      </c>
      <c r="C3406" t="s">
        <v>543</v>
      </c>
      <c r="D3406" t="s">
        <v>69</v>
      </c>
      <c r="E3406" t="s">
        <v>70</v>
      </c>
      <c r="F3406" t="s">
        <v>14</v>
      </c>
      <c r="G3406">
        <v>711.12</v>
      </c>
      <c r="H3406" t="s">
        <v>15</v>
      </c>
      <c r="I3406" t="s">
        <v>22</v>
      </c>
      <c r="J3406" t="s">
        <v>292</v>
      </c>
    </row>
    <row r="3407" spans="1:10" x14ac:dyDescent="0.35">
      <c r="A3407" t="s">
        <v>3596</v>
      </c>
      <c r="B3407" s="10">
        <v>46280</v>
      </c>
      <c r="C3407" t="s">
        <v>121</v>
      </c>
      <c r="D3407" t="s">
        <v>34</v>
      </c>
      <c r="E3407" t="s">
        <v>122</v>
      </c>
      <c r="F3407" t="s">
        <v>14</v>
      </c>
      <c r="G3407">
        <v>175.91</v>
      </c>
      <c r="H3407" t="s">
        <v>15</v>
      </c>
      <c r="I3407" t="s">
        <v>36</v>
      </c>
      <c r="J3407" t="s">
        <v>123</v>
      </c>
    </row>
    <row r="3408" spans="1:10" x14ac:dyDescent="0.35">
      <c r="A3408" t="s">
        <v>3597</v>
      </c>
      <c r="B3408" s="10">
        <v>46280</v>
      </c>
      <c r="C3408" t="s">
        <v>58</v>
      </c>
      <c r="D3408" t="s">
        <v>59</v>
      </c>
      <c r="E3408" t="s">
        <v>60</v>
      </c>
      <c r="F3408" t="s">
        <v>14</v>
      </c>
      <c r="G3408">
        <v>534.34</v>
      </c>
      <c r="H3408" t="s">
        <v>21</v>
      </c>
      <c r="I3408" t="s">
        <v>36</v>
      </c>
      <c r="J3408" t="s">
        <v>61</v>
      </c>
    </row>
    <row r="3409" spans="1:10" x14ac:dyDescent="0.35">
      <c r="A3409" t="s">
        <v>3598</v>
      </c>
      <c r="B3409" s="10">
        <v>46280</v>
      </c>
      <c r="C3409" t="s">
        <v>272</v>
      </c>
      <c r="D3409" t="s">
        <v>54</v>
      </c>
      <c r="E3409" t="s">
        <v>55</v>
      </c>
      <c r="F3409" t="s">
        <v>54</v>
      </c>
      <c r="G3409">
        <v>736.43</v>
      </c>
      <c r="H3409" t="s">
        <v>15</v>
      </c>
      <c r="I3409" t="s">
        <v>22</v>
      </c>
      <c r="J3409" t="s">
        <v>65</v>
      </c>
    </row>
    <row r="3410" spans="1:10" x14ac:dyDescent="0.35">
      <c r="A3410" t="s">
        <v>3599</v>
      </c>
      <c r="B3410" s="10">
        <v>46280</v>
      </c>
      <c r="C3410" t="s">
        <v>198</v>
      </c>
      <c r="D3410" t="s">
        <v>59</v>
      </c>
      <c r="E3410" t="s">
        <v>199</v>
      </c>
      <c r="F3410" t="s">
        <v>14</v>
      </c>
      <c r="G3410">
        <v>449.22</v>
      </c>
      <c r="H3410" t="s">
        <v>15</v>
      </c>
      <c r="I3410" t="s">
        <v>47</v>
      </c>
      <c r="J3410" t="s">
        <v>61</v>
      </c>
    </row>
    <row r="3411" spans="1:10" x14ac:dyDescent="0.35">
      <c r="A3411" t="s">
        <v>3600</v>
      </c>
      <c r="B3411" s="10">
        <v>46280</v>
      </c>
      <c r="C3411" t="s">
        <v>125</v>
      </c>
      <c r="D3411" t="s">
        <v>12</v>
      </c>
      <c r="E3411" t="s">
        <v>13</v>
      </c>
      <c r="F3411" t="s">
        <v>14</v>
      </c>
      <c r="G3411">
        <v>62.46</v>
      </c>
      <c r="H3411" t="s">
        <v>15</v>
      </c>
      <c r="I3411" t="s">
        <v>22</v>
      </c>
      <c r="J3411" t="s">
        <v>44</v>
      </c>
    </row>
    <row r="3412" spans="1:10" x14ac:dyDescent="0.35">
      <c r="A3412" t="s">
        <v>3601</v>
      </c>
      <c r="B3412" s="10">
        <v>46280</v>
      </c>
      <c r="C3412" t="s">
        <v>198</v>
      </c>
      <c r="D3412" t="s">
        <v>59</v>
      </c>
      <c r="E3412" t="s">
        <v>199</v>
      </c>
      <c r="F3412" t="s">
        <v>14</v>
      </c>
      <c r="G3412">
        <v>91.12</v>
      </c>
      <c r="H3412" t="s">
        <v>15</v>
      </c>
      <c r="I3412" t="s">
        <v>36</v>
      </c>
      <c r="J3412" t="s">
        <v>61</v>
      </c>
    </row>
    <row r="3413" spans="1:10" x14ac:dyDescent="0.35">
      <c r="A3413" t="s">
        <v>3602</v>
      </c>
      <c r="B3413" s="10">
        <v>46281</v>
      </c>
      <c r="C3413" t="s">
        <v>88</v>
      </c>
      <c r="D3413" t="s">
        <v>54</v>
      </c>
      <c r="E3413" t="s">
        <v>74</v>
      </c>
      <c r="F3413" t="s">
        <v>54</v>
      </c>
      <c r="G3413">
        <v>2525</v>
      </c>
      <c r="H3413" t="s">
        <v>15</v>
      </c>
      <c r="I3413" t="s">
        <v>16</v>
      </c>
      <c r="J3413" t="s">
        <v>89</v>
      </c>
    </row>
    <row r="3414" spans="1:10" x14ac:dyDescent="0.35">
      <c r="A3414" t="s">
        <v>3603</v>
      </c>
      <c r="B3414" s="10">
        <v>46281</v>
      </c>
      <c r="C3414" t="s">
        <v>350</v>
      </c>
      <c r="D3414" t="s">
        <v>29</v>
      </c>
      <c r="E3414" t="s">
        <v>151</v>
      </c>
      <c r="F3414" t="s">
        <v>14</v>
      </c>
      <c r="G3414">
        <v>21.37</v>
      </c>
      <c r="H3414" t="s">
        <v>15</v>
      </c>
      <c r="I3414" t="s">
        <v>16</v>
      </c>
      <c r="J3414" t="s">
        <v>158</v>
      </c>
    </row>
    <row r="3415" spans="1:10" x14ac:dyDescent="0.35">
      <c r="A3415" t="s">
        <v>3604</v>
      </c>
      <c r="B3415" s="10">
        <v>46281</v>
      </c>
      <c r="C3415" t="s">
        <v>220</v>
      </c>
      <c r="D3415" t="s">
        <v>59</v>
      </c>
      <c r="E3415" t="s">
        <v>199</v>
      </c>
      <c r="F3415" t="s">
        <v>14</v>
      </c>
      <c r="G3415">
        <v>182.24</v>
      </c>
      <c r="H3415" t="s">
        <v>15</v>
      </c>
      <c r="I3415" t="s">
        <v>47</v>
      </c>
      <c r="J3415" t="s">
        <v>211</v>
      </c>
    </row>
    <row r="3416" spans="1:10" x14ac:dyDescent="0.35">
      <c r="A3416" t="s">
        <v>3605</v>
      </c>
      <c r="B3416" s="10">
        <v>46281</v>
      </c>
      <c r="C3416" t="s">
        <v>272</v>
      </c>
      <c r="D3416" t="s">
        <v>54</v>
      </c>
      <c r="E3416" t="s">
        <v>55</v>
      </c>
      <c r="F3416" t="s">
        <v>54</v>
      </c>
      <c r="G3416">
        <v>660.69</v>
      </c>
      <c r="H3416" t="s">
        <v>15</v>
      </c>
      <c r="I3416" t="s">
        <v>84</v>
      </c>
      <c r="J3416" t="s">
        <v>65</v>
      </c>
    </row>
    <row r="3417" spans="1:10" x14ac:dyDescent="0.35">
      <c r="A3417" t="s">
        <v>3606</v>
      </c>
      <c r="B3417" s="10">
        <v>46281</v>
      </c>
      <c r="C3417" t="s">
        <v>256</v>
      </c>
      <c r="D3417" t="s">
        <v>34</v>
      </c>
      <c r="E3417" t="s">
        <v>40</v>
      </c>
      <c r="F3417" t="s">
        <v>14</v>
      </c>
      <c r="G3417">
        <v>197.57</v>
      </c>
      <c r="H3417" t="s">
        <v>21</v>
      </c>
      <c r="I3417" t="s">
        <v>22</v>
      </c>
      <c r="J3417" t="s">
        <v>239</v>
      </c>
    </row>
    <row r="3418" spans="1:10" x14ac:dyDescent="0.35">
      <c r="A3418" t="s">
        <v>3607</v>
      </c>
      <c r="B3418" s="10">
        <v>46281</v>
      </c>
      <c r="C3418" t="s">
        <v>220</v>
      </c>
      <c r="D3418" t="s">
        <v>59</v>
      </c>
      <c r="E3418" t="s">
        <v>199</v>
      </c>
      <c r="F3418" t="s">
        <v>14</v>
      </c>
      <c r="G3418">
        <v>417.24</v>
      </c>
      <c r="H3418" t="s">
        <v>98</v>
      </c>
      <c r="I3418" t="s">
        <v>22</v>
      </c>
      <c r="J3418" t="s">
        <v>211</v>
      </c>
    </row>
    <row r="3419" spans="1:10" x14ac:dyDescent="0.35">
      <c r="A3419" t="s">
        <v>3608</v>
      </c>
      <c r="B3419" s="10">
        <v>46281</v>
      </c>
      <c r="C3419" t="s">
        <v>395</v>
      </c>
      <c r="D3419" t="s">
        <v>69</v>
      </c>
      <c r="E3419" t="s">
        <v>291</v>
      </c>
      <c r="F3419" t="s">
        <v>14</v>
      </c>
      <c r="G3419">
        <v>714.04</v>
      </c>
      <c r="H3419" t="s">
        <v>15</v>
      </c>
      <c r="I3419" t="s">
        <v>47</v>
      </c>
      <c r="J3419" t="s">
        <v>396</v>
      </c>
    </row>
    <row r="3420" spans="1:10" x14ac:dyDescent="0.35">
      <c r="A3420" t="s">
        <v>3609</v>
      </c>
      <c r="B3420" s="10">
        <v>46281</v>
      </c>
      <c r="C3420" t="s">
        <v>308</v>
      </c>
      <c r="D3420" t="s">
        <v>54</v>
      </c>
      <c r="E3420" t="s">
        <v>64</v>
      </c>
      <c r="F3420" t="s">
        <v>54</v>
      </c>
      <c r="G3420">
        <v>361.57</v>
      </c>
      <c r="H3420" t="s">
        <v>15</v>
      </c>
      <c r="I3420" t="s">
        <v>16</v>
      </c>
      <c r="J3420" t="s">
        <v>89</v>
      </c>
    </row>
    <row r="3421" spans="1:10" x14ac:dyDescent="0.35">
      <c r="A3421" t="s">
        <v>3610</v>
      </c>
      <c r="B3421" s="10">
        <v>46281</v>
      </c>
      <c r="C3421" t="s">
        <v>256</v>
      </c>
      <c r="D3421" t="s">
        <v>34</v>
      </c>
      <c r="E3421" t="s">
        <v>40</v>
      </c>
      <c r="F3421" t="s">
        <v>14</v>
      </c>
      <c r="G3421">
        <v>87.81</v>
      </c>
      <c r="H3421" t="s">
        <v>21</v>
      </c>
      <c r="I3421" t="s">
        <v>47</v>
      </c>
      <c r="J3421" t="s">
        <v>239</v>
      </c>
    </row>
    <row r="3422" spans="1:10" x14ac:dyDescent="0.35">
      <c r="A3422" t="s">
        <v>3611</v>
      </c>
      <c r="B3422" s="10">
        <v>46281</v>
      </c>
      <c r="C3422" t="s">
        <v>281</v>
      </c>
      <c r="D3422" t="s">
        <v>34</v>
      </c>
      <c r="E3422" t="s">
        <v>40</v>
      </c>
      <c r="F3422" t="s">
        <v>14</v>
      </c>
      <c r="G3422">
        <v>43.3</v>
      </c>
      <c r="H3422" t="s">
        <v>15</v>
      </c>
      <c r="I3422" t="s">
        <v>84</v>
      </c>
      <c r="J3422" t="s">
        <v>123</v>
      </c>
    </row>
    <row r="3423" spans="1:10" x14ac:dyDescent="0.35">
      <c r="A3423" t="s">
        <v>3612</v>
      </c>
      <c r="B3423" s="10">
        <v>46281</v>
      </c>
      <c r="C3423" t="s">
        <v>177</v>
      </c>
      <c r="D3423" t="s">
        <v>54</v>
      </c>
      <c r="E3423" t="s">
        <v>74</v>
      </c>
      <c r="F3423" t="s">
        <v>54</v>
      </c>
      <c r="G3423">
        <v>2331.54</v>
      </c>
      <c r="H3423" t="s">
        <v>15</v>
      </c>
      <c r="I3423" t="s">
        <v>22</v>
      </c>
      <c r="J3423" t="s">
        <v>56</v>
      </c>
    </row>
    <row r="3424" spans="1:10" x14ac:dyDescent="0.35">
      <c r="A3424" t="s">
        <v>3613</v>
      </c>
      <c r="B3424" s="10">
        <v>46281</v>
      </c>
      <c r="C3424" t="s">
        <v>324</v>
      </c>
      <c r="D3424" t="s">
        <v>80</v>
      </c>
      <c r="E3424" t="s">
        <v>92</v>
      </c>
      <c r="F3424" t="s">
        <v>14</v>
      </c>
      <c r="G3424">
        <v>83.65</v>
      </c>
      <c r="H3424" t="s">
        <v>15</v>
      </c>
      <c r="I3424" t="s">
        <v>36</v>
      </c>
      <c r="J3424" t="s">
        <v>161</v>
      </c>
    </row>
    <row r="3425" spans="1:10" x14ac:dyDescent="0.35">
      <c r="A3425" t="s">
        <v>3614</v>
      </c>
      <c r="B3425" s="10">
        <v>46281</v>
      </c>
      <c r="C3425" t="s">
        <v>25</v>
      </c>
      <c r="D3425" t="s">
        <v>12</v>
      </c>
      <c r="E3425" t="s">
        <v>26</v>
      </c>
      <c r="F3425" t="s">
        <v>14</v>
      </c>
      <c r="G3425">
        <v>63.14</v>
      </c>
      <c r="H3425" t="s">
        <v>15</v>
      </c>
      <c r="I3425" t="s">
        <v>22</v>
      </c>
      <c r="J3425" t="s">
        <v>17</v>
      </c>
    </row>
    <row r="3426" spans="1:10" x14ac:dyDescent="0.35">
      <c r="A3426" t="s">
        <v>3615</v>
      </c>
      <c r="B3426" s="10">
        <v>46282</v>
      </c>
      <c r="C3426" t="s">
        <v>189</v>
      </c>
      <c r="D3426" t="s">
        <v>34</v>
      </c>
      <c r="E3426" t="s">
        <v>122</v>
      </c>
      <c r="F3426" t="s">
        <v>14</v>
      </c>
      <c r="G3426">
        <v>59.09</v>
      </c>
      <c r="H3426" t="s">
        <v>15</v>
      </c>
      <c r="I3426" t="s">
        <v>36</v>
      </c>
      <c r="J3426" t="s">
        <v>37</v>
      </c>
    </row>
    <row r="3427" spans="1:10" x14ac:dyDescent="0.35">
      <c r="A3427" t="s">
        <v>3616</v>
      </c>
      <c r="B3427" s="10">
        <v>46282</v>
      </c>
      <c r="C3427" t="s">
        <v>53</v>
      </c>
      <c r="D3427" t="s">
        <v>54</v>
      </c>
      <c r="E3427" t="s">
        <v>55</v>
      </c>
      <c r="F3427" t="s">
        <v>54</v>
      </c>
      <c r="G3427">
        <v>832.14</v>
      </c>
      <c r="H3427" t="s">
        <v>15</v>
      </c>
      <c r="I3427" t="s">
        <v>16</v>
      </c>
      <c r="J3427" t="s">
        <v>56</v>
      </c>
    </row>
    <row r="3428" spans="1:10" x14ac:dyDescent="0.35">
      <c r="A3428" t="s">
        <v>3617</v>
      </c>
      <c r="B3428" s="10">
        <v>46282</v>
      </c>
      <c r="C3428" t="s">
        <v>73</v>
      </c>
      <c r="D3428" t="s">
        <v>54</v>
      </c>
      <c r="E3428" t="s">
        <v>74</v>
      </c>
      <c r="F3428" t="s">
        <v>54</v>
      </c>
      <c r="G3428">
        <v>2157.91</v>
      </c>
      <c r="H3428" t="s">
        <v>15</v>
      </c>
      <c r="I3428" t="s">
        <v>22</v>
      </c>
      <c r="J3428" t="s">
        <v>65</v>
      </c>
    </row>
    <row r="3429" spans="1:10" x14ac:dyDescent="0.35">
      <c r="A3429" t="s">
        <v>3618</v>
      </c>
      <c r="B3429" s="10">
        <v>46282</v>
      </c>
      <c r="C3429" t="s">
        <v>153</v>
      </c>
      <c r="D3429" t="s">
        <v>34</v>
      </c>
      <c r="E3429" t="s">
        <v>122</v>
      </c>
      <c r="F3429" t="s">
        <v>14</v>
      </c>
      <c r="G3429">
        <v>121.02</v>
      </c>
      <c r="H3429" t="s">
        <v>15</v>
      </c>
      <c r="I3429" t="s">
        <v>22</v>
      </c>
      <c r="J3429" t="s">
        <v>41</v>
      </c>
    </row>
    <row r="3430" spans="1:10" x14ac:dyDescent="0.35">
      <c r="A3430" t="s">
        <v>3619</v>
      </c>
      <c r="B3430" s="10">
        <v>46282</v>
      </c>
      <c r="C3430" t="s">
        <v>259</v>
      </c>
      <c r="D3430" t="s">
        <v>59</v>
      </c>
      <c r="E3430" t="s">
        <v>199</v>
      </c>
      <c r="F3430" t="s">
        <v>14</v>
      </c>
      <c r="G3430">
        <v>197.56</v>
      </c>
      <c r="H3430" t="s">
        <v>21</v>
      </c>
      <c r="I3430" t="s">
        <v>36</v>
      </c>
      <c r="J3430" t="s">
        <v>170</v>
      </c>
    </row>
    <row r="3431" spans="1:10" x14ac:dyDescent="0.35">
      <c r="A3431" t="s">
        <v>3620</v>
      </c>
      <c r="B3431" s="10">
        <v>46282</v>
      </c>
      <c r="C3431" t="s">
        <v>116</v>
      </c>
      <c r="D3431" t="s">
        <v>80</v>
      </c>
      <c r="E3431" t="s">
        <v>117</v>
      </c>
      <c r="F3431" t="s">
        <v>14</v>
      </c>
      <c r="G3431">
        <v>41.02</v>
      </c>
      <c r="H3431" t="s">
        <v>21</v>
      </c>
      <c r="I3431" t="s">
        <v>47</v>
      </c>
      <c r="J3431" t="s">
        <v>118</v>
      </c>
    </row>
    <row r="3432" spans="1:10" x14ac:dyDescent="0.35">
      <c r="A3432" t="s">
        <v>3621</v>
      </c>
      <c r="B3432" s="10">
        <v>46282</v>
      </c>
      <c r="C3432" t="s">
        <v>79</v>
      </c>
      <c r="D3432" t="s">
        <v>80</v>
      </c>
      <c r="E3432" t="s">
        <v>81</v>
      </c>
      <c r="F3432" t="s">
        <v>14</v>
      </c>
      <c r="G3432">
        <v>56.22</v>
      </c>
      <c r="H3432" t="s">
        <v>15</v>
      </c>
      <c r="I3432" t="s">
        <v>16</v>
      </c>
      <c r="J3432" t="s">
        <v>82</v>
      </c>
    </row>
    <row r="3433" spans="1:10" x14ac:dyDescent="0.35">
      <c r="A3433" t="s">
        <v>3622</v>
      </c>
      <c r="B3433" s="10">
        <v>46282</v>
      </c>
      <c r="C3433" t="s">
        <v>189</v>
      </c>
      <c r="D3433" t="s">
        <v>34</v>
      </c>
      <c r="E3433" t="s">
        <v>122</v>
      </c>
      <c r="F3433" t="s">
        <v>14</v>
      </c>
      <c r="G3433">
        <v>127.39</v>
      </c>
      <c r="H3433" t="s">
        <v>98</v>
      </c>
      <c r="I3433" t="s">
        <v>22</v>
      </c>
      <c r="J3433" t="s">
        <v>37</v>
      </c>
    </row>
    <row r="3434" spans="1:10" x14ac:dyDescent="0.35">
      <c r="A3434" t="s">
        <v>3623</v>
      </c>
      <c r="B3434" s="10">
        <v>46282</v>
      </c>
      <c r="C3434" t="s">
        <v>424</v>
      </c>
      <c r="D3434" t="s">
        <v>101</v>
      </c>
      <c r="E3434" t="s">
        <v>136</v>
      </c>
      <c r="F3434" t="s">
        <v>14</v>
      </c>
      <c r="G3434">
        <v>82.15</v>
      </c>
      <c r="H3434" t="s">
        <v>21</v>
      </c>
      <c r="I3434" t="s">
        <v>47</v>
      </c>
      <c r="J3434" t="s">
        <v>102</v>
      </c>
    </row>
    <row r="3435" spans="1:10" x14ac:dyDescent="0.35">
      <c r="A3435" t="s">
        <v>3624</v>
      </c>
      <c r="B3435" s="10">
        <v>46282</v>
      </c>
      <c r="C3435" t="s">
        <v>50</v>
      </c>
      <c r="D3435" t="s">
        <v>12</v>
      </c>
      <c r="E3435" t="s">
        <v>51</v>
      </c>
      <c r="F3435" t="s">
        <v>14</v>
      </c>
      <c r="G3435">
        <v>81.099999999999994</v>
      </c>
      <c r="H3435" t="s">
        <v>15</v>
      </c>
      <c r="I3435" t="s">
        <v>36</v>
      </c>
      <c r="J3435" t="s">
        <v>44</v>
      </c>
    </row>
    <row r="3436" spans="1:10" x14ac:dyDescent="0.35">
      <c r="A3436" t="s">
        <v>3625</v>
      </c>
      <c r="B3436" s="10">
        <v>46283</v>
      </c>
      <c r="C3436" t="s">
        <v>168</v>
      </c>
      <c r="D3436" t="s">
        <v>59</v>
      </c>
      <c r="E3436" t="s">
        <v>60</v>
      </c>
      <c r="F3436" t="s">
        <v>14</v>
      </c>
      <c r="G3436">
        <v>257.51</v>
      </c>
      <c r="H3436" t="s">
        <v>15</v>
      </c>
      <c r="I3436" t="s">
        <v>36</v>
      </c>
      <c r="J3436" t="s">
        <v>170</v>
      </c>
    </row>
    <row r="3437" spans="1:10" x14ac:dyDescent="0.35">
      <c r="A3437" t="s">
        <v>3626</v>
      </c>
      <c r="B3437" s="10">
        <v>46283</v>
      </c>
      <c r="C3437" t="s">
        <v>94</v>
      </c>
      <c r="D3437" t="s">
        <v>29</v>
      </c>
      <c r="E3437" t="s">
        <v>95</v>
      </c>
      <c r="F3437" t="s">
        <v>14</v>
      </c>
      <c r="G3437">
        <v>60.26</v>
      </c>
      <c r="H3437" t="s">
        <v>21</v>
      </c>
      <c r="I3437" t="s">
        <v>22</v>
      </c>
      <c r="J3437" t="s">
        <v>96</v>
      </c>
    </row>
    <row r="3438" spans="1:10" x14ac:dyDescent="0.35">
      <c r="A3438" t="s">
        <v>3627</v>
      </c>
      <c r="B3438" s="10">
        <v>46284</v>
      </c>
      <c r="C3438" t="s">
        <v>91</v>
      </c>
      <c r="D3438" t="s">
        <v>80</v>
      </c>
      <c r="E3438" t="s">
        <v>92</v>
      </c>
      <c r="F3438" t="s">
        <v>14</v>
      </c>
      <c r="G3438">
        <v>158.02000000000001</v>
      </c>
      <c r="H3438" t="s">
        <v>98</v>
      </c>
      <c r="I3438" t="s">
        <v>22</v>
      </c>
      <c r="J3438" t="s">
        <v>82</v>
      </c>
    </row>
    <row r="3439" spans="1:10" x14ac:dyDescent="0.35">
      <c r="A3439" t="s">
        <v>3628</v>
      </c>
      <c r="B3439" s="10">
        <v>46284</v>
      </c>
      <c r="C3439" t="s">
        <v>63</v>
      </c>
      <c r="D3439" t="s">
        <v>54</v>
      </c>
      <c r="E3439" t="s">
        <v>64</v>
      </c>
      <c r="F3439" t="s">
        <v>54</v>
      </c>
      <c r="G3439">
        <v>307.05</v>
      </c>
      <c r="H3439" t="s">
        <v>15</v>
      </c>
      <c r="I3439" t="s">
        <v>36</v>
      </c>
      <c r="J3439" t="s">
        <v>65</v>
      </c>
    </row>
    <row r="3440" spans="1:10" x14ac:dyDescent="0.35">
      <c r="A3440" t="s">
        <v>3629</v>
      </c>
      <c r="B3440" s="10">
        <v>46284</v>
      </c>
      <c r="C3440" t="s">
        <v>411</v>
      </c>
      <c r="D3440" t="s">
        <v>29</v>
      </c>
      <c r="E3440" t="s">
        <v>151</v>
      </c>
      <c r="F3440" t="s">
        <v>14</v>
      </c>
      <c r="G3440">
        <v>106.99</v>
      </c>
      <c r="H3440" t="s">
        <v>15</v>
      </c>
      <c r="I3440" t="s">
        <v>36</v>
      </c>
      <c r="J3440" t="s">
        <v>151</v>
      </c>
    </row>
    <row r="3441" spans="1:10" x14ac:dyDescent="0.35">
      <c r="A3441" t="s">
        <v>3630</v>
      </c>
      <c r="B3441" s="10">
        <v>46285</v>
      </c>
      <c r="C3441" t="s">
        <v>324</v>
      </c>
      <c r="D3441" t="s">
        <v>80</v>
      </c>
      <c r="E3441" t="s">
        <v>92</v>
      </c>
      <c r="F3441" t="s">
        <v>14</v>
      </c>
      <c r="G3441">
        <v>21.12</v>
      </c>
      <c r="H3441" t="s">
        <v>21</v>
      </c>
      <c r="I3441" t="s">
        <v>16</v>
      </c>
      <c r="J3441" t="s">
        <v>161</v>
      </c>
    </row>
    <row r="3442" spans="1:10" x14ac:dyDescent="0.35">
      <c r="A3442" t="s">
        <v>3631</v>
      </c>
      <c r="B3442" s="10">
        <v>46285</v>
      </c>
      <c r="C3442" t="s">
        <v>238</v>
      </c>
      <c r="D3442" t="s">
        <v>34</v>
      </c>
      <c r="E3442" t="s">
        <v>35</v>
      </c>
      <c r="F3442" t="s">
        <v>14</v>
      </c>
      <c r="G3442">
        <v>111.45</v>
      </c>
      <c r="H3442" t="s">
        <v>15</v>
      </c>
      <c r="I3442" t="s">
        <v>47</v>
      </c>
      <c r="J3442" t="s">
        <v>239</v>
      </c>
    </row>
    <row r="3443" spans="1:10" x14ac:dyDescent="0.35">
      <c r="A3443" t="s">
        <v>3632</v>
      </c>
      <c r="B3443" s="10">
        <v>46285</v>
      </c>
      <c r="C3443" t="s">
        <v>150</v>
      </c>
      <c r="D3443" t="s">
        <v>29</v>
      </c>
      <c r="E3443" t="s">
        <v>30</v>
      </c>
      <c r="F3443" t="s">
        <v>14</v>
      </c>
      <c r="G3443">
        <v>19.440000000000001</v>
      </c>
      <c r="H3443" t="s">
        <v>21</v>
      </c>
      <c r="I3443" t="s">
        <v>22</v>
      </c>
      <c r="J3443" t="s">
        <v>151</v>
      </c>
    </row>
    <row r="3444" spans="1:10" x14ac:dyDescent="0.35">
      <c r="A3444" t="s">
        <v>3633</v>
      </c>
      <c r="B3444" s="10">
        <v>46285</v>
      </c>
      <c r="C3444" t="s">
        <v>298</v>
      </c>
      <c r="D3444" t="s">
        <v>59</v>
      </c>
      <c r="E3444" t="s">
        <v>185</v>
      </c>
      <c r="F3444" t="s">
        <v>14</v>
      </c>
      <c r="G3444">
        <v>207.43</v>
      </c>
      <c r="H3444" t="s">
        <v>15</v>
      </c>
      <c r="I3444" t="s">
        <v>22</v>
      </c>
      <c r="J3444" t="s">
        <v>170</v>
      </c>
    </row>
    <row r="3445" spans="1:10" x14ac:dyDescent="0.35">
      <c r="A3445" t="s">
        <v>3634</v>
      </c>
      <c r="B3445" s="10">
        <v>46285</v>
      </c>
      <c r="C3445" t="s">
        <v>215</v>
      </c>
      <c r="D3445" t="s">
        <v>80</v>
      </c>
      <c r="E3445" t="s">
        <v>117</v>
      </c>
      <c r="F3445" t="s">
        <v>14</v>
      </c>
      <c r="G3445">
        <v>93.51</v>
      </c>
      <c r="H3445" t="s">
        <v>15</v>
      </c>
      <c r="I3445" t="s">
        <v>16</v>
      </c>
      <c r="J3445" t="s">
        <v>141</v>
      </c>
    </row>
    <row r="3446" spans="1:10" x14ac:dyDescent="0.35">
      <c r="A3446" t="s">
        <v>3635</v>
      </c>
      <c r="B3446" s="10">
        <v>46285</v>
      </c>
      <c r="C3446" t="s">
        <v>217</v>
      </c>
      <c r="D3446" t="s">
        <v>80</v>
      </c>
      <c r="E3446" t="s">
        <v>81</v>
      </c>
      <c r="F3446" t="s">
        <v>14</v>
      </c>
      <c r="G3446">
        <v>34.67</v>
      </c>
      <c r="H3446" t="s">
        <v>15</v>
      </c>
      <c r="I3446" t="s">
        <v>22</v>
      </c>
      <c r="J3446" t="s">
        <v>180</v>
      </c>
    </row>
    <row r="3447" spans="1:10" x14ac:dyDescent="0.35">
      <c r="A3447" t="s">
        <v>3636</v>
      </c>
      <c r="B3447" s="10">
        <v>46285</v>
      </c>
      <c r="C3447" t="s">
        <v>267</v>
      </c>
      <c r="D3447" t="s">
        <v>29</v>
      </c>
      <c r="E3447" t="s">
        <v>30</v>
      </c>
      <c r="F3447" t="s">
        <v>14</v>
      </c>
      <c r="G3447">
        <v>18.27</v>
      </c>
      <c r="H3447" t="s">
        <v>98</v>
      </c>
      <c r="I3447" t="s">
        <v>36</v>
      </c>
      <c r="J3447" t="s">
        <v>96</v>
      </c>
    </row>
    <row r="3448" spans="1:10" x14ac:dyDescent="0.35">
      <c r="A3448" t="s">
        <v>3637</v>
      </c>
      <c r="B3448" s="10">
        <v>46286</v>
      </c>
      <c r="C3448" t="s">
        <v>113</v>
      </c>
      <c r="D3448" t="s">
        <v>34</v>
      </c>
      <c r="E3448" t="s">
        <v>40</v>
      </c>
      <c r="F3448" t="s">
        <v>14</v>
      </c>
      <c r="G3448">
        <v>195.14</v>
      </c>
      <c r="H3448" t="s">
        <v>15</v>
      </c>
      <c r="I3448" t="s">
        <v>36</v>
      </c>
      <c r="J3448" t="s">
        <v>37</v>
      </c>
    </row>
    <row r="3449" spans="1:10" x14ac:dyDescent="0.35">
      <c r="A3449" t="s">
        <v>3638</v>
      </c>
      <c r="B3449" s="10">
        <v>46286</v>
      </c>
      <c r="C3449" t="s">
        <v>157</v>
      </c>
      <c r="D3449" t="s">
        <v>29</v>
      </c>
      <c r="E3449" t="s">
        <v>95</v>
      </c>
      <c r="F3449" t="s">
        <v>14</v>
      </c>
      <c r="G3449">
        <v>25.15</v>
      </c>
      <c r="H3449" t="s">
        <v>15</v>
      </c>
      <c r="I3449" t="s">
        <v>47</v>
      </c>
      <c r="J3449" t="s">
        <v>158</v>
      </c>
    </row>
    <row r="3450" spans="1:10" x14ac:dyDescent="0.35">
      <c r="A3450" t="s">
        <v>3639</v>
      </c>
      <c r="B3450" s="10">
        <v>46287</v>
      </c>
      <c r="C3450" t="s">
        <v>50</v>
      </c>
      <c r="D3450" t="s">
        <v>12</v>
      </c>
      <c r="E3450" t="s">
        <v>51</v>
      </c>
      <c r="F3450" t="s">
        <v>14</v>
      </c>
      <c r="G3450">
        <v>16.260000000000002</v>
      </c>
      <c r="H3450" t="s">
        <v>21</v>
      </c>
      <c r="I3450" t="s">
        <v>22</v>
      </c>
      <c r="J3450" t="s">
        <v>44</v>
      </c>
    </row>
    <row r="3451" spans="1:10" x14ac:dyDescent="0.35">
      <c r="A3451" t="s">
        <v>3640</v>
      </c>
      <c r="B3451" s="10">
        <v>46287</v>
      </c>
      <c r="C3451" t="s">
        <v>160</v>
      </c>
      <c r="D3451" t="s">
        <v>80</v>
      </c>
      <c r="E3451" t="s">
        <v>117</v>
      </c>
      <c r="F3451" t="s">
        <v>14</v>
      </c>
      <c r="G3451">
        <v>235.95</v>
      </c>
      <c r="H3451" t="s">
        <v>21</v>
      </c>
      <c r="I3451" t="s">
        <v>36</v>
      </c>
      <c r="J3451" t="s">
        <v>161</v>
      </c>
    </row>
    <row r="3452" spans="1:10" x14ac:dyDescent="0.35">
      <c r="A3452" t="s">
        <v>3641</v>
      </c>
      <c r="B3452" s="10">
        <v>46287</v>
      </c>
      <c r="C3452" t="s">
        <v>168</v>
      </c>
      <c r="D3452" t="s">
        <v>59</v>
      </c>
      <c r="E3452" t="s">
        <v>60</v>
      </c>
      <c r="F3452" t="s">
        <v>14</v>
      </c>
      <c r="G3452">
        <v>90.68</v>
      </c>
      <c r="H3452" t="s">
        <v>15</v>
      </c>
      <c r="I3452" t="s">
        <v>22</v>
      </c>
      <c r="J3452" t="s">
        <v>170</v>
      </c>
    </row>
    <row r="3453" spans="1:10" x14ac:dyDescent="0.35">
      <c r="A3453" t="s">
        <v>3642</v>
      </c>
      <c r="B3453" s="10">
        <v>46287</v>
      </c>
      <c r="C3453" t="s">
        <v>308</v>
      </c>
      <c r="D3453" t="s">
        <v>54</v>
      </c>
      <c r="E3453" t="s">
        <v>64</v>
      </c>
      <c r="F3453" t="s">
        <v>54</v>
      </c>
      <c r="G3453">
        <v>288.79000000000002</v>
      </c>
      <c r="H3453" t="s">
        <v>21</v>
      </c>
      <c r="I3453" t="s">
        <v>16</v>
      </c>
      <c r="J3453" t="s">
        <v>89</v>
      </c>
    </row>
    <row r="3454" spans="1:10" x14ac:dyDescent="0.35">
      <c r="A3454" t="s">
        <v>3643</v>
      </c>
      <c r="B3454" s="10">
        <v>46287</v>
      </c>
      <c r="C3454" t="s">
        <v>153</v>
      </c>
      <c r="D3454" t="s">
        <v>34</v>
      </c>
      <c r="E3454" t="s">
        <v>122</v>
      </c>
      <c r="F3454" t="s">
        <v>14</v>
      </c>
      <c r="G3454">
        <v>44.24</v>
      </c>
      <c r="H3454" t="s">
        <v>15</v>
      </c>
      <c r="I3454" t="s">
        <v>22</v>
      </c>
      <c r="J3454" t="s">
        <v>41</v>
      </c>
    </row>
    <row r="3455" spans="1:10" x14ac:dyDescent="0.35">
      <c r="A3455" t="s">
        <v>3644</v>
      </c>
      <c r="B3455" s="10">
        <v>46288</v>
      </c>
      <c r="C3455" t="s">
        <v>308</v>
      </c>
      <c r="D3455" t="s">
        <v>54</v>
      </c>
      <c r="E3455" t="s">
        <v>64</v>
      </c>
      <c r="F3455" t="s">
        <v>54</v>
      </c>
      <c r="G3455">
        <v>364.71</v>
      </c>
      <c r="H3455" t="s">
        <v>15</v>
      </c>
      <c r="I3455" t="s">
        <v>22</v>
      </c>
      <c r="J3455" t="s">
        <v>89</v>
      </c>
    </row>
    <row r="3456" spans="1:10" x14ac:dyDescent="0.35">
      <c r="A3456" t="s">
        <v>3645</v>
      </c>
      <c r="B3456" s="10">
        <v>46288</v>
      </c>
      <c r="C3456" t="s">
        <v>411</v>
      </c>
      <c r="D3456" t="s">
        <v>29</v>
      </c>
      <c r="E3456" t="s">
        <v>151</v>
      </c>
      <c r="F3456" t="s">
        <v>14</v>
      </c>
      <c r="G3456">
        <v>52.15</v>
      </c>
      <c r="H3456" t="s">
        <v>15</v>
      </c>
      <c r="I3456" t="s">
        <v>22</v>
      </c>
      <c r="J3456" t="s">
        <v>151</v>
      </c>
    </row>
    <row r="3457" spans="1:10" x14ac:dyDescent="0.35">
      <c r="A3457" t="s">
        <v>3646</v>
      </c>
      <c r="B3457" s="10">
        <v>46288</v>
      </c>
      <c r="C3457" t="s">
        <v>11</v>
      </c>
      <c r="D3457" t="s">
        <v>12</v>
      </c>
      <c r="E3457" t="s">
        <v>13</v>
      </c>
      <c r="F3457" t="s">
        <v>14</v>
      </c>
      <c r="G3457">
        <v>50.55</v>
      </c>
      <c r="H3457" t="s">
        <v>15</v>
      </c>
      <c r="I3457" t="s">
        <v>36</v>
      </c>
      <c r="J3457" t="s">
        <v>17</v>
      </c>
    </row>
    <row r="3458" spans="1:10" x14ac:dyDescent="0.35">
      <c r="A3458" t="s">
        <v>3647</v>
      </c>
      <c r="B3458" s="10">
        <v>46288</v>
      </c>
      <c r="C3458" t="s">
        <v>198</v>
      </c>
      <c r="D3458" t="s">
        <v>59</v>
      </c>
      <c r="E3458" t="s">
        <v>199</v>
      </c>
      <c r="F3458" t="s">
        <v>14</v>
      </c>
      <c r="G3458">
        <v>141.76</v>
      </c>
      <c r="H3458" t="s">
        <v>15</v>
      </c>
      <c r="I3458" t="s">
        <v>47</v>
      </c>
      <c r="J3458" t="s">
        <v>61</v>
      </c>
    </row>
    <row r="3459" spans="1:10" x14ac:dyDescent="0.35">
      <c r="A3459" t="s">
        <v>3648</v>
      </c>
      <c r="B3459" s="10">
        <v>46288</v>
      </c>
      <c r="C3459" t="s">
        <v>155</v>
      </c>
      <c r="D3459" t="s">
        <v>12</v>
      </c>
      <c r="E3459" t="s">
        <v>51</v>
      </c>
      <c r="F3459" t="s">
        <v>14</v>
      </c>
      <c r="G3459">
        <v>30.8</v>
      </c>
      <c r="H3459" t="s">
        <v>15</v>
      </c>
      <c r="I3459" t="s">
        <v>47</v>
      </c>
      <c r="J3459" t="s">
        <v>48</v>
      </c>
    </row>
    <row r="3460" spans="1:10" x14ac:dyDescent="0.35">
      <c r="A3460" t="s">
        <v>3649</v>
      </c>
      <c r="B3460" s="10">
        <v>46288</v>
      </c>
      <c r="C3460" t="s">
        <v>350</v>
      </c>
      <c r="D3460" t="s">
        <v>29</v>
      </c>
      <c r="E3460" t="s">
        <v>151</v>
      </c>
      <c r="F3460" t="s">
        <v>14</v>
      </c>
      <c r="G3460">
        <v>30.47</v>
      </c>
      <c r="H3460" t="s">
        <v>15</v>
      </c>
      <c r="I3460" t="s">
        <v>16</v>
      </c>
      <c r="J3460" t="s">
        <v>158</v>
      </c>
    </row>
    <row r="3461" spans="1:10" x14ac:dyDescent="0.35">
      <c r="A3461" t="s">
        <v>3650</v>
      </c>
      <c r="B3461" s="10">
        <v>46288</v>
      </c>
      <c r="C3461" t="s">
        <v>19</v>
      </c>
      <c r="D3461" t="s">
        <v>12</v>
      </c>
      <c r="E3461" t="s">
        <v>13</v>
      </c>
      <c r="F3461" t="s">
        <v>14</v>
      </c>
      <c r="G3461">
        <v>45.55</v>
      </c>
      <c r="H3461" t="s">
        <v>15</v>
      </c>
      <c r="I3461" t="s">
        <v>22</v>
      </c>
      <c r="J3461" t="s">
        <v>23</v>
      </c>
    </row>
    <row r="3462" spans="1:10" x14ac:dyDescent="0.35">
      <c r="A3462" t="s">
        <v>3651</v>
      </c>
      <c r="B3462" s="10">
        <v>46288</v>
      </c>
      <c r="C3462" t="s">
        <v>215</v>
      </c>
      <c r="D3462" t="s">
        <v>80</v>
      </c>
      <c r="E3462" t="s">
        <v>117</v>
      </c>
      <c r="F3462" t="s">
        <v>14</v>
      </c>
      <c r="G3462">
        <v>73.08</v>
      </c>
      <c r="H3462" t="s">
        <v>21</v>
      </c>
      <c r="I3462" t="s">
        <v>22</v>
      </c>
      <c r="J3462" t="s">
        <v>141</v>
      </c>
    </row>
    <row r="3463" spans="1:10" x14ac:dyDescent="0.35">
      <c r="A3463" t="s">
        <v>3652</v>
      </c>
      <c r="B3463" s="10">
        <v>46289</v>
      </c>
      <c r="C3463" t="s">
        <v>215</v>
      </c>
      <c r="D3463" t="s">
        <v>80</v>
      </c>
      <c r="E3463" t="s">
        <v>117</v>
      </c>
      <c r="F3463" t="s">
        <v>14</v>
      </c>
      <c r="G3463">
        <v>43.46</v>
      </c>
      <c r="H3463" t="s">
        <v>21</v>
      </c>
      <c r="I3463" t="s">
        <v>47</v>
      </c>
      <c r="J3463" t="s">
        <v>141</v>
      </c>
    </row>
    <row r="3464" spans="1:10" x14ac:dyDescent="0.35">
      <c r="A3464" t="s">
        <v>3653</v>
      </c>
      <c r="B3464" s="10">
        <v>46289</v>
      </c>
      <c r="C3464" t="s">
        <v>150</v>
      </c>
      <c r="D3464" t="s">
        <v>29</v>
      </c>
      <c r="E3464" t="s">
        <v>30</v>
      </c>
      <c r="F3464" t="s">
        <v>14</v>
      </c>
      <c r="G3464">
        <v>78.099999999999994</v>
      </c>
      <c r="H3464" t="s">
        <v>15</v>
      </c>
      <c r="I3464" t="s">
        <v>84</v>
      </c>
      <c r="J3464" t="s">
        <v>151</v>
      </c>
    </row>
    <row r="3465" spans="1:10" x14ac:dyDescent="0.35">
      <c r="A3465" t="s">
        <v>3654</v>
      </c>
      <c r="B3465" s="10">
        <v>46289</v>
      </c>
      <c r="C3465" t="s">
        <v>53</v>
      </c>
      <c r="D3465" t="s">
        <v>54</v>
      </c>
      <c r="E3465" t="s">
        <v>55</v>
      </c>
      <c r="F3465" t="s">
        <v>54</v>
      </c>
      <c r="G3465">
        <v>649.21</v>
      </c>
      <c r="H3465" t="s">
        <v>21</v>
      </c>
      <c r="I3465" t="s">
        <v>22</v>
      </c>
      <c r="J3465" t="s">
        <v>56</v>
      </c>
    </row>
    <row r="3466" spans="1:10" x14ac:dyDescent="0.35">
      <c r="A3466" t="s">
        <v>3655</v>
      </c>
      <c r="B3466" s="10">
        <v>46289</v>
      </c>
      <c r="C3466" t="s">
        <v>76</v>
      </c>
      <c r="D3466" t="s">
        <v>12</v>
      </c>
      <c r="E3466" t="s">
        <v>13</v>
      </c>
      <c r="F3466" t="s">
        <v>14</v>
      </c>
      <c r="G3466">
        <v>27.95</v>
      </c>
      <c r="H3466" t="s">
        <v>15</v>
      </c>
      <c r="I3466" t="s">
        <v>36</v>
      </c>
      <c r="J3466" t="s">
        <v>77</v>
      </c>
    </row>
    <row r="3467" spans="1:10" x14ac:dyDescent="0.35">
      <c r="A3467" t="s">
        <v>3656</v>
      </c>
      <c r="B3467" s="10">
        <v>46289</v>
      </c>
      <c r="C3467" t="s">
        <v>243</v>
      </c>
      <c r="D3467" t="s">
        <v>101</v>
      </c>
      <c r="E3467" t="s">
        <v>244</v>
      </c>
      <c r="F3467" t="s">
        <v>14</v>
      </c>
      <c r="G3467">
        <v>70.5</v>
      </c>
      <c r="H3467" t="s">
        <v>15</v>
      </c>
      <c r="I3467" t="s">
        <v>22</v>
      </c>
      <c r="J3467" t="s">
        <v>102</v>
      </c>
    </row>
    <row r="3468" spans="1:10" x14ac:dyDescent="0.35">
      <c r="A3468" t="s">
        <v>3657</v>
      </c>
      <c r="B3468" s="10">
        <v>46289</v>
      </c>
      <c r="C3468" t="s">
        <v>50</v>
      </c>
      <c r="D3468" t="s">
        <v>12</v>
      </c>
      <c r="E3468" t="s">
        <v>51</v>
      </c>
      <c r="F3468" t="s">
        <v>14</v>
      </c>
      <c r="G3468">
        <v>76.67</v>
      </c>
      <c r="H3468" t="s">
        <v>21</v>
      </c>
      <c r="I3468" t="s">
        <v>22</v>
      </c>
      <c r="J3468" t="s">
        <v>44</v>
      </c>
    </row>
    <row r="3469" spans="1:10" x14ac:dyDescent="0.35">
      <c r="A3469" t="s">
        <v>3658</v>
      </c>
      <c r="B3469" s="10">
        <v>46290</v>
      </c>
      <c r="C3469" t="s">
        <v>113</v>
      </c>
      <c r="D3469" t="s">
        <v>34</v>
      </c>
      <c r="E3469" t="s">
        <v>40</v>
      </c>
      <c r="F3469" t="s">
        <v>14</v>
      </c>
      <c r="G3469">
        <v>127.53</v>
      </c>
      <c r="H3469" t="s">
        <v>15</v>
      </c>
      <c r="I3469" t="s">
        <v>22</v>
      </c>
      <c r="J3469" t="s">
        <v>37</v>
      </c>
    </row>
    <row r="3470" spans="1:10" x14ac:dyDescent="0.35">
      <c r="A3470" t="s">
        <v>3659</v>
      </c>
      <c r="B3470" s="10">
        <v>46290</v>
      </c>
      <c r="C3470" t="s">
        <v>411</v>
      </c>
      <c r="D3470" t="s">
        <v>29</v>
      </c>
      <c r="E3470" t="s">
        <v>151</v>
      </c>
      <c r="F3470" t="s">
        <v>14</v>
      </c>
      <c r="G3470">
        <v>27.77</v>
      </c>
      <c r="H3470" t="s">
        <v>15</v>
      </c>
      <c r="I3470" t="s">
        <v>36</v>
      </c>
      <c r="J3470" t="s">
        <v>151</v>
      </c>
    </row>
    <row r="3471" spans="1:10" x14ac:dyDescent="0.35">
      <c r="A3471" t="s">
        <v>3660</v>
      </c>
      <c r="B3471" s="10">
        <v>46290</v>
      </c>
      <c r="C3471" t="s">
        <v>53</v>
      </c>
      <c r="D3471" t="s">
        <v>54</v>
      </c>
      <c r="E3471" t="s">
        <v>55</v>
      </c>
      <c r="F3471" t="s">
        <v>54</v>
      </c>
      <c r="G3471">
        <v>706.9</v>
      </c>
      <c r="H3471" t="s">
        <v>15</v>
      </c>
      <c r="I3471" t="s">
        <v>22</v>
      </c>
      <c r="J3471" t="s">
        <v>56</v>
      </c>
    </row>
    <row r="3472" spans="1:10" x14ac:dyDescent="0.35">
      <c r="A3472" t="s">
        <v>3661</v>
      </c>
      <c r="B3472" s="10">
        <v>46290</v>
      </c>
      <c r="C3472" t="s">
        <v>376</v>
      </c>
      <c r="D3472" t="s">
        <v>80</v>
      </c>
      <c r="E3472" t="s">
        <v>117</v>
      </c>
      <c r="F3472" t="s">
        <v>14</v>
      </c>
      <c r="G3472">
        <v>97.76</v>
      </c>
      <c r="H3472" t="s">
        <v>15</v>
      </c>
      <c r="I3472" t="s">
        <v>47</v>
      </c>
      <c r="J3472" t="s">
        <v>82</v>
      </c>
    </row>
    <row r="3473" spans="1:10" x14ac:dyDescent="0.35">
      <c r="A3473" t="s">
        <v>3662</v>
      </c>
      <c r="B3473" s="10">
        <v>46290</v>
      </c>
      <c r="C3473" t="s">
        <v>253</v>
      </c>
      <c r="D3473" t="s">
        <v>29</v>
      </c>
      <c r="E3473" t="s">
        <v>30</v>
      </c>
      <c r="F3473" t="s">
        <v>14</v>
      </c>
      <c r="G3473">
        <v>94.93</v>
      </c>
      <c r="H3473" t="s">
        <v>21</v>
      </c>
      <c r="I3473" t="s">
        <v>47</v>
      </c>
      <c r="J3473" t="s">
        <v>158</v>
      </c>
    </row>
    <row r="3474" spans="1:10" x14ac:dyDescent="0.35">
      <c r="A3474" t="s">
        <v>3663</v>
      </c>
      <c r="B3474" s="10">
        <v>46291</v>
      </c>
      <c r="C3474" t="s">
        <v>331</v>
      </c>
      <c r="D3474" t="s">
        <v>29</v>
      </c>
      <c r="E3474" t="s">
        <v>95</v>
      </c>
      <c r="F3474" t="s">
        <v>14</v>
      </c>
      <c r="G3474">
        <v>108.37</v>
      </c>
      <c r="H3474" t="s">
        <v>15</v>
      </c>
      <c r="I3474" t="s">
        <v>36</v>
      </c>
      <c r="J3474" t="s">
        <v>151</v>
      </c>
    </row>
    <row r="3475" spans="1:10" x14ac:dyDescent="0.35">
      <c r="A3475" t="s">
        <v>3664</v>
      </c>
      <c r="B3475" s="10">
        <v>46291</v>
      </c>
      <c r="C3475" t="s">
        <v>68</v>
      </c>
      <c r="D3475" t="s">
        <v>69</v>
      </c>
      <c r="E3475" t="s">
        <v>70</v>
      </c>
      <c r="F3475" t="s">
        <v>14</v>
      </c>
      <c r="G3475">
        <v>432.86</v>
      </c>
      <c r="H3475" t="s">
        <v>15</v>
      </c>
      <c r="I3475" t="s">
        <v>36</v>
      </c>
      <c r="J3475" t="s">
        <v>71</v>
      </c>
    </row>
    <row r="3476" spans="1:10" x14ac:dyDescent="0.35">
      <c r="A3476" t="s">
        <v>3665</v>
      </c>
      <c r="B3476" s="10">
        <v>46291</v>
      </c>
      <c r="C3476" t="s">
        <v>251</v>
      </c>
      <c r="D3476" t="s">
        <v>29</v>
      </c>
      <c r="E3476" t="s">
        <v>151</v>
      </c>
      <c r="F3476" t="s">
        <v>14</v>
      </c>
      <c r="G3476">
        <v>25.7</v>
      </c>
      <c r="H3476" t="s">
        <v>15</v>
      </c>
      <c r="I3476" t="s">
        <v>16</v>
      </c>
      <c r="J3476" t="s">
        <v>31</v>
      </c>
    </row>
    <row r="3477" spans="1:10" x14ac:dyDescent="0.35">
      <c r="A3477" t="s">
        <v>3666</v>
      </c>
      <c r="B3477" s="10">
        <v>46291</v>
      </c>
      <c r="C3477" t="s">
        <v>424</v>
      </c>
      <c r="D3477" t="s">
        <v>101</v>
      </c>
      <c r="E3477" t="s">
        <v>136</v>
      </c>
      <c r="F3477" t="s">
        <v>14</v>
      </c>
      <c r="G3477">
        <v>64.239999999999995</v>
      </c>
      <c r="H3477" t="s">
        <v>21</v>
      </c>
      <c r="I3477" t="s">
        <v>16</v>
      </c>
      <c r="J3477" t="s">
        <v>102</v>
      </c>
    </row>
    <row r="3478" spans="1:10" x14ac:dyDescent="0.35">
      <c r="A3478" t="s">
        <v>3667</v>
      </c>
      <c r="B3478" s="10">
        <v>46291</v>
      </c>
      <c r="C3478" t="s">
        <v>256</v>
      </c>
      <c r="D3478" t="s">
        <v>34</v>
      </c>
      <c r="E3478" t="s">
        <v>40</v>
      </c>
      <c r="F3478" t="s">
        <v>14</v>
      </c>
      <c r="G3478">
        <v>122.48</v>
      </c>
      <c r="H3478" t="s">
        <v>15</v>
      </c>
      <c r="I3478" t="s">
        <v>36</v>
      </c>
      <c r="J3478" t="s">
        <v>239</v>
      </c>
    </row>
    <row r="3479" spans="1:10" x14ac:dyDescent="0.35">
      <c r="A3479" t="s">
        <v>3668</v>
      </c>
      <c r="B3479" s="10">
        <v>46292</v>
      </c>
      <c r="C3479" t="s">
        <v>269</v>
      </c>
      <c r="D3479" t="s">
        <v>34</v>
      </c>
      <c r="E3479" t="s">
        <v>35</v>
      </c>
      <c r="F3479" t="s">
        <v>14</v>
      </c>
      <c r="G3479">
        <v>182.87</v>
      </c>
      <c r="H3479" t="s">
        <v>98</v>
      </c>
      <c r="I3479" t="s">
        <v>47</v>
      </c>
      <c r="J3479" t="s">
        <v>123</v>
      </c>
    </row>
    <row r="3480" spans="1:10" x14ac:dyDescent="0.35">
      <c r="A3480" t="s">
        <v>3669</v>
      </c>
      <c r="B3480" s="10">
        <v>46292</v>
      </c>
      <c r="C3480" t="s">
        <v>580</v>
      </c>
      <c r="D3480" t="s">
        <v>80</v>
      </c>
      <c r="E3480" t="s">
        <v>81</v>
      </c>
      <c r="F3480" t="s">
        <v>14</v>
      </c>
      <c r="G3480">
        <v>137.51</v>
      </c>
      <c r="H3480" t="s">
        <v>21</v>
      </c>
      <c r="I3480" t="s">
        <v>47</v>
      </c>
      <c r="J3480" t="s">
        <v>118</v>
      </c>
    </row>
    <row r="3481" spans="1:10" x14ac:dyDescent="0.35">
      <c r="A3481" t="s">
        <v>3670</v>
      </c>
      <c r="B3481" s="10">
        <v>46292</v>
      </c>
      <c r="C3481" t="s">
        <v>143</v>
      </c>
      <c r="D3481" t="s">
        <v>54</v>
      </c>
      <c r="E3481" t="s">
        <v>55</v>
      </c>
      <c r="F3481" t="s">
        <v>54</v>
      </c>
      <c r="G3481">
        <v>744.87</v>
      </c>
      <c r="H3481" t="s">
        <v>15</v>
      </c>
      <c r="I3481" t="s">
        <v>47</v>
      </c>
      <c r="J3481" t="s">
        <v>89</v>
      </c>
    </row>
    <row r="3482" spans="1:10" x14ac:dyDescent="0.35">
      <c r="A3482" t="s">
        <v>3671</v>
      </c>
      <c r="B3482" s="10">
        <v>46292</v>
      </c>
      <c r="C3482" t="s">
        <v>153</v>
      </c>
      <c r="D3482" t="s">
        <v>34</v>
      </c>
      <c r="E3482" t="s">
        <v>122</v>
      </c>
      <c r="F3482" t="s">
        <v>14</v>
      </c>
      <c r="G3482">
        <v>104.3</v>
      </c>
      <c r="H3482" t="s">
        <v>15</v>
      </c>
      <c r="I3482" t="s">
        <v>16</v>
      </c>
      <c r="J3482" t="s">
        <v>41</v>
      </c>
    </row>
    <row r="3483" spans="1:10" x14ac:dyDescent="0.35">
      <c r="A3483" t="s">
        <v>3672</v>
      </c>
      <c r="B3483" s="10">
        <v>46292</v>
      </c>
      <c r="C3483" t="s">
        <v>177</v>
      </c>
      <c r="D3483" t="s">
        <v>54</v>
      </c>
      <c r="E3483" t="s">
        <v>74</v>
      </c>
      <c r="F3483" t="s">
        <v>54</v>
      </c>
      <c r="G3483">
        <v>2845.69</v>
      </c>
      <c r="H3483" t="s">
        <v>21</v>
      </c>
      <c r="I3483" t="s">
        <v>22</v>
      </c>
      <c r="J3483" t="s">
        <v>56</v>
      </c>
    </row>
    <row r="3484" spans="1:10" x14ac:dyDescent="0.35">
      <c r="A3484" t="s">
        <v>3673</v>
      </c>
      <c r="B3484" s="10">
        <v>46292</v>
      </c>
      <c r="C3484" t="s">
        <v>272</v>
      </c>
      <c r="D3484" t="s">
        <v>54</v>
      </c>
      <c r="E3484" t="s">
        <v>55</v>
      </c>
      <c r="F3484" t="s">
        <v>54</v>
      </c>
      <c r="G3484">
        <v>570.29</v>
      </c>
      <c r="H3484" t="s">
        <v>15</v>
      </c>
      <c r="I3484" t="s">
        <v>16</v>
      </c>
      <c r="J3484" t="s">
        <v>65</v>
      </c>
    </row>
    <row r="3485" spans="1:10" x14ac:dyDescent="0.35">
      <c r="A3485" t="s">
        <v>3674</v>
      </c>
      <c r="B3485" s="10">
        <v>46293</v>
      </c>
      <c r="C3485" t="s">
        <v>172</v>
      </c>
      <c r="D3485" t="s">
        <v>101</v>
      </c>
      <c r="E3485" t="s">
        <v>102</v>
      </c>
      <c r="F3485" t="s">
        <v>14</v>
      </c>
      <c r="G3485">
        <v>86.05</v>
      </c>
      <c r="H3485" t="s">
        <v>15</v>
      </c>
      <c r="I3485" t="s">
        <v>22</v>
      </c>
      <c r="J3485" t="s">
        <v>102</v>
      </c>
    </row>
    <row r="3486" spans="1:10" x14ac:dyDescent="0.35">
      <c r="A3486" t="s">
        <v>3675</v>
      </c>
      <c r="B3486" s="10">
        <v>46293</v>
      </c>
      <c r="C3486" t="s">
        <v>184</v>
      </c>
      <c r="D3486" t="s">
        <v>59</v>
      </c>
      <c r="E3486" t="s">
        <v>185</v>
      </c>
      <c r="F3486" t="s">
        <v>14</v>
      </c>
      <c r="G3486">
        <v>140.19999999999999</v>
      </c>
      <c r="H3486" t="s">
        <v>21</v>
      </c>
      <c r="I3486" t="s">
        <v>22</v>
      </c>
      <c r="J3486" t="s">
        <v>61</v>
      </c>
    </row>
    <row r="3487" spans="1:10" x14ac:dyDescent="0.35">
      <c r="A3487" t="s">
        <v>3676</v>
      </c>
      <c r="B3487" s="10">
        <v>46293</v>
      </c>
      <c r="C3487" t="s">
        <v>58</v>
      </c>
      <c r="D3487" t="s">
        <v>59</v>
      </c>
      <c r="E3487" t="s">
        <v>60</v>
      </c>
      <c r="F3487" t="s">
        <v>14</v>
      </c>
      <c r="G3487">
        <v>950</v>
      </c>
      <c r="H3487" t="s">
        <v>15</v>
      </c>
      <c r="I3487" t="s">
        <v>22</v>
      </c>
      <c r="J3487" t="s">
        <v>61</v>
      </c>
    </row>
    <row r="3488" spans="1:10" x14ac:dyDescent="0.35">
      <c r="A3488" t="s">
        <v>3677</v>
      </c>
      <c r="B3488" s="10">
        <v>46293</v>
      </c>
      <c r="C3488" t="s">
        <v>290</v>
      </c>
      <c r="D3488" t="s">
        <v>69</v>
      </c>
      <c r="E3488" t="s">
        <v>291</v>
      </c>
      <c r="F3488" t="s">
        <v>14</v>
      </c>
      <c r="G3488">
        <v>233.19</v>
      </c>
      <c r="H3488" t="s">
        <v>15</v>
      </c>
      <c r="I3488" t="s">
        <v>16</v>
      </c>
      <c r="J3488" t="s">
        <v>292</v>
      </c>
    </row>
    <row r="3489" spans="1:10" x14ac:dyDescent="0.35">
      <c r="A3489" t="s">
        <v>3678</v>
      </c>
      <c r="B3489" s="10">
        <v>46294</v>
      </c>
      <c r="C3489" t="s">
        <v>73</v>
      </c>
      <c r="D3489" t="s">
        <v>54</v>
      </c>
      <c r="E3489" t="s">
        <v>74</v>
      </c>
      <c r="F3489" t="s">
        <v>54</v>
      </c>
      <c r="G3489">
        <v>2585.7800000000002</v>
      </c>
      <c r="H3489" t="s">
        <v>15</v>
      </c>
      <c r="I3489" t="s">
        <v>22</v>
      </c>
      <c r="J3489" t="s">
        <v>65</v>
      </c>
    </row>
    <row r="3490" spans="1:10" x14ac:dyDescent="0.35">
      <c r="A3490" t="s">
        <v>3679</v>
      </c>
      <c r="B3490" s="10">
        <v>46294</v>
      </c>
      <c r="C3490" t="s">
        <v>251</v>
      </c>
      <c r="D3490" t="s">
        <v>29</v>
      </c>
      <c r="E3490" t="s">
        <v>151</v>
      </c>
      <c r="F3490" t="s">
        <v>14</v>
      </c>
      <c r="G3490">
        <v>34.270000000000003</v>
      </c>
      <c r="H3490" t="s">
        <v>15</v>
      </c>
      <c r="I3490" t="s">
        <v>36</v>
      </c>
      <c r="J3490" t="s">
        <v>31</v>
      </c>
    </row>
    <row r="3491" spans="1:10" x14ac:dyDescent="0.35">
      <c r="A3491" t="s">
        <v>3680</v>
      </c>
      <c r="B3491" s="10">
        <v>46294</v>
      </c>
      <c r="C3491" t="s">
        <v>11</v>
      </c>
      <c r="D3491" t="s">
        <v>12</v>
      </c>
      <c r="E3491" t="s">
        <v>13</v>
      </c>
      <c r="F3491" t="s">
        <v>14</v>
      </c>
      <c r="G3491">
        <v>130.35</v>
      </c>
      <c r="H3491" t="s">
        <v>15</v>
      </c>
      <c r="I3491" t="s">
        <v>22</v>
      </c>
      <c r="J3491" t="s">
        <v>17</v>
      </c>
    </row>
    <row r="3492" spans="1:10" x14ac:dyDescent="0.35">
      <c r="A3492" t="s">
        <v>3681</v>
      </c>
      <c r="B3492" s="10">
        <v>46294</v>
      </c>
      <c r="C3492" t="s">
        <v>238</v>
      </c>
      <c r="D3492" t="s">
        <v>34</v>
      </c>
      <c r="E3492" t="s">
        <v>35</v>
      </c>
      <c r="F3492" t="s">
        <v>14</v>
      </c>
      <c r="G3492">
        <v>68.48</v>
      </c>
      <c r="H3492" t="s">
        <v>15</v>
      </c>
      <c r="I3492" t="s">
        <v>22</v>
      </c>
      <c r="J3492" t="s">
        <v>239</v>
      </c>
    </row>
    <row r="3493" spans="1:10" x14ac:dyDescent="0.35">
      <c r="A3493" t="s">
        <v>3682</v>
      </c>
      <c r="B3493" s="10">
        <v>46294</v>
      </c>
      <c r="C3493" t="s">
        <v>39</v>
      </c>
      <c r="D3493" t="s">
        <v>34</v>
      </c>
      <c r="E3493" t="s">
        <v>40</v>
      </c>
      <c r="F3493" t="s">
        <v>14</v>
      </c>
      <c r="G3493">
        <v>65.61</v>
      </c>
      <c r="H3493" t="s">
        <v>98</v>
      </c>
      <c r="I3493" t="s">
        <v>16</v>
      </c>
      <c r="J3493" t="s">
        <v>41</v>
      </c>
    </row>
    <row r="3494" spans="1:10" x14ac:dyDescent="0.35">
      <c r="A3494" t="s">
        <v>3683</v>
      </c>
      <c r="B3494" s="10">
        <v>46294</v>
      </c>
      <c r="C3494" t="s">
        <v>269</v>
      </c>
      <c r="D3494" t="s">
        <v>34</v>
      </c>
      <c r="E3494" t="s">
        <v>35</v>
      </c>
      <c r="F3494" t="s">
        <v>14</v>
      </c>
      <c r="G3494">
        <v>82.2</v>
      </c>
      <c r="H3494" t="s">
        <v>15</v>
      </c>
      <c r="I3494" t="s">
        <v>47</v>
      </c>
      <c r="J3494" t="s">
        <v>123</v>
      </c>
    </row>
    <row r="3495" spans="1:10" x14ac:dyDescent="0.35">
      <c r="A3495" t="s">
        <v>3684</v>
      </c>
      <c r="B3495" s="10">
        <v>46294</v>
      </c>
      <c r="C3495" t="s">
        <v>111</v>
      </c>
      <c r="D3495" t="s">
        <v>12</v>
      </c>
      <c r="E3495" t="s">
        <v>26</v>
      </c>
      <c r="F3495" t="s">
        <v>14</v>
      </c>
      <c r="G3495">
        <v>42.28</v>
      </c>
      <c r="H3495" t="s">
        <v>21</v>
      </c>
      <c r="I3495" t="s">
        <v>47</v>
      </c>
      <c r="J3495" t="s">
        <v>23</v>
      </c>
    </row>
    <row r="3496" spans="1:10" x14ac:dyDescent="0.35">
      <c r="A3496" t="s">
        <v>3685</v>
      </c>
      <c r="B3496" s="10">
        <v>46295</v>
      </c>
      <c r="C3496" t="s">
        <v>198</v>
      </c>
      <c r="D3496" t="s">
        <v>59</v>
      </c>
      <c r="E3496" t="s">
        <v>199</v>
      </c>
      <c r="F3496" t="s">
        <v>14</v>
      </c>
      <c r="G3496">
        <v>247.4</v>
      </c>
      <c r="H3496" t="s">
        <v>15</v>
      </c>
      <c r="I3496" t="s">
        <v>84</v>
      </c>
      <c r="J3496" t="s">
        <v>61</v>
      </c>
    </row>
    <row r="3497" spans="1:10" x14ac:dyDescent="0.35">
      <c r="A3497" t="s">
        <v>3686</v>
      </c>
      <c r="B3497" s="10">
        <v>46295</v>
      </c>
      <c r="C3497" t="s">
        <v>172</v>
      </c>
      <c r="D3497" t="s">
        <v>101</v>
      </c>
      <c r="E3497" t="s">
        <v>102</v>
      </c>
      <c r="F3497" t="s">
        <v>14</v>
      </c>
      <c r="G3497">
        <v>41.63</v>
      </c>
      <c r="H3497" t="s">
        <v>21</v>
      </c>
      <c r="I3497" t="s">
        <v>22</v>
      </c>
      <c r="J3497" t="s">
        <v>102</v>
      </c>
    </row>
    <row r="3498" spans="1:10" x14ac:dyDescent="0.35">
      <c r="A3498" t="s">
        <v>3687</v>
      </c>
      <c r="B3498" s="10">
        <v>46295</v>
      </c>
      <c r="C3498" t="s">
        <v>253</v>
      </c>
      <c r="D3498" t="s">
        <v>29</v>
      </c>
      <c r="E3498" t="s">
        <v>30</v>
      </c>
      <c r="F3498" t="s">
        <v>14</v>
      </c>
      <c r="G3498">
        <v>42.44</v>
      </c>
      <c r="H3498" t="s">
        <v>15</v>
      </c>
      <c r="I3498" t="s">
        <v>84</v>
      </c>
      <c r="J3498" t="s">
        <v>158</v>
      </c>
    </row>
    <row r="3499" spans="1:10" x14ac:dyDescent="0.35">
      <c r="A3499" t="s">
        <v>3688</v>
      </c>
      <c r="B3499" s="10">
        <v>46295</v>
      </c>
      <c r="C3499" t="s">
        <v>25</v>
      </c>
      <c r="D3499" t="s">
        <v>12</v>
      </c>
      <c r="E3499" t="s">
        <v>26</v>
      </c>
      <c r="F3499" t="s">
        <v>14</v>
      </c>
      <c r="G3499">
        <v>40.6</v>
      </c>
      <c r="H3499" t="s">
        <v>15</v>
      </c>
      <c r="I3499" t="s">
        <v>22</v>
      </c>
      <c r="J3499" t="s">
        <v>17</v>
      </c>
    </row>
    <row r="3500" spans="1:10" x14ac:dyDescent="0.35">
      <c r="A3500" t="s">
        <v>3689</v>
      </c>
      <c r="B3500" s="10">
        <v>46295</v>
      </c>
      <c r="C3500" t="s">
        <v>256</v>
      </c>
      <c r="D3500" t="s">
        <v>34</v>
      </c>
      <c r="E3500" t="s">
        <v>40</v>
      </c>
      <c r="F3500" t="s">
        <v>14</v>
      </c>
      <c r="G3500">
        <v>241.64</v>
      </c>
      <c r="H3500" t="s">
        <v>98</v>
      </c>
      <c r="I3500" t="s">
        <v>22</v>
      </c>
      <c r="J3500" t="s">
        <v>239</v>
      </c>
    </row>
    <row r="3501" spans="1:10" x14ac:dyDescent="0.35">
      <c r="A3501" t="s">
        <v>3690</v>
      </c>
      <c r="B3501" s="10">
        <v>46295</v>
      </c>
      <c r="C3501" t="s">
        <v>229</v>
      </c>
      <c r="D3501" t="s">
        <v>54</v>
      </c>
      <c r="E3501" t="s">
        <v>64</v>
      </c>
      <c r="F3501" t="s">
        <v>54</v>
      </c>
      <c r="G3501">
        <v>376.97</v>
      </c>
      <c r="H3501" t="s">
        <v>15</v>
      </c>
      <c r="I3501" t="s">
        <v>22</v>
      </c>
      <c r="J3501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DEF1-7C21-4358-B13C-E58AE40E6251}">
  <sheetPr codeName="Sheet2">
    <pageSetUpPr autoPageBreaks="0"/>
  </sheetPr>
  <dimension ref="B4:D22"/>
  <sheetViews>
    <sheetView showGridLines="0" zoomScaleNormal="100" workbookViewId="0">
      <selection activeCell="F29" sqref="F29"/>
    </sheetView>
  </sheetViews>
  <sheetFormatPr defaultRowHeight="14.5" x14ac:dyDescent="0.35"/>
  <cols>
    <col min="1" max="1" width="7.7265625" customWidth="1"/>
    <col min="2" max="2" width="35.36328125" bestFit="1" customWidth="1"/>
    <col min="3" max="3" width="16.453125" customWidth="1"/>
    <col min="4" max="4" width="35.26953125" customWidth="1"/>
    <col min="6" max="6" width="16.81640625" bestFit="1" customWidth="1"/>
    <col min="8" max="8" width="13.26953125" bestFit="1" customWidth="1"/>
    <col min="10" max="10" width="14.36328125" bestFit="1" customWidth="1"/>
    <col min="12" max="12" width="20.6328125" bestFit="1" customWidth="1"/>
    <col min="14" max="14" width="19.08984375" bestFit="1" customWidth="1"/>
    <col min="16" max="16" width="18.453125" bestFit="1" customWidth="1"/>
    <col min="18" max="18" width="27.81640625" bestFit="1" customWidth="1"/>
    <col min="20" max="20" width="28" bestFit="1" customWidth="1"/>
  </cols>
  <sheetData>
    <row r="4" spans="2:4" ht="18.5" x14ac:dyDescent="0.45">
      <c r="B4" s="19" t="s">
        <v>3693</v>
      </c>
      <c r="C4" s="19" t="s">
        <v>3747</v>
      </c>
      <c r="D4" s="19" t="s">
        <v>3748</v>
      </c>
    </row>
    <row r="6" spans="2:4" ht="18.5" x14ac:dyDescent="0.45">
      <c r="B6" s="19" t="s">
        <v>3694</v>
      </c>
      <c r="C6" s="32">
        <f>SUMIFS(raw_table_[Amount],raw_table_[Type],"Income")</f>
        <v>817176.77999999933</v>
      </c>
      <c r="D6" s="33" t="s">
        <v>3749</v>
      </c>
    </row>
    <row r="7" spans="2:4" ht="18.5" x14ac:dyDescent="0.45">
      <c r="C7" s="34"/>
      <c r="D7" s="33"/>
    </row>
    <row r="8" spans="2:4" ht="18.5" x14ac:dyDescent="0.45">
      <c r="B8" s="19" t="s">
        <v>3695</v>
      </c>
      <c r="C8" s="32">
        <f>SUMIFS(raw_table_[Amount],raw_table_[Type],"Expense")</f>
        <v>368935.9100000012</v>
      </c>
      <c r="D8" s="33" t="s">
        <v>3750</v>
      </c>
    </row>
    <row r="9" spans="2:4" ht="18.5" x14ac:dyDescent="0.45">
      <c r="C9" s="34"/>
      <c r="D9" s="33"/>
    </row>
    <row r="10" spans="2:4" ht="18.5" x14ac:dyDescent="0.45">
      <c r="B10" s="19" t="s">
        <v>3696</v>
      </c>
      <c r="C10" s="32">
        <f>C6-C8</f>
        <v>448240.86999999813</v>
      </c>
      <c r="D10" s="33" t="s">
        <v>3751</v>
      </c>
    </row>
    <row r="11" spans="2:4" ht="18.5" x14ac:dyDescent="0.45">
      <c r="C11" s="34"/>
      <c r="D11" s="33"/>
    </row>
    <row r="12" spans="2:4" ht="18.5" x14ac:dyDescent="0.45">
      <c r="B12" s="19" t="s">
        <v>3697</v>
      </c>
      <c r="C12" s="35">
        <f>C10/C6</f>
        <v>0.54852374782357194</v>
      </c>
      <c r="D12" s="33" t="s">
        <v>3752</v>
      </c>
    </row>
    <row r="13" spans="2:4" ht="18.5" x14ac:dyDescent="0.45">
      <c r="B13" s="3"/>
      <c r="C13" s="34"/>
      <c r="D13" s="33"/>
    </row>
    <row r="14" spans="2:4" ht="18.5" x14ac:dyDescent="0.45">
      <c r="B14" s="19" t="s">
        <v>3698</v>
      </c>
      <c r="C14" s="36">
        <f>COUNTA(raw_table_[Transaction ID])</f>
        <v>3500</v>
      </c>
      <c r="D14" s="33" t="s">
        <v>3753</v>
      </c>
    </row>
    <row r="15" spans="2:4" ht="18.5" x14ac:dyDescent="0.45">
      <c r="C15" s="34"/>
      <c r="D15" s="33"/>
    </row>
    <row r="16" spans="2:4" ht="18.5" x14ac:dyDescent="0.45">
      <c r="B16" s="19" t="s">
        <v>3699</v>
      </c>
      <c r="C16" s="32">
        <f>AVERAGEIFS(raw_table_[Amount],raw_table_[Type],"Expense")</f>
        <v>131.66877587437588</v>
      </c>
      <c r="D16" s="33" t="s">
        <v>3754</v>
      </c>
    </row>
    <row r="17" spans="2:4" ht="18.5" x14ac:dyDescent="0.45">
      <c r="C17" s="34"/>
      <c r="D17" s="33"/>
    </row>
    <row r="18" spans="2:4" ht="18.5" x14ac:dyDescent="0.45">
      <c r="B18" s="19" t="s">
        <v>3700</v>
      </c>
      <c r="C18" s="32">
        <f>_xlfn.MAXIFS(raw_table_[Amount],raw_table_[Type],"Expense")</f>
        <v>1107.76</v>
      </c>
      <c r="D18" s="33" t="s">
        <v>3755</v>
      </c>
    </row>
    <row r="19" spans="2:4" ht="18.5" x14ac:dyDescent="0.45">
      <c r="C19" s="34"/>
      <c r="D19" s="33"/>
    </row>
    <row r="20" spans="2:4" ht="18.5" x14ac:dyDescent="0.45">
      <c r="B20" s="19" t="s">
        <v>3701</v>
      </c>
      <c r="C20" s="34">
        <v>7</v>
      </c>
      <c r="D20" s="33" t="s">
        <v>3756</v>
      </c>
    </row>
    <row r="21" spans="2:4" ht="18.5" x14ac:dyDescent="0.45">
      <c r="C21" s="34"/>
      <c r="D21" s="33"/>
    </row>
    <row r="22" spans="2:4" ht="18.5" x14ac:dyDescent="0.45">
      <c r="B22" s="19" t="s">
        <v>3730</v>
      </c>
      <c r="C22" s="38">
        <f>C6/C8</f>
        <v>2.2149559255427227</v>
      </c>
      <c r="D22" s="33" t="s">
        <v>3757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3501"/>
  <sheetViews>
    <sheetView workbookViewId="0">
      <selection activeCell="D6" sqref="D6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 s="1">
        <v>45658</v>
      </c>
      <c r="C2" t="s">
        <v>11</v>
      </c>
      <c r="D2" t="s">
        <v>12</v>
      </c>
      <c r="E2" t="s">
        <v>13</v>
      </c>
      <c r="F2" t="s">
        <v>14</v>
      </c>
      <c r="G2">
        <v>28.24</v>
      </c>
      <c r="H2" t="s">
        <v>15</v>
      </c>
      <c r="I2" t="s">
        <v>16</v>
      </c>
      <c r="J2" t="s">
        <v>17</v>
      </c>
    </row>
    <row r="3" spans="1:10" x14ac:dyDescent="0.35">
      <c r="A3" t="s">
        <v>18</v>
      </c>
      <c r="B3" s="1">
        <v>45658</v>
      </c>
      <c r="C3" t="s">
        <v>19</v>
      </c>
      <c r="D3" t="s">
        <v>20</v>
      </c>
      <c r="E3" t="s">
        <v>13</v>
      </c>
      <c r="F3" t="s">
        <v>14</v>
      </c>
      <c r="G3">
        <v>88.87</v>
      </c>
      <c r="H3" t="s">
        <v>21</v>
      </c>
      <c r="I3" t="s">
        <v>22</v>
      </c>
      <c r="J3" t="s">
        <v>23</v>
      </c>
    </row>
    <row r="4" spans="1:10" x14ac:dyDescent="0.35">
      <c r="A4" t="s">
        <v>24</v>
      </c>
      <c r="B4" s="1">
        <v>45658</v>
      </c>
      <c r="C4" t="s">
        <v>25</v>
      </c>
      <c r="D4" t="s">
        <v>12</v>
      </c>
      <c r="E4" t="s">
        <v>26</v>
      </c>
      <c r="F4" t="s">
        <v>14</v>
      </c>
      <c r="G4">
        <v>43.48</v>
      </c>
      <c r="H4" t="s">
        <v>21</v>
      </c>
      <c r="I4" t="s">
        <v>22</v>
      </c>
      <c r="J4" t="s">
        <v>17</v>
      </c>
    </row>
    <row r="5" spans="1:10" x14ac:dyDescent="0.35">
      <c r="A5" t="s">
        <v>27</v>
      </c>
      <c r="B5" s="1">
        <v>45658</v>
      </c>
      <c r="C5" t="s">
        <v>28</v>
      </c>
      <c r="D5" t="s">
        <v>29</v>
      </c>
      <c r="E5" t="s">
        <v>30</v>
      </c>
      <c r="F5" t="s">
        <v>14</v>
      </c>
      <c r="G5">
        <v>16.27</v>
      </c>
      <c r="H5" t="s">
        <v>15</v>
      </c>
      <c r="I5" t="s">
        <v>22</v>
      </c>
      <c r="J5" t="s">
        <v>31</v>
      </c>
    </row>
    <row r="6" spans="1:10" x14ac:dyDescent="0.35">
      <c r="A6" t="s">
        <v>32</v>
      </c>
      <c r="B6" s="1">
        <v>45658</v>
      </c>
      <c r="C6" t="s">
        <v>33</v>
      </c>
      <c r="D6" t="s">
        <v>34</v>
      </c>
      <c r="E6" t="s">
        <v>35</v>
      </c>
      <c r="F6" t="s">
        <v>14</v>
      </c>
      <c r="G6">
        <v>227.62</v>
      </c>
      <c r="H6" t="s">
        <v>15</v>
      </c>
      <c r="I6" t="s">
        <v>36</v>
      </c>
      <c r="J6" t="s">
        <v>37</v>
      </c>
    </row>
    <row r="7" spans="1:10" x14ac:dyDescent="0.35">
      <c r="A7" t="s">
        <v>38</v>
      </c>
      <c r="B7" s="1">
        <v>45658</v>
      </c>
      <c r="C7" t="s">
        <v>39</v>
      </c>
      <c r="D7" t="s">
        <v>34</v>
      </c>
      <c r="E7" t="s">
        <v>40</v>
      </c>
      <c r="F7" t="s">
        <v>14</v>
      </c>
      <c r="G7">
        <v>149.75</v>
      </c>
      <c r="H7" t="s">
        <v>15</v>
      </c>
      <c r="I7" t="s">
        <v>16</v>
      </c>
      <c r="J7" t="s">
        <v>41</v>
      </c>
    </row>
    <row r="8" spans="1:10" x14ac:dyDescent="0.35">
      <c r="A8" t="s">
        <v>42</v>
      </c>
      <c r="B8" s="1">
        <v>45658</v>
      </c>
      <c r="C8" t="s">
        <v>43</v>
      </c>
      <c r="D8" t="s">
        <v>12</v>
      </c>
      <c r="E8" t="s">
        <v>26</v>
      </c>
      <c r="F8" t="s">
        <v>14</v>
      </c>
      <c r="G8">
        <v>28.1</v>
      </c>
      <c r="H8" t="s">
        <v>21</v>
      </c>
      <c r="I8" t="s">
        <v>22</v>
      </c>
      <c r="J8" t="s">
        <v>44</v>
      </c>
    </row>
    <row r="9" spans="1:10" x14ac:dyDescent="0.35">
      <c r="A9" t="s">
        <v>45</v>
      </c>
      <c r="B9" s="1">
        <v>45659</v>
      </c>
      <c r="C9" t="s">
        <v>46</v>
      </c>
      <c r="D9" t="s">
        <v>12</v>
      </c>
      <c r="E9" t="s">
        <v>13</v>
      </c>
      <c r="F9" t="s">
        <v>14</v>
      </c>
      <c r="G9">
        <v>34.53</v>
      </c>
      <c r="H9" t="s">
        <v>15</v>
      </c>
      <c r="I9" t="s">
        <v>47</v>
      </c>
      <c r="J9" t="s">
        <v>48</v>
      </c>
    </row>
    <row r="10" spans="1:10" x14ac:dyDescent="0.35">
      <c r="A10" t="s">
        <v>49</v>
      </c>
      <c r="B10" s="1">
        <v>45659</v>
      </c>
      <c r="C10" t="s">
        <v>50</v>
      </c>
      <c r="D10" t="s">
        <v>12</v>
      </c>
      <c r="E10" t="s">
        <v>51</v>
      </c>
      <c r="F10" t="s">
        <v>14</v>
      </c>
      <c r="G10">
        <v>52.53</v>
      </c>
      <c r="H10" t="s">
        <v>15</v>
      </c>
      <c r="I10" t="s">
        <v>47</v>
      </c>
      <c r="J10" t="s">
        <v>44</v>
      </c>
    </row>
    <row r="11" spans="1:10" x14ac:dyDescent="0.35">
      <c r="A11" t="s">
        <v>52</v>
      </c>
      <c r="B11" s="1">
        <v>45659</v>
      </c>
      <c r="C11" t="s">
        <v>53</v>
      </c>
      <c r="D11" t="s">
        <v>54</v>
      </c>
      <c r="E11" t="s">
        <v>55</v>
      </c>
      <c r="F11" t="s">
        <v>54</v>
      </c>
      <c r="G11">
        <v>736.64</v>
      </c>
      <c r="H11" t="s">
        <v>15</v>
      </c>
      <c r="I11" t="s">
        <v>36</v>
      </c>
      <c r="J11" t="s">
        <v>56</v>
      </c>
    </row>
    <row r="12" spans="1:10" x14ac:dyDescent="0.35">
      <c r="A12" t="s">
        <v>57</v>
      </c>
      <c r="B12" s="1">
        <v>45659</v>
      </c>
      <c r="C12" t="s">
        <v>58</v>
      </c>
      <c r="D12" t="s">
        <v>59</v>
      </c>
      <c r="E12" t="s">
        <v>60</v>
      </c>
      <c r="F12" t="s">
        <v>14</v>
      </c>
      <c r="G12">
        <v>129.87</v>
      </c>
      <c r="H12" t="s">
        <v>21</v>
      </c>
      <c r="I12" t="s">
        <v>22</v>
      </c>
      <c r="J12" t="s">
        <v>61</v>
      </c>
    </row>
    <row r="13" spans="1:10" x14ac:dyDescent="0.35">
      <c r="A13" t="s">
        <v>62</v>
      </c>
      <c r="B13" s="1">
        <v>45659</v>
      </c>
      <c r="C13" t="s">
        <v>63</v>
      </c>
      <c r="D13" t="s">
        <v>54</v>
      </c>
      <c r="E13" t="s">
        <v>64</v>
      </c>
      <c r="F13" t="s">
        <v>54</v>
      </c>
      <c r="G13">
        <v>377.48</v>
      </c>
      <c r="H13" t="s">
        <v>15</v>
      </c>
      <c r="I13" t="s">
        <v>36</v>
      </c>
      <c r="J13" t="s">
        <v>65</v>
      </c>
    </row>
    <row r="14" spans="1:10" x14ac:dyDescent="0.35">
      <c r="A14" t="s">
        <v>66</v>
      </c>
      <c r="B14" s="1">
        <v>45659</v>
      </c>
      <c r="C14" t="s">
        <v>28</v>
      </c>
      <c r="D14" t="s">
        <v>29</v>
      </c>
      <c r="E14" t="s">
        <v>30</v>
      </c>
      <c r="F14" t="s">
        <v>14</v>
      </c>
      <c r="G14">
        <v>16.239999999999998</v>
      </c>
      <c r="H14" t="s">
        <v>15</v>
      </c>
      <c r="I14" t="s">
        <v>22</v>
      </c>
      <c r="J14" t="s">
        <v>31</v>
      </c>
    </row>
    <row r="15" spans="1:10" x14ac:dyDescent="0.35">
      <c r="A15" t="s">
        <v>67</v>
      </c>
      <c r="B15" s="1">
        <v>45660</v>
      </c>
      <c r="C15" t="s">
        <v>68</v>
      </c>
      <c r="D15" t="s">
        <v>69</v>
      </c>
      <c r="E15" t="s">
        <v>70</v>
      </c>
      <c r="F15" t="s">
        <v>14</v>
      </c>
      <c r="G15">
        <v>262.83</v>
      </c>
      <c r="H15" t="s">
        <v>15</v>
      </c>
      <c r="I15" t="s">
        <v>47</v>
      </c>
      <c r="J15" t="s">
        <v>71</v>
      </c>
    </row>
    <row r="16" spans="1:10" x14ac:dyDescent="0.35">
      <c r="A16" t="s">
        <v>72</v>
      </c>
      <c r="B16" s="1">
        <v>45660</v>
      </c>
      <c r="C16" t="s">
        <v>73</v>
      </c>
      <c r="D16" t="s">
        <v>54</v>
      </c>
      <c r="E16" t="s">
        <v>74</v>
      </c>
      <c r="F16" t="s">
        <v>54</v>
      </c>
      <c r="G16">
        <v>2188.7800000000002</v>
      </c>
      <c r="H16" t="s">
        <v>15</v>
      </c>
      <c r="I16" t="s">
        <v>22</v>
      </c>
      <c r="J16" t="s">
        <v>65</v>
      </c>
    </row>
    <row r="17" spans="1:10" x14ac:dyDescent="0.35">
      <c r="A17" t="s">
        <v>75</v>
      </c>
      <c r="B17" s="1">
        <v>45660</v>
      </c>
      <c r="C17" t="s">
        <v>76</v>
      </c>
      <c r="D17" t="s">
        <v>12</v>
      </c>
      <c r="E17" t="s">
        <v>13</v>
      </c>
      <c r="F17" t="s">
        <v>14</v>
      </c>
      <c r="G17">
        <v>38.93</v>
      </c>
      <c r="H17" t="s">
        <v>21</v>
      </c>
      <c r="I17" t="s">
        <v>22</v>
      </c>
      <c r="J17" t="s">
        <v>77</v>
      </c>
    </row>
    <row r="18" spans="1:10" x14ac:dyDescent="0.35">
      <c r="A18" t="s">
        <v>78</v>
      </c>
      <c r="B18" s="1">
        <v>45660</v>
      </c>
      <c r="C18" t="s">
        <v>79</v>
      </c>
      <c r="D18" t="s">
        <v>80</v>
      </c>
      <c r="E18" t="s">
        <v>81</v>
      </c>
      <c r="F18" t="s">
        <v>14</v>
      </c>
      <c r="G18">
        <v>52.01</v>
      </c>
      <c r="H18" t="s">
        <v>15</v>
      </c>
      <c r="I18" t="s">
        <v>36</v>
      </c>
      <c r="J18" t="s">
        <v>82</v>
      </c>
    </row>
    <row r="19" spans="1:10" x14ac:dyDescent="0.35">
      <c r="A19" t="s">
        <v>83</v>
      </c>
      <c r="B19" s="1">
        <v>45660</v>
      </c>
      <c r="C19" t="s">
        <v>39</v>
      </c>
      <c r="D19" t="s">
        <v>34</v>
      </c>
      <c r="E19" t="s">
        <v>40</v>
      </c>
      <c r="F19" t="s">
        <v>14</v>
      </c>
      <c r="G19">
        <v>297.41000000000003</v>
      </c>
      <c r="H19" t="s">
        <v>21</v>
      </c>
      <c r="I19" t="s">
        <v>84</v>
      </c>
      <c r="J19" t="s">
        <v>41</v>
      </c>
    </row>
    <row r="20" spans="1:10" x14ac:dyDescent="0.35">
      <c r="A20" t="s">
        <v>85</v>
      </c>
      <c r="B20" s="1">
        <v>45661</v>
      </c>
      <c r="C20" t="s">
        <v>46</v>
      </c>
      <c r="D20" t="s">
        <v>12</v>
      </c>
      <c r="E20" t="s">
        <v>13</v>
      </c>
      <c r="F20" t="s">
        <v>14</v>
      </c>
      <c r="G20">
        <v>31.2</v>
      </c>
      <c r="H20" t="s">
        <v>15</v>
      </c>
      <c r="I20" t="s">
        <v>36</v>
      </c>
      <c r="J20" t="s">
        <v>48</v>
      </c>
    </row>
    <row r="21" spans="1:10" x14ac:dyDescent="0.35">
      <c r="A21" t="s">
        <v>86</v>
      </c>
      <c r="B21" s="1">
        <v>45661</v>
      </c>
      <c r="C21" t="s">
        <v>76</v>
      </c>
      <c r="D21" t="s">
        <v>12</v>
      </c>
      <c r="E21" t="s">
        <v>13</v>
      </c>
      <c r="F21" t="s">
        <v>14</v>
      </c>
      <c r="G21">
        <v>25.67</v>
      </c>
      <c r="H21" t="s">
        <v>15</v>
      </c>
      <c r="I21" t="s">
        <v>47</v>
      </c>
      <c r="J21" t="s">
        <v>77</v>
      </c>
    </row>
    <row r="22" spans="1:10" x14ac:dyDescent="0.35">
      <c r="A22" t="s">
        <v>87</v>
      </c>
      <c r="B22" s="1">
        <v>45662</v>
      </c>
      <c r="C22" t="s">
        <v>88</v>
      </c>
      <c r="D22" t="s">
        <v>54</v>
      </c>
      <c r="E22" t="s">
        <v>74</v>
      </c>
      <c r="F22" t="s">
        <v>54</v>
      </c>
      <c r="G22">
        <v>2295.4899999999998</v>
      </c>
      <c r="H22" t="s">
        <v>15</v>
      </c>
      <c r="I22" t="s">
        <v>36</v>
      </c>
      <c r="J22" t="s">
        <v>89</v>
      </c>
    </row>
    <row r="23" spans="1:10" x14ac:dyDescent="0.35">
      <c r="A23" t="s">
        <v>90</v>
      </c>
      <c r="B23" s="1">
        <v>45662</v>
      </c>
      <c r="C23" t="s">
        <v>91</v>
      </c>
      <c r="D23" t="s">
        <v>80</v>
      </c>
      <c r="E23" t="s">
        <v>92</v>
      </c>
      <c r="F23" t="s">
        <v>14</v>
      </c>
      <c r="G23">
        <v>50.96</v>
      </c>
      <c r="H23" t="s">
        <v>21</v>
      </c>
      <c r="I23" t="s">
        <v>47</v>
      </c>
      <c r="J23" t="s">
        <v>82</v>
      </c>
    </row>
    <row r="24" spans="1:10" x14ac:dyDescent="0.35">
      <c r="A24" t="s">
        <v>93</v>
      </c>
      <c r="B24" s="1">
        <v>45663</v>
      </c>
      <c r="C24" t="s">
        <v>94</v>
      </c>
      <c r="D24" t="s">
        <v>29</v>
      </c>
      <c r="E24" t="s">
        <v>95</v>
      </c>
      <c r="F24" t="s">
        <v>14</v>
      </c>
      <c r="G24">
        <v>62.95</v>
      </c>
      <c r="H24" t="s">
        <v>21</v>
      </c>
      <c r="I24" t="s">
        <v>36</v>
      </c>
      <c r="J24" t="s">
        <v>96</v>
      </c>
    </row>
    <row r="25" spans="1:10" x14ac:dyDescent="0.35">
      <c r="A25" t="s">
        <v>97</v>
      </c>
      <c r="B25" s="1">
        <v>45663</v>
      </c>
      <c r="C25" t="s">
        <v>76</v>
      </c>
      <c r="D25" t="s">
        <v>12</v>
      </c>
      <c r="E25" t="s">
        <v>13</v>
      </c>
      <c r="F25" t="s">
        <v>14</v>
      </c>
      <c r="G25">
        <v>96.4</v>
      </c>
      <c r="H25" t="s">
        <v>98</v>
      </c>
      <c r="I25" t="s">
        <v>16</v>
      </c>
      <c r="J25" t="s">
        <v>77</v>
      </c>
    </row>
    <row r="26" spans="1:10" x14ac:dyDescent="0.35">
      <c r="A26" t="s">
        <v>99</v>
      </c>
      <c r="B26" s="1">
        <v>45663</v>
      </c>
      <c r="C26" t="s">
        <v>100</v>
      </c>
      <c r="D26" t="s">
        <v>101</v>
      </c>
      <c r="E26" t="s">
        <v>102</v>
      </c>
      <c r="F26" t="s">
        <v>14</v>
      </c>
      <c r="G26">
        <v>98.11</v>
      </c>
      <c r="H26" t="s">
        <v>15</v>
      </c>
      <c r="I26" t="s">
        <v>36</v>
      </c>
      <c r="J26" t="s">
        <v>103</v>
      </c>
    </row>
    <row r="27" spans="1:10" x14ac:dyDescent="0.35">
      <c r="A27" t="s">
        <v>104</v>
      </c>
      <c r="B27" s="1">
        <v>45663</v>
      </c>
      <c r="C27" t="s">
        <v>39</v>
      </c>
      <c r="D27" t="s">
        <v>34</v>
      </c>
      <c r="E27" t="s">
        <v>40</v>
      </c>
      <c r="F27" t="s">
        <v>14</v>
      </c>
      <c r="G27">
        <v>296.97000000000003</v>
      </c>
      <c r="H27" t="s">
        <v>21</v>
      </c>
      <c r="I27" t="s">
        <v>36</v>
      </c>
      <c r="J27" t="s">
        <v>41</v>
      </c>
    </row>
    <row r="28" spans="1:10" x14ac:dyDescent="0.35">
      <c r="A28" t="s">
        <v>105</v>
      </c>
      <c r="B28" s="1">
        <v>45663</v>
      </c>
      <c r="C28" t="s">
        <v>50</v>
      </c>
      <c r="D28" t="s">
        <v>12</v>
      </c>
      <c r="E28" t="s">
        <v>51</v>
      </c>
      <c r="F28" t="s">
        <v>14</v>
      </c>
      <c r="G28">
        <v>23.7</v>
      </c>
      <c r="H28" t="s">
        <v>15</v>
      </c>
      <c r="I28" t="s">
        <v>47</v>
      </c>
      <c r="J28" t="s">
        <v>44</v>
      </c>
    </row>
    <row r="29" spans="1:10" x14ac:dyDescent="0.35">
      <c r="A29" t="s">
        <v>106</v>
      </c>
      <c r="B29" s="1">
        <v>45663</v>
      </c>
      <c r="C29" t="s">
        <v>94</v>
      </c>
      <c r="D29" t="s">
        <v>29</v>
      </c>
      <c r="E29" t="s">
        <v>95</v>
      </c>
      <c r="F29" t="s">
        <v>14</v>
      </c>
      <c r="G29">
        <v>24.53</v>
      </c>
      <c r="H29" t="s">
        <v>15</v>
      </c>
      <c r="I29" t="s">
        <v>16</v>
      </c>
      <c r="J29" t="s">
        <v>96</v>
      </c>
    </row>
    <row r="30" spans="1:10" x14ac:dyDescent="0.35">
      <c r="A30" t="s">
        <v>107</v>
      </c>
      <c r="B30" s="1">
        <v>45664</v>
      </c>
      <c r="C30" t="s">
        <v>28</v>
      </c>
      <c r="D30" t="s">
        <v>29</v>
      </c>
      <c r="E30" t="s">
        <v>30</v>
      </c>
      <c r="F30" t="s">
        <v>14</v>
      </c>
      <c r="G30">
        <v>19.22</v>
      </c>
      <c r="H30" t="s">
        <v>15</v>
      </c>
      <c r="I30" t="s">
        <v>84</v>
      </c>
      <c r="J30" t="s">
        <v>31</v>
      </c>
    </row>
    <row r="31" spans="1:10" x14ac:dyDescent="0.35">
      <c r="A31" t="s">
        <v>108</v>
      </c>
      <c r="B31" s="1">
        <v>45664</v>
      </c>
      <c r="C31" t="s">
        <v>109</v>
      </c>
      <c r="D31" t="s">
        <v>34</v>
      </c>
      <c r="E31" t="s">
        <v>35</v>
      </c>
      <c r="F31" t="s">
        <v>14</v>
      </c>
      <c r="G31">
        <v>66.91</v>
      </c>
      <c r="H31" t="s">
        <v>21</v>
      </c>
      <c r="I31" t="s">
        <v>47</v>
      </c>
      <c r="J31" t="s">
        <v>41</v>
      </c>
    </row>
    <row r="32" spans="1:10" x14ac:dyDescent="0.35">
      <c r="A32" t="s">
        <v>110</v>
      </c>
      <c r="B32" s="1">
        <v>45664</v>
      </c>
      <c r="C32" t="s">
        <v>111</v>
      </c>
      <c r="D32" t="s">
        <v>12</v>
      </c>
      <c r="E32" t="s">
        <v>26</v>
      </c>
      <c r="F32" t="s">
        <v>14</v>
      </c>
      <c r="G32">
        <v>35.270000000000003</v>
      </c>
      <c r="H32" t="s">
        <v>98</v>
      </c>
      <c r="I32" t="s">
        <v>22</v>
      </c>
      <c r="J32" t="s">
        <v>23</v>
      </c>
    </row>
    <row r="33" spans="1:10" x14ac:dyDescent="0.35">
      <c r="A33" t="s">
        <v>112</v>
      </c>
      <c r="B33" s="1">
        <v>45664</v>
      </c>
      <c r="C33" t="s">
        <v>113</v>
      </c>
      <c r="D33" t="s">
        <v>34</v>
      </c>
      <c r="E33" t="s">
        <v>40</v>
      </c>
      <c r="F33" t="s">
        <v>14</v>
      </c>
      <c r="G33">
        <v>165.92</v>
      </c>
      <c r="H33" t="s">
        <v>15</v>
      </c>
      <c r="I33" t="s">
        <v>47</v>
      </c>
      <c r="J33" t="s">
        <v>37</v>
      </c>
    </row>
    <row r="34" spans="1:10" x14ac:dyDescent="0.35">
      <c r="A34" t="s">
        <v>114</v>
      </c>
      <c r="B34" s="1">
        <v>45665</v>
      </c>
      <c r="C34" t="s">
        <v>28</v>
      </c>
      <c r="D34" t="s">
        <v>29</v>
      </c>
      <c r="E34" t="s">
        <v>30</v>
      </c>
      <c r="F34" t="s">
        <v>14</v>
      </c>
      <c r="G34">
        <v>29.28</v>
      </c>
      <c r="H34" t="s">
        <v>21</v>
      </c>
      <c r="I34" t="s">
        <v>47</v>
      </c>
      <c r="J34" t="s">
        <v>31</v>
      </c>
    </row>
    <row r="35" spans="1:10" x14ac:dyDescent="0.35">
      <c r="A35" t="s">
        <v>115</v>
      </c>
      <c r="B35" s="1">
        <v>45665</v>
      </c>
      <c r="C35" t="s">
        <v>116</v>
      </c>
      <c r="D35" t="s">
        <v>80</v>
      </c>
      <c r="E35" t="s">
        <v>117</v>
      </c>
      <c r="F35" t="s">
        <v>14</v>
      </c>
      <c r="G35">
        <v>60.49</v>
      </c>
      <c r="H35" t="s">
        <v>15</v>
      </c>
      <c r="I35" t="s">
        <v>16</v>
      </c>
      <c r="J35" t="s">
        <v>118</v>
      </c>
    </row>
    <row r="36" spans="1:10" x14ac:dyDescent="0.35">
      <c r="A36" t="s">
        <v>119</v>
      </c>
      <c r="B36" s="1">
        <v>45665</v>
      </c>
      <c r="C36" t="s">
        <v>25</v>
      </c>
      <c r="D36" t="s">
        <v>12</v>
      </c>
      <c r="E36" t="s">
        <v>26</v>
      </c>
      <c r="F36" t="s">
        <v>14</v>
      </c>
      <c r="G36">
        <v>46.67</v>
      </c>
      <c r="H36" t="s">
        <v>15</v>
      </c>
      <c r="I36" t="s">
        <v>16</v>
      </c>
      <c r="J36" t="s">
        <v>17</v>
      </c>
    </row>
    <row r="37" spans="1:10" x14ac:dyDescent="0.35">
      <c r="A37" t="s">
        <v>120</v>
      </c>
      <c r="B37" s="1">
        <v>45665</v>
      </c>
      <c r="C37" t="s">
        <v>121</v>
      </c>
      <c r="D37" t="s">
        <v>34</v>
      </c>
      <c r="E37" t="s">
        <v>122</v>
      </c>
      <c r="F37" t="s">
        <v>14</v>
      </c>
      <c r="G37">
        <v>235.05</v>
      </c>
      <c r="H37" t="s">
        <v>98</v>
      </c>
      <c r="I37" t="s">
        <v>22</v>
      </c>
      <c r="J37" t="s">
        <v>123</v>
      </c>
    </row>
    <row r="38" spans="1:10" x14ac:dyDescent="0.35">
      <c r="A38" t="s">
        <v>124</v>
      </c>
      <c r="B38" s="1">
        <v>45665</v>
      </c>
      <c r="C38" t="s">
        <v>125</v>
      </c>
      <c r="D38" t="s">
        <v>12</v>
      </c>
      <c r="E38" t="s">
        <v>13</v>
      </c>
      <c r="F38" t="s">
        <v>14</v>
      </c>
      <c r="G38">
        <v>40.450000000000003</v>
      </c>
      <c r="H38" t="s">
        <v>98</v>
      </c>
      <c r="I38" t="s">
        <v>84</v>
      </c>
      <c r="J38" t="s">
        <v>44</v>
      </c>
    </row>
    <row r="39" spans="1:10" x14ac:dyDescent="0.35">
      <c r="A39" t="s">
        <v>126</v>
      </c>
      <c r="B39" s="1">
        <v>45665</v>
      </c>
      <c r="C39" t="s">
        <v>33</v>
      </c>
      <c r="D39" t="s">
        <v>34</v>
      </c>
      <c r="E39" t="s">
        <v>35</v>
      </c>
      <c r="F39" t="s">
        <v>14</v>
      </c>
      <c r="G39">
        <v>153.05000000000001</v>
      </c>
      <c r="H39" t="s">
        <v>98</v>
      </c>
      <c r="I39" t="s">
        <v>36</v>
      </c>
      <c r="J39" t="s">
        <v>37</v>
      </c>
    </row>
    <row r="40" spans="1:10" x14ac:dyDescent="0.35">
      <c r="A40" t="s">
        <v>127</v>
      </c>
      <c r="B40" s="1">
        <v>45665</v>
      </c>
      <c r="C40" t="s">
        <v>73</v>
      </c>
      <c r="D40" t="s">
        <v>54</v>
      </c>
      <c r="E40" t="s">
        <v>74</v>
      </c>
      <c r="F40" t="s">
        <v>54</v>
      </c>
      <c r="G40">
        <v>1809.07</v>
      </c>
      <c r="H40" t="s">
        <v>21</v>
      </c>
      <c r="I40" t="s">
        <v>47</v>
      </c>
      <c r="J40" t="s">
        <v>65</v>
      </c>
    </row>
    <row r="41" spans="1:10" x14ac:dyDescent="0.35">
      <c r="A41" t="s">
        <v>128</v>
      </c>
      <c r="B41" s="1">
        <v>45666</v>
      </c>
      <c r="C41" t="s">
        <v>91</v>
      </c>
      <c r="D41" t="s">
        <v>80</v>
      </c>
      <c r="E41" t="s">
        <v>92</v>
      </c>
      <c r="F41" t="s">
        <v>14</v>
      </c>
      <c r="G41">
        <v>66.069999999999993</v>
      </c>
      <c r="H41" t="s">
        <v>15</v>
      </c>
      <c r="I41" t="s">
        <v>36</v>
      </c>
      <c r="J41" t="s">
        <v>82</v>
      </c>
    </row>
    <row r="42" spans="1:10" x14ac:dyDescent="0.35">
      <c r="A42" t="s">
        <v>129</v>
      </c>
      <c r="B42" s="1">
        <v>45666</v>
      </c>
      <c r="C42" t="s">
        <v>130</v>
      </c>
      <c r="D42" t="s">
        <v>20</v>
      </c>
      <c r="E42" t="s">
        <v>26</v>
      </c>
      <c r="F42" t="s">
        <v>14</v>
      </c>
      <c r="G42">
        <v>26.36</v>
      </c>
      <c r="H42" t="s">
        <v>15</v>
      </c>
      <c r="I42" t="s">
        <v>22</v>
      </c>
      <c r="J42" t="s">
        <v>48</v>
      </c>
    </row>
    <row r="43" spans="1:10" x14ac:dyDescent="0.35">
      <c r="A43" t="s">
        <v>131</v>
      </c>
      <c r="B43" s="1">
        <v>45666</v>
      </c>
      <c r="C43" t="s">
        <v>132</v>
      </c>
      <c r="D43" t="s">
        <v>69</v>
      </c>
      <c r="E43" t="s">
        <v>70</v>
      </c>
      <c r="F43" t="s">
        <v>14</v>
      </c>
      <c r="G43">
        <v>150.62</v>
      </c>
      <c r="H43" t="s">
        <v>15</v>
      </c>
      <c r="I43" t="s">
        <v>16</v>
      </c>
      <c r="J43" t="s">
        <v>133</v>
      </c>
    </row>
    <row r="44" spans="1:10" x14ac:dyDescent="0.35">
      <c r="A44" t="s">
        <v>134</v>
      </c>
      <c r="B44" s="1">
        <v>45667</v>
      </c>
      <c r="C44" t="s">
        <v>135</v>
      </c>
      <c r="D44" t="s">
        <v>101</v>
      </c>
      <c r="E44" t="s">
        <v>102</v>
      </c>
      <c r="F44" t="s">
        <v>14</v>
      </c>
      <c r="G44">
        <v>26.66</v>
      </c>
      <c r="H44" t="s">
        <v>15</v>
      </c>
      <c r="I44" t="s">
        <v>36</v>
      </c>
      <c r="J44" t="s">
        <v>136</v>
      </c>
    </row>
    <row r="45" spans="1:10" x14ac:dyDescent="0.35">
      <c r="A45" t="s">
        <v>137</v>
      </c>
      <c r="B45" s="1">
        <v>45667</v>
      </c>
      <c r="C45" t="s">
        <v>138</v>
      </c>
      <c r="D45" t="s">
        <v>12</v>
      </c>
      <c r="E45" t="s">
        <v>26</v>
      </c>
      <c r="F45" t="s">
        <v>14</v>
      </c>
      <c r="G45">
        <v>69.569999999999993</v>
      </c>
      <c r="H45" t="s">
        <v>21</v>
      </c>
      <c r="I45" t="s">
        <v>16</v>
      </c>
      <c r="J45" t="s">
        <v>77</v>
      </c>
    </row>
    <row r="46" spans="1:10" x14ac:dyDescent="0.35">
      <c r="A46" t="s">
        <v>139</v>
      </c>
      <c r="B46" s="1">
        <v>45667</v>
      </c>
      <c r="C46" t="s">
        <v>140</v>
      </c>
      <c r="D46" t="s">
        <v>80</v>
      </c>
      <c r="E46" t="s">
        <v>81</v>
      </c>
      <c r="F46" t="s">
        <v>14</v>
      </c>
      <c r="G46">
        <v>36.92</v>
      </c>
      <c r="H46" t="s">
        <v>21</v>
      </c>
      <c r="I46" t="s">
        <v>16</v>
      </c>
      <c r="J46" t="s">
        <v>141</v>
      </c>
    </row>
    <row r="47" spans="1:10" x14ac:dyDescent="0.35">
      <c r="A47" t="s">
        <v>142</v>
      </c>
      <c r="B47" s="1">
        <v>45667</v>
      </c>
      <c r="C47" t="s">
        <v>143</v>
      </c>
      <c r="D47" t="s">
        <v>54</v>
      </c>
      <c r="E47" t="s">
        <v>55</v>
      </c>
      <c r="F47" t="s">
        <v>54</v>
      </c>
      <c r="G47">
        <v>826.05</v>
      </c>
      <c r="H47" t="s">
        <v>98</v>
      </c>
      <c r="I47" t="s">
        <v>84</v>
      </c>
      <c r="J47" t="s">
        <v>89</v>
      </c>
    </row>
    <row r="48" spans="1:10" x14ac:dyDescent="0.35">
      <c r="A48" t="s">
        <v>144</v>
      </c>
      <c r="B48" s="1">
        <v>45667</v>
      </c>
      <c r="C48" t="s">
        <v>43</v>
      </c>
      <c r="D48" t="s">
        <v>12</v>
      </c>
      <c r="E48" t="s">
        <v>26</v>
      </c>
      <c r="F48" t="s">
        <v>14</v>
      </c>
      <c r="G48">
        <v>62.57</v>
      </c>
      <c r="H48" t="s">
        <v>98</v>
      </c>
      <c r="I48" t="s">
        <v>47</v>
      </c>
      <c r="J48" t="s">
        <v>44</v>
      </c>
    </row>
    <row r="49" spans="1:10" x14ac:dyDescent="0.35">
      <c r="A49" t="s">
        <v>145</v>
      </c>
      <c r="B49" s="1">
        <v>45667</v>
      </c>
      <c r="C49" t="s">
        <v>121</v>
      </c>
      <c r="D49" t="s">
        <v>34</v>
      </c>
      <c r="E49" t="s">
        <v>122</v>
      </c>
      <c r="F49" t="s">
        <v>14</v>
      </c>
      <c r="G49">
        <v>259.51</v>
      </c>
      <c r="H49" t="s">
        <v>15</v>
      </c>
      <c r="I49" t="s">
        <v>36</v>
      </c>
      <c r="J49" t="s">
        <v>123</v>
      </c>
    </row>
    <row r="50" spans="1:10" x14ac:dyDescent="0.35">
      <c r="A50" t="s">
        <v>146</v>
      </c>
      <c r="B50" s="1">
        <v>45667</v>
      </c>
      <c r="C50" t="s">
        <v>73</v>
      </c>
      <c r="D50" t="s">
        <v>54</v>
      </c>
      <c r="E50" t="s">
        <v>74</v>
      </c>
      <c r="F50" t="s">
        <v>54</v>
      </c>
      <c r="G50">
        <v>2485.25</v>
      </c>
      <c r="H50" t="s">
        <v>15</v>
      </c>
      <c r="I50" t="s">
        <v>22</v>
      </c>
      <c r="J50" t="s">
        <v>65</v>
      </c>
    </row>
    <row r="51" spans="1:10" x14ac:dyDescent="0.35">
      <c r="A51" t="s">
        <v>147</v>
      </c>
      <c r="B51" s="1">
        <v>45668</v>
      </c>
      <c r="C51" t="s">
        <v>88</v>
      </c>
      <c r="D51" t="s">
        <v>54</v>
      </c>
      <c r="E51" t="s">
        <v>74</v>
      </c>
      <c r="F51" t="s">
        <v>54</v>
      </c>
      <c r="G51">
        <v>2341.54</v>
      </c>
      <c r="H51" t="s">
        <v>15</v>
      </c>
      <c r="I51" t="s">
        <v>36</v>
      </c>
      <c r="J51" t="s">
        <v>89</v>
      </c>
    </row>
    <row r="52" spans="1:10" x14ac:dyDescent="0.35">
      <c r="A52" t="s">
        <v>148</v>
      </c>
      <c r="B52" s="1">
        <v>45668</v>
      </c>
      <c r="C52" t="s">
        <v>125</v>
      </c>
      <c r="D52" t="s">
        <v>12</v>
      </c>
      <c r="E52" t="s">
        <v>13</v>
      </c>
      <c r="F52" t="s">
        <v>14</v>
      </c>
      <c r="G52">
        <v>61.43</v>
      </c>
      <c r="H52" t="s">
        <v>15</v>
      </c>
      <c r="I52" t="s">
        <v>16</v>
      </c>
      <c r="J52" t="s">
        <v>44</v>
      </c>
    </row>
    <row r="53" spans="1:10" x14ac:dyDescent="0.35">
      <c r="A53" t="s">
        <v>149</v>
      </c>
      <c r="B53" s="1">
        <v>45668</v>
      </c>
      <c r="C53" t="s">
        <v>150</v>
      </c>
      <c r="D53" t="s">
        <v>29</v>
      </c>
      <c r="E53" t="s">
        <v>30</v>
      </c>
      <c r="F53" t="s">
        <v>14</v>
      </c>
      <c r="G53">
        <v>75.489999999999995</v>
      </c>
      <c r="H53" t="s">
        <v>15</v>
      </c>
      <c r="I53" t="s">
        <v>36</v>
      </c>
      <c r="J53" t="s">
        <v>151</v>
      </c>
    </row>
    <row r="54" spans="1:10" x14ac:dyDescent="0.35">
      <c r="A54" t="s">
        <v>152</v>
      </c>
      <c r="B54" s="1">
        <v>45669</v>
      </c>
      <c r="C54" t="s">
        <v>153</v>
      </c>
      <c r="D54" t="s">
        <v>34</v>
      </c>
      <c r="E54" t="s">
        <v>122</v>
      </c>
      <c r="F54" t="s">
        <v>14</v>
      </c>
      <c r="G54">
        <v>221.92</v>
      </c>
      <c r="H54" t="s">
        <v>15</v>
      </c>
      <c r="I54" t="s">
        <v>22</v>
      </c>
      <c r="J54" t="s">
        <v>41</v>
      </c>
    </row>
    <row r="55" spans="1:10" x14ac:dyDescent="0.35">
      <c r="A55" t="s">
        <v>154</v>
      </c>
      <c r="B55" s="1">
        <v>45669</v>
      </c>
      <c r="C55" t="s">
        <v>155</v>
      </c>
      <c r="D55" t="s">
        <v>12</v>
      </c>
      <c r="E55" t="s">
        <v>51</v>
      </c>
      <c r="F55" t="s">
        <v>14</v>
      </c>
      <c r="G55">
        <v>81.86</v>
      </c>
      <c r="H55" t="s">
        <v>98</v>
      </c>
      <c r="I55" t="s">
        <v>47</v>
      </c>
      <c r="J55" t="s">
        <v>48</v>
      </c>
    </row>
    <row r="56" spans="1:10" x14ac:dyDescent="0.35">
      <c r="A56" t="s">
        <v>156</v>
      </c>
      <c r="B56" s="1">
        <v>45670</v>
      </c>
      <c r="C56" t="s">
        <v>157</v>
      </c>
      <c r="D56" t="s">
        <v>29</v>
      </c>
      <c r="E56" t="s">
        <v>95</v>
      </c>
      <c r="F56" t="s">
        <v>14</v>
      </c>
      <c r="G56">
        <v>62.12</v>
      </c>
      <c r="H56" t="s">
        <v>98</v>
      </c>
      <c r="I56" t="s">
        <v>36</v>
      </c>
      <c r="J56" t="s">
        <v>158</v>
      </c>
    </row>
    <row r="57" spans="1:10" x14ac:dyDescent="0.35">
      <c r="A57" t="s">
        <v>159</v>
      </c>
      <c r="B57" s="1">
        <v>45670</v>
      </c>
      <c r="C57" t="s">
        <v>160</v>
      </c>
      <c r="D57" t="s">
        <v>80</v>
      </c>
      <c r="E57" t="s">
        <v>117</v>
      </c>
      <c r="F57" t="s">
        <v>14</v>
      </c>
      <c r="G57">
        <v>250</v>
      </c>
      <c r="H57" t="s">
        <v>15</v>
      </c>
      <c r="I57" t="s">
        <v>16</v>
      </c>
      <c r="J57" t="s">
        <v>161</v>
      </c>
    </row>
    <row r="58" spans="1:10" x14ac:dyDescent="0.35">
      <c r="A58" t="s">
        <v>162</v>
      </c>
      <c r="B58" s="1">
        <v>45671</v>
      </c>
      <c r="C58" t="s">
        <v>163</v>
      </c>
      <c r="D58" t="s">
        <v>80</v>
      </c>
      <c r="E58" t="s">
        <v>92</v>
      </c>
      <c r="F58" t="s">
        <v>14</v>
      </c>
      <c r="G58">
        <v>64.67</v>
      </c>
      <c r="H58" t="s">
        <v>15</v>
      </c>
      <c r="I58" t="s">
        <v>22</v>
      </c>
      <c r="J58" t="s">
        <v>118</v>
      </c>
    </row>
    <row r="59" spans="1:10" x14ac:dyDescent="0.35">
      <c r="A59" t="s">
        <v>164</v>
      </c>
      <c r="B59" s="1">
        <v>45671</v>
      </c>
      <c r="C59" t="s">
        <v>91</v>
      </c>
      <c r="D59" t="s">
        <v>80</v>
      </c>
      <c r="E59" t="s">
        <v>92</v>
      </c>
      <c r="F59" t="s">
        <v>14</v>
      </c>
      <c r="G59">
        <v>193.27</v>
      </c>
      <c r="H59" t="s">
        <v>21</v>
      </c>
      <c r="I59" t="s">
        <v>22</v>
      </c>
      <c r="J59" t="s">
        <v>82</v>
      </c>
    </row>
    <row r="60" spans="1:10" x14ac:dyDescent="0.35">
      <c r="A60" t="s">
        <v>165</v>
      </c>
      <c r="B60" s="1">
        <v>45671</v>
      </c>
      <c r="C60" t="s">
        <v>73</v>
      </c>
      <c r="D60" t="s">
        <v>54</v>
      </c>
      <c r="E60" t="s">
        <v>74</v>
      </c>
      <c r="F60" t="s">
        <v>54</v>
      </c>
      <c r="G60">
        <v>2366</v>
      </c>
      <c r="H60" t="s">
        <v>15</v>
      </c>
      <c r="I60" t="s">
        <v>22</v>
      </c>
      <c r="J60" t="s">
        <v>65</v>
      </c>
    </row>
    <row r="61" spans="1:10" x14ac:dyDescent="0.35">
      <c r="A61" t="s">
        <v>166</v>
      </c>
      <c r="B61" s="1">
        <v>45671</v>
      </c>
      <c r="C61" t="s">
        <v>91</v>
      </c>
      <c r="D61" t="s">
        <v>80</v>
      </c>
      <c r="E61" t="s">
        <v>92</v>
      </c>
      <c r="F61" t="s">
        <v>14</v>
      </c>
      <c r="G61">
        <v>52.8</v>
      </c>
      <c r="H61" t="s">
        <v>15</v>
      </c>
      <c r="I61" t="s">
        <v>22</v>
      </c>
      <c r="J61" t="s">
        <v>82</v>
      </c>
    </row>
    <row r="62" spans="1:10" x14ac:dyDescent="0.35">
      <c r="A62" t="s">
        <v>167</v>
      </c>
      <c r="B62" s="1">
        <v>45671</v>
      </c>
      <c r="C62" t="s">
        <v>168</v>
      </c>
      <c r="D62" t="s">
        <v>169</v>
      </c>
      <c r="E62" t="s">
        <v>60</v>
      </c>
      <c r="F62" t="s">
        <v>14</v>
      </c>
      <c r="G62">
        <v>119.45</v>
      </c>
      <c r="H62" t="s">
        <v>15</v>
      </c>
      <c r="I62" t="s">
        <v>22</v>
      </c>
      <c r="J62" t="s">
        <v>170</v>
      </c>
    </row>
    <row r="63" spans="1:10" x14ac:dyDescent="0.35">
      <c r="A63" t="s">
        <v>171</v>
      </c>
      <c r="B63" s="1">
        <v>45671</v>
      </c>
      <c r="C63" t="s">
        <v>172</v>
      </c>
      <c r="D63" t="s">
        <v>101</v>
      </c>
      <c r="E63" t="s">
        <v>102</v>
      </c>
      <c r="F63" t="s">
        <v>14</v>
      </c>
      <c r="G63">
        <v>46.46</v>
      </c>
      <c r="H63" t="s">
        <v>15</v>
      </c>
      <c r="I63" t="s">
        <v>47</v>
      </c>
      <c r="J63" t="s">
        <v>102</v>
      </c>
    </row>
    <row r="64" spans="1:10" x14ac:dyDescent="0.35">
      <c r="A64" t="s">
        <v>173</v>
      </c>
      <c r="B64" s="1">
        <v>45672</v>
      </c>
      <c r="C64" t="s">
        <v>58</v>
      </c>
      <c r="D64" t="s">
        <v>59</v>
      </c>
      <c r="E64" t="s">
        <v>60</v>
      </c>
      <c r="F64" t="s">
        <v>14</v>
      </c>
      <c r="G64">
        <v>670.95</v>
      </c>
      <c r="H64" t="s">
        <v>15</v>
      </c>
      <c r="I64" t="s">
        <v>22</v>
      </c>
      <c r="J64" t="s">
        <v>61</v>
      </c>
    </row>
    <row r="65" spans="1:10" x14ac:dyDescent="0.35">
      <c r="A65" t="s">
        <v>174</v>
      </c>
      <c r="B65" s="1">
        <v>45672</v>
      </c>
      <c r="C65" t="s">
        <v>175</v>
      </c>
      <c r="D65" t="s">
        <v>80</v>
      </c>
      <c r="E65" t="s">
        <v>92</v>
      </c>
      <c r="F65" t="s">
        <v>14</v>
      </c>
      <c r="G65">
        <v>41.63</v>
      </c>
      <c r="H65" t="s">
        <v>15</v>
      </c>
      <c r="I65" t="s">
        <v>36</v>
      </c>
      <c r="J65" t="s">
        <v>141</v>
      </c>
    </row>
    <row r="66" spans="1:10" x14ac:dyDescent="0.35">
      <c r="A66" t="s">
        <v>176</v>
      </c>
      <c r="B66" s="1">
        <v>45672</v>
      </c>
      <c r="C66" t="s">
        <v>177</v>
      </c>
      <c r="D66" t="s">
        <v>54</v>
      </c>
      <c r="E66" t="s">
        <v>74</v>
      </c>
      <c r="F66" t="s">
        <v>54</v>
      </c>
      <c r="G66">
        <v>2476.86</v>
      </c>
      <c r="H66" t="s">
        <v>15</v>
      </c>
      <c r="I66" t="s">
        <v>22</v>
      </c>
      <c r="J66" t="s">
        <v>56</v>
      </c>
    </row>
    <row r="67" spans="1:10" x14ac:dyDescent="0.35">
      <c r="A67" t="s">
        <v>178</v>
      </c>
      <c r="B67" s="1">
        <v>45672</v>
      </c>
      <c r="C67" t="s">
        <v>179</v>
      </c>
      <c r="D67" t="s">
        <v>80</v>
      </c>
      <c r="E67" t="s">
        <v>117</v>
      </c>
      <c r="F67" t="s">
        <v>14</v>
      </c>
      <c r="G67">
        <v>51.84</v>
      </c>
      <c r="H67" t="s">
        <v>15</v>
      </c>
      <c r="I67" t="s">
        <v>22</v>
      </c>
      <c r="J67" t="s">
        <v>180</v>
      </c>
    </row>
    <row r="68" spans="1:10" x14ac:dyDescent="0.35">
      <c r="A68" t="s">
        <v>181</v>
      </c>
      <c r="B68" s="1">
        <v>45673</v>
      </c>
      <c r="C68" t="s">
        <v>172</v>
      </c>
      <c r="D68" t="s">
        <v>101</v>
      </c>
      <c r="E68" t="s">
        <v>102</v>
      </c>
      <c r="F68" t="s">
        <v>14</v>
      </c>
      <c r="G68">
        <v>100.38</v>
      </c>
      <c r="H68" t="s">
        <v>15</v>
      </c>
      <c r="I68" t="s">
        <v>47</v>
      </c>
      <c r="J68" t="s">
        <v>102</v>
      </c>
    </row>
    <row r="69" spans="1:10" x14ac:dyDescent="0.35">
      <c r="A69" t="s">
        <v>182</v>
      </c>
      <c r="B69" s="1">
        <v>45673</v>
      </c>
      <c r="C69" t="s">
        <v>73</v>
      </c>
      <c r="D69" t="s">
        <v>54</v>
      </c>
      <c r="E69" t="s">
        <v>74</v>
      </c>
      <c r="F69" t="s">
        <v>54</v>
      </c>
      <c r="G69">
        <v>2586.7199999999998</v>
      </c>
      <c r="H69" t="s">
        <v>98</v>
      </c>
      <c r="I69" t="s">
        <v>22</v>
      </c>
      <c r="J69" t="s">
        <v>65</v>
      </c>
    </row>
    <row r="70" spans="1:10" x14ac:dyDescent="0.35">
      <c r="A70" t="s">
        <v>183</v>
      </c>
      <c r="B70" s="1">
        <v>45673</v>
      </c>
      <c r="C70" t="s">
        <v>184</v>
      </c>
      <c r="D70" t="s">
        <v>59</v>
      </c>
      <c r="E70" t="s">
        <v>185</v>
      </c>
      <c r="F70" t="s">
        <v>14</v>
      </c>
      <c r="G70">
        <v>523.15</v>
      </c>
      <c r="H70" t="s">
        <v>15</v>
      </c>
      <c r="I70" t="s">
        <v>22</v>
      </c>
      <c r="J70" t="s">
        <v>61</v>
      </c>
    </row>
    <row r="71" spans="1:10" x14ac:dyDescent="0.35">
      <c r="A71" t="s">
        <v>186</v>
      </c>
      <c r="B71" s="1">
        <v>45673</v>
      </c>
      <c r="C71" t="s">
        <v>113</v>
      </c>
      <c r="D71" t="s">
        <v>34</v>
      </c>
      <c r="E71" t="s">
        <v>40</v>
      </c>
      <c r="F71" t="s">
        <v>14</v>
      </c>
      <c r="G71">
        <v>313.49</v>
      </c>
      <c r="H71" t="s">
        <v>15</v>
      </c>
      <c r="I71" t="s">
        <v>22</v>
      </c>
      <c r="J71" t="s">
        <v>37</v>
      </c>
    </row>
    <row r="72" spans="1:10" x14ac:dyDescent="0.35">
      <c r="A72" t="s">
        <v>187</v>
      </c>
      <c r="B72" s="1">
        <v>45673</v>
      </c>
      <c r="C72" t="s">
        <v>94</v>
      </c>
      <c r="D72" t="s">
        <v>29</v>
      </c>
      <c r="E72" t="s">
        <v>95</v>
      </c>
      <c r="F72" t="s">
        <v>14</v>
      </c>
      <c r="G72">
        <v>7.4</v>
      </c>
      <c r="H72" t="s">
        <v>15</v>
      </c>
      <c r="I72" t="s">
        <v>22</v>
      </c>
      <c r="J72" t="s">
        <v>96</v>
      </c>
    </row>
    <row r="73" spans="1:10" x14ac:dyDescent="0.35">
      <c r="A73" t="s">
        <v>188</v>
      </c>
      <c r="B73" s="1">
        <v>45673</v>
      </c>
      <c r="C73" t="s">
        <v>189</v>
      </c>
      <c r="D73" t="s">
        <v>34</v>
      </c>
      <c r="E73" t="s">
        <v>122</v>
      </c>
      <c r="F73" t="s">
        <v>14</v>
      </c>
      <c r="G73">
        <v>169.38</v>
      </c>
      <c r="H73" t="s">
        <v>15</v>
      </c>
      <c r="I73" t="s">
        <v>22</v>
      </c>
      <c r="J73" t="s">
        <v>37</v>
      </c>
    </row>
    <row r="74" spans="1:10" x14ac:dyDescent="0.35">
      <c r="A74" t="s">
        <v>190</v>
      </c>
      <c r="B74" s="1">
        <v>45674</v>
      </c>
      <c r="C74" t="s">
        <v>53</v>
      </c>
      <c r="D74" t="s">
        <v>54</v>
      </c>
      <c r="E74" t="s">
        <v>55</v>
      </c>
      <c r="F74" t="s">
        <v>54</v>
      </c>
      <c r="G74">
        <v>750.69</v>
      </c>
      <c r="H74" t="s">
        <v>15</v>
      </c>
      <c r="I74" t="s">
        <v>36</v>
      </c>
      <c r="J74" t="s">
        <v>56</v>
      </c>
    </row>
    <row r="75" spans="1:10" x14ac:dyDescent="0.35">
      <c r="A75" t="s">
        <v>191</v>
      </c>
      <c r="B75" s="1">
        <v>45674</v>
      </c>
      <c r="C75" t="s">
        <v>192</v>
      </c>
      <c r="D75" t="s">
        <v>80</v>
      </c>
      <c r="E75" t="s">
        <v>92</v>
      </c>
      <c r="F75" t="s">
        <v>14</v>
      </c>
      <c r="G75">
        <v>139.77000000000001</v>
      </c>
      <c r="H75" t="s">
        <v>98</v>
      </c>
      <c r="I75" t="s">
        <v>47</v>
      </c>
      <c r="J75" t="s">
        <v>180</v>
      </c>
    </row>
    <row r="76" spans="1:10" x14ac:dyDescent="0.35">
      <c r="A76" t="s">
        <v>193</v>
      </c>
      <c r="B76" s="1">
        <v>45674</v>
      </c>
      <c r="C76" t="s">
        <v>194</v>
      </c>
      <c r="D76" t="s">
        <v>101</v>
      </c>
      <c r="E76" t="s">
        <v>136</v>
      </c>
      <c r="F76" t="s">
        <v>14</v>
      </c>
      <c r="G76">
        <v>26.33</v>
      </c>
      <c r="H76" t="s">
        <v>15</v>
      </c>
      <c r="I76" t="s">
        <v>22</v>
      </c>
      <c r="J76" t="s">
        <v>103</v>
      </c>
    </row>
    <row r="77" spans="1:10" x14ac:dyDescent="0.35">
      <c r="A77" t="s">
        <v>195</v>
      </c>
      <c r="B77" s="1">
        <v>45674</v>
      </c>
      <c r="C77" t="s">
        <v>88</v>
      </c>
      <c r="D77" t="s">
        <v>54</v>
      </c>
      <c r="E77" t="s">
        <v>74</v>
      </c>
      <c r="F77" t="s">
        <v>54</v>
      </c>
      <c r="G77">
        <v>2600.14</v>
      </c>
      <c r="H77" t="s">
        <v>15</v>
      </c>
      <c r="I77" t="s">
        <v>84</v>
      </c>
      <c r="J77" t="s">
        <v>89</v>
      </c>
    </row>
    <row r="78" spans="1:10" x14ac:dyDescent="0.35">
      <c r="A78" t="s">
        <v>196</v>
      </c>
      <c r="B78" s="1">
        <v>45674</v>
      </c>
      <c r="C78" t="s">
        <v>153</v>
      </c>
      <c r="D78" t="s">
        <v>34</v>
      </c>
      <c r="E78" t="s">
        <v>122</v>
      </c>
      <c r="F78" t="s">
        <v>14</v>
      </c>
      <c r="G78">
        <v>167.48</v>
      </c>
      <c r="H78" t="s">
        <v>15</v>
      </c>
      <c r="I78" t="s">
        <v>22</v>
      </c>
      <c r="J78" t="s">
        <v>41</v>
      </c>
    </row>
    <row r="79" spans="1:10" x14ac:dyDescent="0.35">
      <c r="A79" t="s">
        <v>197</v>
      </c>
      <c r="B79" s="1">
        <v>45674</v>
      </c>
      <c r="C79" t="s">
        <v>198</v>
      </c>
      <c r="D79" t="s">
        <v>59</v>
      </c>
      <c r="E79" t="s">
        <v>199</v>
      </c>
      <c r="F79" t="s">
        <v>14</v>
      </c>
      <c r="G79">
        <v>52.8</v>
      </c>
      <c r="H79" t="s">
        <v>15</v>
      </c>
      <c r="I79" t="s">
        <v>22</v>
      </c>
      <c r="J79" t="s">
        <v>61</v>
      </c>
    </row>
    <row r="80" spans="1:10" x14ac:dyDescent="0.35">
      <c r="A80" t="s">
        <v>200</v>
      </c>
      <c r="B80" s="1">
        <v>45674</v>
      </c>
      <c r="C80" t="s">
        <v>25</v>
      </c>
      <c r="D80" t="s">
        <v>12</v>
      </c>
      <c r="E80" t="s">
        <v>26</v>
      </c>
      <c r="F80" t="s">
        <v>14</v>
      </c>
      <c r="G80">
        <v>16.420000000000002</v>
      </c>
      <c r="H80" t="s">
        <v>21</v>
      </c>
      <c r="I80" t="s">
        <v>22</v>
      </c>
      <c r="J80" t="s">
        <v>17</v>
      </c>
    </row>
    <row r="81" spans="1:10" x14ac:dyDescent="0.35">
      <c r="A81" t="s">
        <v>201</v>
      </c>
      <c r="B81" s="1">
        <v>45674</v>
      </c>
      <c r="C81" t="s">
        <v>189</v>
      </c>
      <c r="D81" t="s">
        <v>34</v>
      </c>
      <c r="E81" t="s">
        <v>122</v>
      </c>
      <c r="F81" t="s">
        <v>14</v>
      </c>
      <c r="G81">
        <v>164.74</v>
      </c>
      <c r="H81" t="s">
        <v>15</v>
      </c>
      <c r="I81" t="s">
        <v>36</v>
      </c>
      <c r="J81" t="s">
        <v>37</v>
      </c>
    </row>
    <row r="82" spans="1:10" x14ac:dyDescent="0.35">
      <c r="A82" t="s">
        <v>202</v>
      </c>
      <c r="B82" s="1">
        <v>45674</v>
      </c>
      <c r="C82" t="s">
        <v>172</v>
      </c>
      <c r="D82" t="s">
        <v>101</v>
      </c>
      <c r="E82" t="s">
        <v>102</v>
      </c>
      <c r="F82" t="s">
        <v>14</v>
      </c>
      <c r="G82">
        <v>99.17</v>
      </c>
      <c r="H82" t="s">
        <v>15</v>
      </c>
      <c r="I82" t="s">
        <v>22</v>
      </c>
      <c r="J82" t="s">
        <v>102</v>
      </c>
    </row>
    <row r="83" spans="1:10" x14ac:dyDescent="0.35">
      <c r="A83" t="s">
        <v>203</v>
      </c>
      <c r="B83" s="1">
        <v>45675</v>
      </c>
      <c r="C83" t="s">
        <v>204</v>
      </c>
      <c r="D83" t="s">
        <v>12</v>
      </c>
      <c r="E83" t="s">
        <v>51</v>
      </c>
      <c r="F83" t="s">
        <v>14</v>
      </c>
      <c r="G83">
        <v>102.04</v>
      </c>
      <c r="H83" t="s">
        <v>15</v>
      </c>
      <c r="I83" t="s">
        <v>47</v>
      </c>
      <c r="J83" t="s">
        <v>23</v>
      </c>
    </row>
    <row r="84" spans="1:10" x14ac:dyDescent="0.35">
      <c r="A84" t="s">
        <v>205</v>
      </c>
      <c r="B84" s="1">
        <v>45675</v>
      </c>
      <c r="C84" t="s">
        <v>206</v>
      </c>
      <c r="D84" t="s">
        <v>29</v>
      </c>
      <c r="E84" t="s">
        <v>95</v>
      </c>
      <c r="F84" t="s">
        <v>14</v>
      </c>
      <c r="G84">
        <v>28.65</v>
      </c>
      <c r="H84" t="s">
        <v>21</v>
      </c>
      <c r="I84" t="s">
        <v>22</v>
      </c>
      <c r="J84" t="s">
        <v>31</v>
      </c>
    </row>
    <row r="85" spans="1:10" x14ac:dyDescent="0.35">
      <c r="A85" t="s">
        <v>207</v>
      </c>
      <c r="B85" s="1">
        <v>45675</v>
      </c>
      <c r="C85" t="s">
        <v>58</v>
      </c>
      <c r="D85" t="s">
        <v>59</v>
      </c>
      <c r="E85" t="s">
        <v>60</v>
      </c>
      <c r="F85" t="s">
        <v>14</v>
      </c>
      <c r="G85">
        <v>650.85</v>
      </c>
      <c r="H85" t="s">
        <v>21</v>
      </c>
      <c r="I85" t="s">
        <v>36</v>
      </c>
      <c r="J85" t="s">
        <v>61</v>
      </c>
    </row>
    <row r="86" spans="1:10" x14ac:dyDescent="0.35">
      <c r="A86" t="s">
        <v>208</v>
      </c>
      <c r="B86" s="1">
        <v>45675</v>
      </c>
      <c r="C86" t="s">
        <v>50</v>
      </c>
      <c r="D86" t="s">
        <v>12</v>
      </c>
      <c r="E86" t="s">
        <v>51</v>
      </c>
      <c r="F86" t="s">
        <v>14</v>
      </c>
      <c r="G86">
        <v>64.739999999999995</v>
      </c>
      <c r="H86" t="s">
        <v>15</v>
      </c>
      <c r="I86" t="s">
        <v>22</v>
      </c>
      <c r="J86" t="s">
        <v>44</v>
      </c>
    </row>
    <row r="87" spans="1:10" x14ac:dyDescent="0.35">
      <c r="A87" t="s">
        <v>209</v>
      </c>
      <c r="B87" s="1">
        <v>45675</v>
      </c>
      <c r="C87" t="s">
        <v>210</v>
      </c>
      <c r="D87" t="s">
        <v>59</v>
      </c>
      <c r="E87" t="s">
        <v>185</v>
      </c>
      <c r="F87" t="s">
        <v>14</v>
      </c>
      <c r="G87">
        <v>251.3</v>
      </c>
      <c r="H87" t="s">
        <v>98</v>
      </c>
      <c r="I87" t="s">
        <v>47</v>
      </c>
      <c r="J87" t="s">
        <v>211</v>
      </c>
    </row>
    <row r="88" spans="1:10" x14ac:dyDescent="0.35">
      <c r="A88" t="s">
        <v>212</v>
      </c>
      <c r="B88" s="1">
        <v>45675</v>
      </c>
      <c r="C88" t="s">
        <v>160</v>
      </c>
      <c r="D88" t="s">
        <v>80</v>
      </c>
      <c r="E88" t="s">
        <v>117</v>
      </c>
      <c r="F88" t="s">
        <v>14</v>
      </c>
      <c r="G88">
        <v>91.07</v>
      </c>
      <c r="H88" t="s">
        <v>21</v>
      </c>
      <c r="I88" t="s">
        <v>22</v>
      </c>
      <c r="J88" t="s">
        <v>161</v>
      </c>
    </row>
    <row r="89" spans="1:10" x14ac:dyDescent="0.35">
      <c r="A89" t="s">
        <v>213</v>
      </c>
      <c r="B89" s="1">
        <v>45675</v>
      </c>
      <c r="C89" t="s">
        <v>58</v>
      </c>
      <c r="D89" t="s">
        <v>59</v>
      </c>
      <c r="E89" t="s">
        <v>60</v>
      </c>
      <c r="F89" t="s">
        <v>14</v>
      </c>
      <c r="G89">
        <v>372.97</v>
      </c>
      <c r="H89" t="s">
        <v>98</v>
      </c>
      <c r="I89" t="s">
        <v>36</v>
      </c>
      <c r="J89" t="s">
        <v>61</v>
      </c>
    </row>
    <row r="90" spans="1:10" x14ac:dyDescent="0.35">
      <c r="A90" t="s">
        <v>214</v>
      </c>
      <c r="B90" s="1">
        <v>45675</v>
      </c>
      <c r="C90" t="s">
        <v>215</v>
      </c>
      <c r="D90" t="s">
        <v>80</v>
      </c>
      <c r="E90" t="s">
        <v>117</v>
      </c>
      <c r="F90" t="s">
        <v>14</v>
      </c>
      <c r="G90">
        <v>250</v>
      </c>
      <c r="H90" t="s">
        <v>21</v>
      </c>
      <c r="I90" t="s">
        <v>47</v>
      </c>
      <c r="J90" t="s">
        <v>141</v>
      </c>
    </row>
    <row r="91" spans="1:10" x14ac:dyDescent="0.35">
      <c r="A91" t="s">
        <v>216</v>
      </c>
      <c r="B91" s="1">
        <v>45675</v>
      </c>
      <c r="C91" t="s">
        <v>217</v>
      </c>
      <c r="D91" t="s">
        <v>80</v>
      </c>
      <c r="E91" t="s">
        <v>81</v>
      </c>
      <c r="F91" t="s">
        <v>14</v>
      </c>
      <c r="G91">
        <v>27.01</v>
      </c>
      <c r="H91" t="s">
        <v>15</v>
      </c>
      <c r="I91" t="s">
        <v>47</v>
      </c>
      <c r="J91" t="s">
        <v>180</v>
      </c>
    </row>
    <row r="92" spans="1:10" x14ac:dyDescent="0.35">
      <c r="A92" t="s">
        <v>218</v>
      </c>
      <c r="B92" s="1">
        <v>45676</v>
      </c>
      <c r="C92" t="s">
        <v>88</v>
      </c>
      <c r="D92" t="s">
        <v>54</v>
      </c>
      <c r="E92" t="s">
        <v>74</v>
      </c>
      <c r="F92" t="s">
        <v>54</v>
      </c>
      <c r="G92">
        <v>2034.36</v>
      </c>
      <c r="H92" t="s">
        <v>15</v>
      </c>
      <c r="I92" t="s">
        <v>47</v>
      </c>
      <c r="J92" t="s">
        <v>89</v>
      </c>
    </row>
    <row r="93" spans="1:10" x14ac:dyDescent="0.35">
      <c r="A93" t="s">
        <v>219</v>
      </c>
      <c r="B93" s="1">
        <v>45676</v>
      </c>
      <c r="C93" t="s">
        <v>220</v>
      </c>
      <c r="D93" t="s">
        <v>59</v>
      </c>
      <c r="E93" t="s">
        <v>199</v>
      </c>
      <c r="F93" t="s">
        <v>14</v>
      </c>
      <c r="G93">
        <v>343.75</v>
      </c>
      <c r="H93" t="s">
        <v>15</v>
      </c>
      <c r="I93" t="s">
        <v>22</v>
      </c>
      <c r="J93" t="s">
        <v>211</v>
      </c>
    </row>
    <row r="94" spans="1:10" x14ac:dyDescent="0.35">
      <c r="A94" t="s">
        <v>221</v>
      </c>
      <c r="B94" s="1">
        <v>45676</v>
      </c>
      <c r="C94" t="s">
        <v>206</v>
      </c>
      <c r="D94" t="s">
        <v>29</v>
      </c>
      <c r="E94" t="s">
        <v>95</v>
      </c>
      <c r="F94" t="s">
        <v>14</v>
      </c>
      <c r="G94">
        <v>71.099999999999994</v>
      </c>
      <c r="H94" t="s">
        <v>15</v>
      </c>
      <c r="I94" t="s">
        <v>36</v>
      </c>
      <c r="J94" t="s">
        <v>31</v>
      </c>
    </row>
    <row r="95" spans="1:10" x14ac:dyDescent="0.35">
      <c r="A95" t="s">
        <v>222</v>
      </c>
      <c r="B95" s="1">
        <v>45676</v>
      </c>
      <c r="C95" t="s">
        <v>157</v>
      </c>
      <c r="D95" t="s">
        <v>29</v>
      </c>
      <c r="E95" t="s">
        <v>95</v>
      </c>
      <c r="F95" t="s">
        <v>14</v>
      </c>
      <c r="G95">
        <v>24.84</v>
      </c>
      <c r="H95" t="s">
        <v>15</v>
      </c>
      <c r="I95" t="s">
        <v>22</v>
      </c>
      <c r="J95" t="s">
        <v>158</v>
      </c>
    </row>
    <row r="96" spans="1:10" x14ac:dyDescent="0.35">
      <c r="A96" t="s">
        <v>223</v>
      </c>
      <c r="B96" s="1">
        <v>45676</v>
      </c>
      <c r="C96" t="s">
        <v>155</v>
      </c>
      <c r="D96" t="s">
        <v>12</v>
      </c>
      <c r="E96" t="s">
        <v>51</v>
      </c>
      <c r="F96" t="s">
        <v>14</v>
      </c>
      <c r="G96">
        <v>52.98</v>
      </c>
      <c r="H96" t="s">
        <v>15</v>
      </c>
      <c r="I96" t="s">
        <v>36</v>
      </c>
      <c r="J96" t="s">
        <v>48</v>
      </c>
    </row>
    <row r="97" spans="1:10" x14ac:dyDescent="0.35">
      <c r="A97" t="s">
        <v>224</v>
      </c>
      <c r="B97" s="1">
        <v>45676</v>
      </c>
      <c r="C97" t="s">
        <v>138</v>
      </c>
      <c r="D97" t="s">
        <v>12</v>
      </c>
      <c r="E97" t="s">
        <v>26</v>
      </c>
      <c r="F97" t="s">
        <v>14</v>
      </c>
      <c r="G97">
        <v>37.64</v>
      </c>
      <c r="H97" t="s">
        <v>21</v>
      </c>
      <c r="I97" t="s">
        <v>16</v>
      </c>
      <c r="J97" t="s">
        <v>77</v>
      </c>
    </row>
    <row r="98" spans="1:10" x14ac:dyDescent="0.35">
      <c r="A98" t="s">
        <v>225</v>
      </c>
      <c r="B98" s="1">
        <v>45676</v>
      </c>
      <c r="C98" t="s">
        <v>217</v>
      </c>
      <c r="D98" t="s">
        <v>80</v>
      </c>
      <c r="E98" t="s">
        <v>81</v>
      </c>
      <c r="F98" t="s">
        <v>14</v>
      </c>
      <c r="G98">
        <v>28.58</v>
      </c>
      <c r="H98" t="s">
        <v>21</v>
      </c>
      <c r="I98" t="s">
        <v>22</v>
      </c>
      <c r="J98" t="s">
        <v>180</v>
      </c>
    </row>
    <row r="99" spans="1:10" x14ac:dyDescent="0.35">
      <c r="A99" t="s">
        <v>226</v>
      </c>
      <c r="B99" s="1">
        <v>45676</v>
      </c>
      <c r="C99" t="s">
        <v>227</v>
      </c>
      <c r="D99" t="s">
        <v>12</v>
      </c>
      <c r="E99" t="s">
        <v>51</v>
      </c>
      <c r="F99" t="s">
        <v>14</v>
      </c>
      <c r="G99">
        <v>82.11</v>
      </c>
      <c r="H99" t="s">
        <v>15</v>
      </c>
      <c r="I99" t="s">
        <v>36</v>
      </c>
      <c r="J99" t="s">
        <v>17</v>
      </c>
    </row>
    <row r="100" spans="1:10" x14ac:dyDescent="0.35">
      <c r="A100" t="s">
        <v>228</v>
      </c>
      <c r="B100" s="1">
        <v>45677</v>
      </c>
      <c r="C100" t="s">
        <v>229</v>
      </c>
      <c r="D100" t="s">
        <v>54</v>
      </c>
      <c r="E100" t="s">
        <v>64</v>
      </c>
      <c r="F100" t="s">
        <v>54</v>
      </c>
      <c r="G100">
        <v>291.68</v>
      </c>
      <c r="H100" t="s">
        <v>15</v>
      </c>
      <c r="I100" t="s">
        <v>47</v>
      </c>
      <c r="J100" t="s">
        <v>56</v>
      </c>
    </row>
    <row r="101" spans="1:10" x14ac:dyDescent="0.35">
      <c r="A101" t="s">
        <v>230</v>
      </c>
      <c r="B101" s="1">
        <v>45677</v>
      </c>
      <c r="C101" t="s">
        <v>73</v>
      </c>
      <c r="D101" t="s">
        <v>54</v>
      </c>
      <c r="E101" t="s">
        <v>74</v>
      </c>
      <c r="F101" t="s">
        <v>54</v>
      </c>
      <c r="G101">
        <v>2398.1999999999998</v>
      </c>
      <c r="H101" t="s">
        <v>21</v>
      </c>
      <c r="I101" t="s">
        <v>22</v>
      </c>
      <c r="J101" t="s">
        <v>65</v>
      </c>
    </row>
    <row r="102" spans="1:10" x14ac:dyDescent="0.35">
      <c r="A102" t="s">
        <v>231</v>
      </c>
      <c r="B102" s="1">
        <v>45677</v>
      </c>
      <c r="C102" t="s">
        <v>232</v>
      </c>
      <c r="D102" t="s">
        <v>69</v>
      </c>
      <c r="E102" t="s">
        <v>233</v>
      </c>
      <c r="F102" t="s">
        <v>14</v>
      </c>
      <c r="G102">
        <v>437</v>
      </c>
      <c r="H102" t="s">
        <v>15</v>
      </c>
      <c r="I102" t="s">
        <v>47</v>
      </c>
      <c r="J102" t="s">
        <v>71</v>
      </c>
    </row>
    <row r="103" spans="1:10" x14ac:dyDescent="0.35">
      <c r="A103" t="s">
        <v>234</v>
      </c>
      <c r="B103" s="1">
        <v>45677</v>
      </c>
      <c r="C103" t="s">
        <v>140</v>
      </c>
      <c r="D103" t="s">
        <v>80</v>
      </c>
      <c r="E103" t="s">
        <v>81</v>
      </c>
      <c r="F103" t="s">
        <v>14</v>
      </c>
      <c r="G103">
        <v>37.950000000000003</v>
      </c>
      <c r="H103" t="s">
        <v>15</v>
      </c>
      <c r="I103" t="s">
        <v>84</v>
      </c>
      <c r="J103" t="s">
        <v>141</v>
      </c>
    </row>
    <row r="104" spans="1:10" x14ac:dyDescent="0.35">
      <c r="A104" t="s">
        <v>235</v>
      </c>
      <c r="B104" s="1">
        <v>45678</v>
      </c>
      <c r="C104" t="s">
        <v>91</v>
      </c>
      <c r="D104" t="s">
        <v>80</v>
      </c>
      <c r="E104" t="s">
        <v>92</v>
      </c>
      <c r="F104" t="s">
        <v>14</v>
      </c>
      <c r="G104">
        <v>62.36</v>
      </c>
      <c r="H104" t="s">
        <v>15</v>
      </c>
      <c r="I104" t="s">
        <v>47</v>
      </c>
      <c r="J104" t="s">
        <v>82</v>
      </c>
    </row>
    <row r="105" spans="1:10" x14ac:dyDescent="0.35">
      <c r="A105" t="s">
        <v>236</v>
      </c>
      <c r="B105" s="1">
        <v>45678</v>
      </c>
      <c r="C105" t="s">
        <v>220</v>
      </c>
      <c r="D105" t="s">
        <v>59</v>
      </c>
      <c r="E105" t="s">
        <v>199</v>
      </c>
      <c r="F105" t="s">
        <v>14</v>
      </c>
      <c r="G105">
        <v>428.06</v>
      </c>
      <c r="H105" t="s">
        <v>15</v>
      </c>
      <c r="I105" t="s">
        <v>22</v>
      </c>
      <c r="J105" t="s">
        <v>211</v>
      </c>
    </row>
    <row r="106" spans="1:10" x14ac:dyDescent="0.35">
      <c r="A106" t="s">
        <v>237</v>
      </c>
      <c r="B106" s="1">
        <v>45678</v>
      </c>
      <c r="C106" t="s">
        <v>238</v>
      </c>
      <c r="D106" t="s">
        <v>34</v>
      </c>
      <c r="E106" t="s">
        <v>35</v>
      </c>
      <c r="F106" t="s">
        <v>14</v>
      </c>
      <c r="G106">
        <v>192.17</v>
      </c>
      <c r="H106" t="s">
        <v>15</v>
      </c>
      <c r="I106" t="s">
        <v>84</v>
      </c>
      <c r="J106" t="s">
        <v>239</v>
      </c>
    </row>
    <row r="107" spans="1:10" x14ac:dyDescent="0.35">
      <c r="A107" t="s">
        <v>240</v>
      </c>
      <c r="B107" s="1">
        <v>45678</v>
      </c>
      <c r="C107" t="s">
        <v>217</v>
      </c>
      <c r="D107" t="s">
        <v>80</v>
      </c>
      <c r="E107" t="s">
        <v>81</v>
      </c>
      <c r="F107" t="s">
        <v>14</v>
      </c>
      <c r="G107">
        <v>40.97</v>
      </c>
      <c r="H107" t="s">
        <v>15</v>
      </c>
      <c r="I107" t="s">
        <v>36</v>
      </c>
      <c r="J107" t="s">
        <v>180</v>
      </c>
    </row>
    <row r="108" spans="1:10" x14ac:dyDescent="0.35">
      <c r="A108" t="s">
        <v>241</v>
      </c>
      <c r="B108" s="1">
        <v>45678</v>
      </c>
      <c r="C108" t="s">
        <v>160</v>
      </c>
      <c r="D108" t="s">
        <v>80</v>
      </c>
      <c r="E108" t="s">
        <v>117</v>
      </c>
      <c r="F108" t="s">
        <v>14</v>
      </c>
      <c r="G108">
        <v>17.850000000000001</v>
      </c>
      <c r="H108" t="s">
        <v>21</v>
      </c>
      <c r="I108" t="s">
        <v>36</v>
      </c>
      <c r="J108" t="s">
        <v>161</v>
      </c>
    </row>
    <row r="109" spans="1:10" x14ac:dyDescent="0.35">
      <c r="A109" t="s">
        <v>242</v>
      </c>
      <c r="B109" s="1">
        <v>45678</v>
      </c>
      <c r="C109" t="s">
        <v>243</v>
      </c>
      <c r="D109" t="s">
        <v>101</v>
      </c>
      <c r="E109" t="s">
        <v>244</v>
      </c>
      <c r="F109" t="s">
        <v>14</v>
      </c>
      <c r="G109">
        <v>18.05</v>
      </c>
      <c r="H109" t="s">
        <v>21</v>
      </c>
      <c r="I109" t="s">
        <v>22</v>
      </c>
      <c r="J109" t="s">
        <v>102</v>
      </c>
    </row>
    <row r="110" spans="1:10" x14ac:dyDescent="0.35">
      <c r="A110" t="s">
        <v>245</v>
      </c>
      <c r="B110" s="1">
        <v>45678</v>
      </c>
      <c r="C110" t="s">
        <v>113</v>
      </c>
      <c r="D110" t="s">
        <v>34</v>
      </c>
      <c r="E110" t="s">
        <v>40</v>
      </c>
      <c r="F110" t="s">
        <v>14</v>
      </c>
      <c r="G110">
        <v>93.24</v>
      </c>
      <c r="H110" t="s">
        <v>15</v>
      </c>
      <c r="I110" t="s">
        <v>22</v>
      </c>
      <c r="J110" t="s">
        <v>37</v>
      </c>
    </row>
    <row r="111" spans="1:10" x14ac:dyDescent="0.35">
      <c r="A111" t="s">
        <v>246</v>
      </c>
      <c r="B111" s="1">
        <v>45678</v>
      </c>
      <c r="C111" t="s">
        <v>143</v>
      </c>
      <c r="D111" t="s">
        <v>54</v>
      </c>
      <c r="E111" t="s">
        <v>55</v>
      </c>
      <c r="F111" t="s">
        <v>54</v>
      </c>
      <c r="G111">
        <v>771.24</v>
      </c>
      <c r="H111" t="s">
        <v>15</v>
      </c>
      <c r="I111" t="s">
        <v>47</v>
      </c>
      <c r="J111" t="s">
        <v>89</v>
      </c>
    </row>
    <row r="112" spans="1:10" x14ac:dyDescent="0.35">
      <c r="A112" t="s">
        <v>247</v>
      </c>
      <c r="B112" s="1">
        <v>45679</v>
      </c>
      <c r="C112" t="s">
        <v>248</v>
      </c>
      <c r="D112" t="s">
        <v>80</v>
      </c>
      <c r="E112" t="s">
        <v>81</v>
      </c>
      <c r="F112" t="s">
        <v>14</v>
      </c>
      <c r="G112">
        <v>27.75</v>
      </c>
      <c r="H112" t="s">
        <v>98</v>
      </c>
      <c r="I112" t="s">
        <v>36</v>
      </c>
      <c r="J112" t="s">
        <v>161</v>
      </c>
    </row>
    <row r="113" spans="1:10" x14ac:dyDescent="0.35">
      <c r="A113" t="s">
        <v>249</v>
      </c>
      <c r="B113" s="1">
        <v>45679</v>
      </c>
      <c r="C113" t="s">
        <v>58</v>
      </c>
      <c r="D113" t="s">
        <v>59</v>
      </c>
      <c r="E113" t="s">
        <v>60</v>
      </c>
      <c r="F113" t="s">
        <v>14</v>
      </c>
      <c r="G113">
        <v>125.46</v>
      </c>
      <c r="H113" t="s">
        <v>15</v>
      </c>
      <c r="I113" t="s">
        <v>47</v>
      </c>
      <c r="J113" t="s">
        <v>61</v>
      </c>
    </row>
    <row r="114" spans="1:10" x14ac:dyDescent="0.35">
      <c r="A114" t="s">
        <v>250</v>
      </c>
      <c r="B114" s="1">
        <v>45680</v>
      </c>
      <c r="C114" t="s">
        <v>251</v>
      </c>
      <c r="D114" t="s">
        <v>29</v>
      </c>
      <c r="E114" t="s">
        <v>151</v>
      </c>
      <c r="F114" t="s">
        <v>14</v>
      </c>
      <c r="G114">
        <v>42.96</v>
      </c>
      <c r="H114" t="s">
        <v>21</v>
      </c>
      <c r="I114" t="s">
        <v>22</v>
      </c>
      <c r="J114" t="s">
        <v>31</v>
      </c>
    </row>
    <row r="115" spans="1:10" x14ac:dyDescent="0.35">
      <c r="A115" t="s">
        <v>252</v>
      </c>
      <c r="B115" s="1">
        <v>45680</v>
      </c>
      <c r="C115" t="s">
        <v>253</v>
      </c>
      <c r="D115" t="s">
        <v>29</v>
      </c>
      <c r="E115" t="s">
        <v>30</v>
      </c>
      <c r="F115" t="s">
        <v>14</v>
      </c>
      <c r="G115">
        <v>31.51</v>
      </c>
      <c r="H115" t="s">
        <v>21</v>
      </c>
      <c r="I115" t="s">
        <v>47</v>
      </c>
      <c r="J115" t="s">
        <v>158</v>
      </c>
    </row>
    <row r="116" spans="1:10" x14ac:dyDescent="0.35">
      <c r="A116" t="s">
        <v>254</v>
      </c>
      <c r="B116" s="1">
        <v>45680</v>
      </c>
      <c r="C116" t="s">
        <v>125</v>
      </c>
      <c r="D116" t="s">
        <v>12</v>
      </c>
      <c r="E116" t="s">
        <v>13</v>
      </c>
      <c r="F116" t="s">
        <v>14</v>
      </c>
      <c r="G116">
        <v>95.45</v>
      </c>
      <c r="H116" t="s">
        <v>15</v>
      </c>
      <c r="I116" t="s">
        <v>84</v>
      </c>
      <c r="J116" t="s">
        <v>44</v>
      </c>
    </row>
    <row r="117" spans="1:10" x14ac:dyDescent="0.35">
      <c r="A117" t="s">
        <v>255</v>
      </c>
      <c r="B117" s="1">
        <v>45680</v>
      </c>
      <c r="C117" t="s">
        <v>256</v>
      </c>
      <c r="D117" t="s">
        <v>34</v>
      </c>
      <c r="E117" t="s">
        <v>40</v>
      </c>
      <c r="F117" t="s">
        <v>14</v>
      </c>
      <c r="G117">
        <v>87.26</v>
      </c>
      <c r="H117" t="s">
        <v>15</v>
      </c>
      <c r="I117" t="s">
        <v>257</v>
      </c>
      <c r="J117" t="s">
        <v>239</v>
      </c>
    </row>
    <row r="118" spans="1:10" x14ac:dyDescent="0.35">
      <c r="A118" t="s">
        <v>258</v>
      </c>
      <c r="B118" s="1">
        <v>45680</v>
      </c>
      <c r="C118" t="s">
        <v>259</v>
      </c>
      <c r="D118" t="s">
        <v>59</v>
      </c>
      <c r="E118" t="s">
        <v>199</v>
      </c>
      <c r="F118" t="s">
        <v>14</v>
      </c>
      <c r="G118">
        <v>52.09</v>
      </c>
      <c r="H118" t="s">
        <v>21</v>
      </c>
      <c r="I118" t="s">
        <v>47</v>
      </c>
      <c r="J118" t="s">
        <v>170</v>
      </c>
    </row>
    <row r="119" spans="1:10" x14ac:dyDescent="0.35">
      <c r="A119" t="s">
        <v>260</v>
      </c>
      <c r="B119" s="1">
        <v>45681</v>
      </c>
      <c r="C119" t="s">
        <v>130</v>
      </c>
      <c r="D119" t="s">
        <v>12</v>
      </c>
      <c r="E119" t="s">
        <v>26</v>
      </c>
      <c r="F119" t="s">
        <v>14</v>
      </c>
      <c r="G119">
        <v>76.31</v>
      </c>
      <c r="H119" t="s">
        <v>15</v>
      </c>
      <c r="I119" t="s">
        <v>47</v>
      </c>
      <c r="J119" t="s">
        <v>48</v>
      </c>
    </row>
    <row r="120" spans="1:10" x14ac:dyDescent="0.35">
      <c r="A120" t="s">
        <v>261</v>
      </c>
      <c r="B120" s="1">
        <v>45681</v>
      </c>
      <c r="C120" t="s">
        <v>262</v>
      </c>
      <c r="D120" t="s">
        <v>101</v>
      </c>
      <c r="E120" t="s">
        <v>244</v>
      </c>
      <c r="F120" t="s">
        <v>14</v>
      </c>
      <c r="G120">
        <v>93.94</v>
      </c>
      <c r="H120" t="s">
        <v>15</v>
      </c>
      <c r="I120" t="s">
        <v>22</v>
      </c>
      <c r="J120" t="s">
        <v>136</v>
      </c>
    </row>
    <row r="121" spans="1:10" x14ac:dyDescent="0.35">
      <c r="A121" t="s">
        <v>263</v>
      </c>
      <c r="B121" s="1">
        <v>45681</v>
      </c>
      <c r="C121" t="s">
        <v>210</v>
      </c>
      <c r="D121" t="s">
        <v>59</v>
      </c>
      <c r="E121" t="s">
        <v>185</v>
      </c>
      <c r="F121" t="s">
        <v>14</v>
      </c>
      <c r="G121">
        <v>56.35</v>
      </c>
      <c r="H121" t="s">
        <v>15</v>
      </c>
      <c r="I121" t="s">
        <v>22</v>
      </c>
      <c r="J121" t="s">
        <v>211</v>
      </c>
    </row>
    <row r="122" spans="1:10" x14ac:dyDescent="0.35">
      <c r="A122" t="s">
        <v>264</v>
      </c>
      <c r="B122" s="1">
        <v>45681</v>
      </c>
      <c r="C122" t="s">
        <v>143</v>
      </c>
      <c r="D122" t="s">
        <v>54</v>
      </c>
      <c r="E122" t="s">
        <v>55</v>
      </c>
      <c r="F122" t="s">
        <v>54</v>
      </c>
      <c r="G122">
        <v>644.28</v>
      </c>
      <c r="H122" t="s">
        <v>15</v>
      </c>
      <c r="I122" t="s">
        <v>22</v>
      </c>
      <c r="J122" t="s">
        <v>89</v>
      </c>
    </row>
    <row r="123" spans="1:10" x14ac:dyDescent="0.35">
      <c r="A123" t="s">
        <v>265</v>
      </c>
      <c r="B123" s="1">
        <v>45681</v>
      </c>
      <c r="C123" t="s">
        <v>184</v>
      </c>
      <c r="D123" t="s">
        <v>59</v>
      </c>
      <c r="E123" t="s">
        <v>185</v>
      </c>
      <c r="F123" t="s">
        <v>14</v>
      </c>
      <c r="G123">
        <v>191.84</v>
      </c>
      <c r="H123" t="s">
        <v>15</v>
      </c>
      <c r="I123" t="s">
        <v>47</v>
      </c>
      <c r="J123" t="s">
        <v>61</v>
      </c>
    </row>
    <row r="124" spans="1:10" x14ac:dyDescent="0.35">
      <c r="A124" t="s">
        <v>266</v>
      </c>
      <c r="B124" s="1">
        <v>45682</v>
      </c>
      <c r="C124" t="s">
        <v>267</v>
      </c>
      <c r="D124" t="s">
        <v>29</v>
      </c>
      <c r="E124" t="s">
        <v>30</v>
      </c>
      <c r="F124" t="s">
        <v>14</v>
      </c>
      <c r="G124">
        <v>18.09</v>
      </c>
      <c r="H124" t="s">
        <v>15</v>
      </c>
      <c r="I124" t="s">
        <v>16</v>
      </c>
      <c r="J124" t="s">
        <v>96</v>
      </c>
    </row>
    <row r="125" spans="1:10" x14ac:dyDescent="0.35">
      <c r="A125" t="s">
        <v>268</v>
      </c>
      <c r="B125" s="1">
        <v>45682</v>
      </c>
      <c r="C125" t="s">
        <v>269</v>
      </c>
      <c r="D125" t="s">
        <v>34</v>
      </c>
      <c r="E125" t="s">
        <v>35</v>
      </c>
      <c r="F125" t="s">
        <v>14</v>
      </c>
      <c r="G125">
        <v>90.67</v>
      </c>
      <c r="H125" t="s">
        <v>15</v>
      </c>
      <c r="I125" t="s">
        <v>47</v>
      </c>
      <c r="J125" t="s">
        <v>123</v>
      </c>
    </row>
    <row r="126" spans="1:10" x14ac:dyDescent="0.35">
      <c r="A126" t="s">
        <v>270</v>
      </c>
      <c r="B126" s="1">
        <v>45682</v>
      </c>
      <c r="C126" t="s">
        <v>220</v>
      </c>
      <c r="D126" t="s">
        <v>59</v>
      </c>
      <c r="E126" t="s">
        <v>199</v>
      </c>
      <c r="F126" t="s">
        <v>14</v>
      </c>
      <c r="G126">
        <v>229.76</v>
      </c>
      <c r="H126" t="s">
        <v>15</v>
      </c>
      <c r="I126" t="s">
        <v>47</v>
      </c>
      <c r="J126" t="s">
        <v>211</v>
      </c>
    </row>
    <row r="127" spans="1:10" x14ac:dyDescent="0.35">
      <c r="A127" t="s">
        <v>271</v>
      </c>
      <c r="B127" s="1">
        <v>45682</v>
      </c>
      <c r="C127" t="s">
        <v>272</v>
      </c>
      <c r="D127" t="s">
        <v>54</v>
      </c>
      <c r="E127" t="s">
        <v>55</v>
      </c>
      <c r="F127" t="s">
        <v>54</v>
      </c>
      <c r="G127">
        <v>631.67999999999995</v>
      </c>
      <c r="H127" t="s">
        <v>15</v>
      </c>
      <c r="I127" t="s">
        <v>36</v>
      </c>
      <c r="J127" t="s">
        <v>65</v>
      </c>
    </row>
    <row r="128" spans="1:10" x14ac:dyDescent="0.35">
      <c r="A128" t="s">
        <v>273</v>
      </c>
      <c r="B128" s="1">
        <v>45683</v>
      </c>
      <c r="C128" t="s">
        <v>204</v>
      </c>
      <c r="D128" t="s">
        <v>12</v>
      </c>
      <c r="E128" t="s">
        <v>51</v>
      </c>
      <c r="F128" t="s">
        <v>14</v>
      </c>
      <c r="G128">
        <v>44.89</v>
      </c>
      <c r="H128" t="s">
        <v>15</v>
      </c>
      <c r="I128" t="s">
        <v>36</v>
      </c>
      <c r="J128" t="s">
        <v>23</v>
      </c>
    </row>
    <row r="129" spans="1:10" x14ac:dyDescent="0.35">
      <c r="A129" t="s">
        <v>274</v>
      </c>
      <c r="B129" s="1">
        <v>45683</v>
      </c>
      <c r="C129" t="s">
        <v>259</v>
      </c>
      <c r="D129" t="s">
        <v>59</v>
      </c>
      <c r="E129" t="s">
        <v>199</v>
      </c>
      <c r="F129" t="s">
        <v>14</v>
      </c>
      <c r="G129">
        <v>138.57</v>
      </c>
      <c r="H129" t="s">
        <v>21</v>
      </c>
      <c r="I129" t="s">
        <v>22</v>
      </c>
      <c r="J129" t="s">
        <v>170</v>
      </c>
    </row>
    <row r="130" spans="1:10" x14ac:dyDescent="0.35">
      <c r="A130" t="s">
        <v>275</v>
      </c>
      <c r="B130" s="1">
        <v>45683</v>
      </c>
      <c r="C130" t="s">
        <v>63</v>
      </c>
      <c r="D130" t="s">
        <v>54</v>
      </c>
      <c r="E130" t="s">
        <v>64</v>
      </c>
      <c r="F130" t="s">
        <v>54</v>
      </c>
      <c r="G130">
        <v>351.46</v>
      </c>
      <c r="H130" t="s">
        <v>15</v>
      </c>
      <c r="I130" t="s">
        <v>36</v>
      </c>
      <c r="J130" t="s">
        <v>65</v>
      </c>
    </row>
    <row r="131" spans="1:10" x14ac:dyDescent="0.35">
      <c r="A131" t="s">
        <v>276</v>
      </c>
      <c r="B131" s="1">
        <v>45684</v>
      </c>
      <c r="C131" t="s">
        <v>79</v>
      </c>
      <c r="D131" t="s">
        <v>80</v>
      </c>
      <c r="E131" t="s">
        <v>81</v>
      </c>
      <c r="F131" t="s">
        <v>14</v>
      </c>
      <c r="G131">
        <v>61.79</v>
      </c>
      <c r="H131" t="s">
        <v>15</v>
      </c>
      <c r="I131" t="s">
        <v>22</v>
      </c>
      <c r="J131" t="s">
        <v>82</v>
      </c>
    </row>
    <row r="132" spans="1:10" x14ac:dyDescent="0.35">
      <c r="A132" t="s">
        <v>277</v>
      </c>
      <c r="B132" s="1">
        <v>45684</v>
      </c>
      <c r="C132" t="s">
        <v>177</v>
      </c>
      <c r="D132" t="s">
        <v>54</v>
      </c>
      <c r="E132" t="s">
        <v>74</v>
      </c>
      <c r="F132" t="s">
        <v>54</v>
      </c>
      <c r="G132">
        <v>2426.4299999999998</v>
      </c>
      <c r="H132" t="s">
        <v>21</v>
      </c>
      <c r="I132" t="s">
        <v>22</v>
      </c>
      <c r="J132" t="s">
        <v>56</v>
      </c>
    </row>
    <row r="133" spans="1:10" x14ac:dyDescent="0.35">
      <c r="A133" t="s">
        <v>278</v>
      </c>
      <c r="B133" s="1">
        <v>45684</v>
      </c>
      <c r="C133" t="s">
        <v>220</v>
      </c>
      <c r="D133" t="s">
        <v>59</v>
      </c>
      <c r="E133" t="s">
        <v>199</v>
      </c>
      <c r="F133" t="s">
        <v>14</v>
      </c>
      <c r="G133">
        <v>80.069999999999993</v>
      </c>
      <c r="H133" t="s">
        <v>15</v>
      </c>
      <c r="I133" t="s">
        <v>36</v>
      </c>
      <c r="J133" t="s">
        <v>211</v>
      </c>
    </row>
    <row r="134" spans="1:10" x14ac:dyDescent="0.35">
      <c r="A134" t="s">
        <v>279</v>
      </c>
      <c r="B134" s="1">
        <v>45684</v>
      </c>
      <c r="C134" t="s">
        <v>259</v>
      </c>
      <c r="D134" t="s">
        <v>59</v>
      </c>
      <c r="E134" t="s">
        <v>199</v>
      </c>
      <c r="F134" t="s">
        <v>14</v>
      </c>
      <c r="G134">
        <v>174.38</v>
      </c>
      <c r="H134" t="s">
        <v>15</v>
      </c>
      <c r="I134" t="s">
        <v>36</v>
      </c>
      <c r="J134" t="s">
        <v>170</v>
      </c>
    </row>
    <row r="135" spans="1:10" x14ac:dyDescent="0.35">
      <c r="A135" t="s">
        <v>280</v>
      </c>
      <c r="B135" s="1">
        <v>45685</v>
      </c>
      <c r="C135" t="s">
        <v>281</v>
      </c>
      <c r="D135" t="s">
        <v>34</v>
      </c>
      <c r="E135" t="s">
        <v>40</v>
      </c>
      <c r="F135" t="s">
        <v>14</v>
      </c>
      <c r="G135">
        <v>181.73</v>
      </c>
      <c r="H135" t="s">
        <v>15</v>
      </c>
      <c r="I135" t="s">
        <v>16</v>
      </c>
      <c r="J135" t="s">
        <v>123</v>
      </c>
    </row>
    <row r="136" spans="1:10" x14ac:dyDescent="0.35">
      <c r="A136" t="s">
        <v>282</v>
      </c>
      <c r="B136" s="1">
        <v>45685</v>
      </c>
      <c r="C136" t="s">
        <v>168</v>
      </c>
      <c r="D136" t="s">
        <v>59</v>
      </c>
      <c r="E136" t="s">
        <v>60</v>
      </c>
      <c r="F136" t="s">
        <v>14</v>
      </c>
      <c r="G136">
        <v>112.83</v>
      </c>
      <c r="H136" t="s">
        <v>21</v>
      </c>
      <c r="I136" t="s">
        <v>16</v>
      </c>
      <c r="J136" t="s">
        <v>170</v>
      </c>
    </row>
    <row r="137" spans="1:10" x14ac:dyDescent="0.35">
      <c r="A137" t="s">
        <v>283</v>
      </c>
      <c r="B137" s="1">
        <v>45685</v>
      </c>
      <c r="C137" t="s">
        <v>238</v>
      </c>
      <c r="D137" t="s">
        <v>34</v>
      </c>
      <c r="E137" t="s">
        <v>35</v>
      </c>
      <c r="F137" t="s">
        <v>14</v>
      </c>
      <c r="G137">
        <v>134.09</v>
      </c>
      <c r="H137" t="s">
        <v>21</v>
      </c>
      <c r="I137" t="s">
        <v>22</v>
      </c>
      <c r="J137" t="s">
        <v>239</v>
      </c>
    </row>
    <row r="138" spans="1:10" x14ac:dyDescent="0.35">
      <c r="A138" t="s">
        <v>284</v>
      </c>
      <c r="B138" s="1">
        <v>45685</v>
      </c>
      <c r="C138" t="s">
        <v>130</v>
      </c>
      <c r="D138" t="s">
        <v>12</v>
      </c>
      <c r="E138" t="s">
        <v>26</v>
      </c>
      <c r="F138" t="s">
        <v>14</v>
      </c>
      <c r="G138">
        <v>68.39</v>
      </c>
      <c r="H138" t="s">
        <v>15</v>
      </c>
      <c r="I138" t="s">
        <v>47</v>
      </c>
      <c r="J138" t="s">
        <v>48</v>
      </c>
    </row>
    <row r="139" spans="1:10" x14ac:dyDescent="0.35">
      <c r="A139" t="s">
        <v>285</v>
      </c>
      <c r="B139" s="1">
        <v>45685</v>
      </c>
      <c r="C139" t="s">
        <v>116</v>
      </c>
      <c r="D139" t="s">
        <v>80</v>
      </c>
      <c r="E139" t="s">
        <v>117</v>
      </c>
      <c r="F139" t="s">
        <v>14</v>
      </c>
      <c r="G139">
        <v>37.44</v>
      </c>
      <c r="H139" t="s">
        <v>15</v>
      </c>
      <c r="I139" t="s">
        <v>84</v>
      </c>
      <c r="J139" t="s">
        <v>118</v>
      </c>
    </row>
    <row r="140" spans="1:10" x14ac:dyDescent="0.35">
      <c r="A140" t="s">
        <v>286</v>
      </c>
      <c r="B140" s="1">
        <v>45685</v>
      </c>
      <c r="C140" t="s">
        <v>58</v>
      </c>
      <c r="D140" t="s">
        <v>59</v>
      </c>
      <c r="E140" t="s">
        <v>60</v>
      </c>
      <c r="F140" t="s">
        <v>14</v>
      </c>
      <c r="G140">
        <v>480.57</v>
      </c>
      <c r="H140" t="s">
        <v>15</v>
      </c>
      <c r="I140" t="s">
        <v>22</v>
      </c>
      <c r="J140" t="s">
        <v>61</v>
      </c>
    </row>
    <row r="141" spans="1:10" x14ac:dyDescent="0.35">
      <c r="A141" t="s">
        <v>287</v>
      </c>
      <c r="B141" s="1">
        <v>45685</v>
      </c>
      <c r="C141" t="s">
        <v>210</v>
      </c>
      <c r="D141" t="s">
        <v>59</v>
      </c>
      <c r="E141" t="s">
        <v>185</v>
      </c>
      <c r="F141" t="s">
        <v>14</v>
      </c>
      <c r="G141">
        <v>413.27</v>
      </c>
      <c r="H141" t="s">
        <v>15</v>
      </c>
      <c r="I141" t="s">
        <v>84</v>
      </c>
      <c r="J141" t="s">
        <v>211</v>
      </c>
    </row>
    <row r="142" spans="1:10" x14ac:dyDescent="0.35">
      <c r="A142" t="s">
        <v>288</v>
      </c>
      <c r="B142" s="1">
        <v>45685</v>
      </c>
      <c r="C142" t="s">
        <v>143</v>
      </c>
      <c r="D142" t="s">
        <v>54</v>
      </c>
      <c r="E142" t="s">
        <v>55</v>
      </c>
      <c r="F142" t="s">
        <v>54</v>
      </c>
      <c r="G142">
        <v>776.12</v>
      </c>
      <c r="H142" t="s">
        <v>98</v>
      </c>
      <c r="I142" t="s">
        <v>47</v>
      </c>
      <c r="J142" t="s">
        <v>89</v>
      </c>
    </row>
    <row r="143" spans="1:10" x14ac:dyDescent="0.35">
      <c r="A143" t="s">
        <v>289</v>
      </c>
      <c r="B143" s="1">
        <v>45685</v>
      </c>
      <c r="C143" t="s">
        <v>290</v>
      </c>
      <c r="D143" t="s">
        <v>69</v>
      </c>
      <c r="E143" t="s">
        <v>291</v>
      </c>
      <c r="F143" t="s">
        <v>14</v>
      </c>
      <c r="G143">
        <v>327.44</v>
      </c>
      <c r="H143" t="s">
        <v>15</v>
      </c>
      <c r="I143" t="s">
        <v>22</v>
      </c>
      <c r="J143" t="s">
        <v>292</v>
      </c>
    </row>
    <row r="144" spans="1:10" x14ac:dyDescent="0.35">
      <c r="A144" t="s">
        <v>293</v>
      </c>
      <c r="B144" s="1">
        <v>45686</v>
      </c>
      <c r="C144" t="s">
        <v>19</v>
      </c>
      <c r="D144" t="s">
        <v>12</v>
      </c>
      <c r="E144" t="s">
        <v>13</v>
      </c>
      <c r="F144" t="s">
        <v>14</v>
      </c>
      <c r="G144">
        <v>54.39</v>
      </c>
      <c r="H144" t="s">
        <v>15</v>
      </c>
      <c r="I144" t="s">
        <v>22</v>
      </c>
      <c r="J144" t="s">
        <v>23</v>
      </c>
    </row>
    <row r="145" spans="1:10" x14ac:dyDescent="0.35">
      <c r="A145" t="s">
        <v>294</v>
      </c>
      <c r="B145" s="1">
        <v>45686</v>
      </c>
      <c r="C145" t="s">
        <v>53</v>
      </c>
      <c r="D145" t="s">
        <v>54</v>
      </c>
      <c r="E145" t="s">
        <v>55</v>
      </c>
      <c r="F145" t="s">
        <v>54</v>
      </c>
      <c r="G145">
        <v>826.13</v>
      </c>
      <c r="H145" t="s">
        <v>15</v>
      </c>
      <c r="I145" t="s">
        <v>36</v>
      </c>
      <c r="J145" t="s">
        <v>56</v>
      </c>
    </row>
    <row r="146" spans="1:10" x14ac:dyDescent="0.35">
      <c r="A146" t="s">
        <v>295</v>
      </c>
      <c r="B146" s="1">
        <v>45686</v>
      </c>
      <c r="C146" t="s">
        <v>296</v>
      </c>
      <c r="D146" t="s">
        <v>101</v>
      </c>
      <c r="E146" t="s">
        <v>136</v>
      </c>
      <c r="F146" t="s">
        <v>14</v>
      </c>
      <c r="G146">
        <v>61.13</v>
      </c>
      <c r="H146" t="s">
        <v>15</v>
      </c>
      <c r="I146" t="s">
        <v>22</v>
      </c>
      <c r="J146" t="s">
        <v>136</v>
      </c>
    </row>
    <row r="147" spans="1:10" x14ac:dyDescent="0.35">
      <c r="A147" t="s">
        <v>297</v>
      </c>
      <c r="B147" s="1">
        <v>45686</v>
      </c>
      <c r="C147" t="s">
        <v>298</v>
      </c>
      <c r="D147" t="s">
        <v>59</v>
      </c>
      <c r="E147" t="s">
        <v>185</v>
      </c>
      <c r="F147" t="s">
        <v>14</v>
      </c>
      <c r="G147">
        <v>215.59</v>
      </c>
      <c r="H147" t="s">
        <v>15</v>
      </c>
      <c r="I147" t="s">
        <v>47</v>
      </c>
      <c r="J147" t="s">
        <v>170</v>
      </c>
    </row>
    <row r="148" spans="1:10" x14ac:dyDescent="0.35">
      <c r="A148" t="s">
        <v>299</v>
      </c>
      <c r="B148" s="1">
        <v>45686</v>
      </c>
      <c r="C148" t="s">
        <v>198</v>
      </c>
      <c r="D148" t="s">
        <v>59</v>
      </c>
      <c r="E148" t="s">
        <v>199</v>
      </c>
      <c r="F148" t="s">
        <v>14</v>
      </c>
      <c r="G148">
        <v>869.59</v>
      </c>
      <c r="H148" t="s">
        <v>98</v>
      </c>
      <c r="I148" t="s">
        <v>36</v>
      </c>
      <c r="J148" t="s">
        <v>61</v>
      </c>
    </row>
    <row r="149" spans="1:10" x14ac:dyDescent="0.35">
      <c r="A149" t="s">
        <v>300</v>
      </c>
      <c r="B149" s="1">
        <v>45687</v>
      </c>
      <c r="C149" t="s">
        <v>204</v>
      </c>
      <c r="D149" t="s">
        <v>12</v>
      </c>
      <c r="E149" t="s">
        <v>51</v>
      </c>
      <c r="F149" t="s">
        <v>14</v>
      </c>
      <c r="G149">
        <v>51.84</v>
      </c>
      <c r="H149" t="s">
        <v>15</v>
      </c>
      <c r="I149" t="s">
        <v>22</v>
      </c>
      <c r="J149" t="s">
        <v>23</v>
      </c>
    </row>
    <row r="150" spans="1:10" x14ac:dyDescent="0.35">
      <c r="A150" t="s">
        <v>301</v>
      </c>
      <c r="B150" s="1">
        <v>45687</v>
      </c>
      <c r="C150" t="s">
        <v>157</v>
      </c>
      <c r="D150" t="s">
        <v>29</v>
      </c>
      <c r="E150" t="s">
        <v>95</v>
      </c>
      <c r="F150" t="s">
        <v>14</v>
      </c>
      <c r="G150">
        <v>12.37</v>
      </c>
      <c r="H150" t="s">
        <v>15</v>
      </c>
      <c r="I150" t="s">
        <v>36</v>
      </c>
      <c r="J150" t="s">
        <v>158</v>
      </c>
    </row>
    <row r="151" spans="1:10" x14ac:dyDescent="0.35">
      <c r="A151" t="s">
        <v>302</v>
      </c>
      <c r="B151" s="1">
        <v>45688</v>
      </c>
      <c r="C151" t="s">
        <v>140</v>
      </c>
      <c r="D151" t="s">
        <v>80</v>
      </c>
      <c r="E151" t="s">
        <v>81</v>
      </c>
      <c r="F151" t="s">
        <v>14</v>
      </c>
      <c r="G151">
        <v>41.19</v>
      </c>
      <c r="H151" t="s">
        <v>15</v>
      </c>
      <c r="I151" t="s">
        <v>36</v>
      </c>
      <c r="J151" t="s">
        <v>141</v>
      </c>
    </row>
    <row r="152" spans="1:10" x14ac:dyDescent="0.35">
      <c r="A152" t="s">
        <v>303</v>
      </c>
      <c r="B152" s="1">
        <v>45688</v>
      </c>
      <c r="C152" t="s">
        <v>11</v>
      </c>
      <c r="D152" t="s">
        <v>12</v>
      </c>
      <c r="E152" t="s">
        <v>13</v>
      </c>
      <c r="F152" t="s">
        <v>14</v>
      </c>
      <c r="G152">
        <v>65.239999999999995</v>
      </c>
      <c r="H152" t="s">
        <v>21</v>
      </c>
      <c r="I152" t="s">
        <v>22</v>
      </c>
      <c r="J152" t="s">
        <v>17</v>
      </c>
    </row>
    <row r="153" spans="1:10" x14ac:dyDescent="0.35">
      <c r="A153" t="s">
        <v>304</v>
      </c>
      <c r="B153" s="1">
        <v>45688</v>
      </c>
      <c r="C153" t="s">
        <v>111</v>
      </c>
      <c r="D153" t="s">
        <v>12</v>
      </c>
      <c r="E153" t="s">
        <v>26</v>
      </c>
      <c r="F153" t="s">
        <v>14</v>
      </c>
      <c r="G153">
        <v>33.159999999999997</v>
      </c>
      <c r="H153" t="s">
        <v>98</v>
      </c>
      <c r="I153" t="s">
        <v>16</v>
      </c>
      <c r="J153" t="s">
        <v>23</v>
      </c>
    </row>
    <row r="154" spans="1:10" x14ac:dyDescent="0.35">
      <c r="A154" t="s">
        <v>305</v>
      </c>
      <c r="B154" s="1">
        <v>45688</v>
      </c>
      <c r="C154" t="s">
        <v>184</v>
      </c>
      <c r="D154" t="s">
        <v>59</v>
      </c>
      <c r="E154" t="s">
        <v>185</v>
      </c>
      <c r="F154" t="s">
        <v>14</v>
      </c>
      <c r="G154">
        <v>286.35000000000002</v>
      </c>
      <c r="H154" t="s">
        <v>15</v>
      </c>
      <c r="I154" t="s">
        <v>22</v>
      </c>
      <c r="J154" t="s">
        <v>61</v>
      </c>
    </row>
    <row r="155" spans="1:10" x14ac:dyDescent="0.35">
      <c r="A155" t="s">
        <v>306</v>
      </c>
      <c r="B155" s="1">
        <v>45688</v>
      </c>
      <c r="C155" t="s">
        <v>256</v>
      </c>
      <c r="D155" t="s">
        <v>34</v>
      </c>
      <c r="E155" t="s">
        <v>40</v>
      </c>
      <c r="F155" t="s">
        <v>14</v>
      </c>
      <c r="G155">
        <v>276.58999999999997</v>
      </c>
      <c r="H155" t="s">
        <v>15</v>
      </c>
      <c r="I155" t="s">
        <v>16</v>
      </c>
      <c r="J155" t="s">
        <v>239</v>
      </c>
    </row>
    <row r="156" spans="1:10" x14ac:dyDescent="0.35">
      <c r="A156" t="s">
        <v>307</v>
      </c>
      <c r="B156" s="1">
        <v>45688</v>
      </c>
      <c r="C156" t="s">
        <v>308</v>
      </c>
      <c r="D156" t="s">
        <v>54</v>
      </c>
      <c r="E156" t="s">
        <v>64</v>
      </c>
      <c r="F156" t="s">
        <v>54</v>
      </c>
      <c r="G156">
        <v>332.94</v>
      </c>
      <c r="H156" t="s">
        <v>15</v>
      </c>
      <c r="I156" t="s">
        <v>36</v>
      </c>
      <c r="J156" t="s">
        <v>89</v>
      </c>
    </row>
    <row r="157" spans="1:10" x14ac:dyDescent="0.35">
      <c r="A157" t="s">
        <v>309</v>
      </c>
      <c r="B157" s="1">
        <v>45688</v>
      </c>
      <c r="C157" t="s">
        <v>155</v>
      </c>
      <c r="D157" t="s">
        <v>12</v>
      </c>
      <c r="E157" t="s">
        <v>51</v>
      </c>
      <c r="F157" t="s">
        <v>14</v>
      </c>
      <c r="G157">
        <v>26.81</v>
      </c>
      <c r="H157" t="s">
        <v>98</v>
      </c>
      <c r="I157" t="s">
        <v>36</v>
      </c>
      <c r="J157" t="s">
        <v>48</v>
      </c>
    </row>
    <row r="158" spans="1:10" x14ac:dyDescent="0.35">
      <c r="A158" t="s">
        <v>310</v>
      </c>
      <c r="B158" s="1">
        <v>45688</v>
      </c>
      <c r="C158" t="s">
        <v>272</v>
      </c>
      <c r="D158" t="s">
        <v>54</v>
      </c>
      <c r="E158" t="s">
        <v>55</v>
      </c>
      <c r="F158" t="s">
        <v>54</v>
      </c>
      <c r="G158">
        <v>670.76</v>
      </c>
      <c r="H158" t="s">
        <v>15</v>
      </c>
      <c r="I158" t="s">
        <v>22</v>
      </c>
      <c r="J158" t="s">
        <v>65</v>
      </c>
    </row>
    <row r="159" spans="1:10" x14ac:dyDescent="0.35">
      <c r="A159" t="s">
        <v>311</v>
      </c>
      <c r="B159" s="1">
        <v>45688</v>
      </c>
      <c r="C159" t="s">
        <v>298</v>
      </c>
      <c r="D159" t="s">
        <v>59</v>
      </c>
      <c r="E159" t="s">
        <v>185</v>
      </c>
      <c r="F159" t="s">
        <v>14</v>
      </c>
      <c r="G159">
        <v>393.4</v>
      </c>
      <c r="H159" t="s">
        <v>21</v>
      </c>
      <c r="I159" t="s">
        <v>22</v>
      </c>
      <c r="J159" t="s">
        <v>170</v>
      </c>
    </row>
    <row r="160" spans="1:10" x14ac:dyDescent="0.35">
      <c r="A160" t="s">
        <v>312</v>
      </c>
      <c r="B160" s="1">
        <v>45689</v>
      </c>
      <c r="C160" t="s">
        <v>53</v>
      </c>
      <c r="D160" t="s">
        <v>54</v>
      </c>
      <c r="E160" t="s">
        <v>55</v>
      </c>
      <c r="F160" t="s">
        <v>54</v>
      </c>
      <c r="G160">
        <v>767.69</v>
      </c>
      <c r="H160" t="s">
        <v>21</v>
      </c>
      <c r="I160" t="s">
        <v>16</v>
      </c>
      <c r="J160" t="s">
        <v>56</v>
      </c>
    </row>
    <row r="161" spans="1:10" x14ac:dyDescent="0.35">
      <c r="A161" t="s">
        <v>313</v>
      </c>
      <c r="B161" s="1">
        <v>45689</v>
      </c>
      <c r="C161" t="s">
        <v>43</v>
      </c>
      <c r="D161" t="s">
        <v>12</v>
      </c>
      <c r="E161" t="s">
        <v>26</v>
      </c>
      <c r="F161" t="s">
        <v>14</v>
      </c>
      <c r="G161">
        <v>15.57</v>
      </c>
      <c r="H161" t="s">
        <v>15</v>
      </c>
      <c r="I161" t="s">
        <v>47</v>
      </c>
      <c r="J161" t="s">
        <v>44</v>
      </c>
    </row>
    <row r="162" spans="1:10" x14ac:dyDescent="0.35">
      <c r="A162" t="s">
        <v>314</v>
      </c>
      <c r="B162" s="1">
        <v>45689</v>
      </c>
      <c r="C162" t="s">
        <v>296</v>
      </c>
      <c r="D162" t="s">
        <v>101</v>
      </c>
      <c r="E162" t="s">
        <v>136</v>
      </c>
      <c r="F162" t="s">
        <v>14</v>
      </c>
      <c r="G162">
        <v>34.6</v>
      </c>
      <c r="H162" t="s">
        <v>15</v>
      </c>
      <c r="I162" t="s">
        <v>36</v>
      </c>
      <c r="J162" t="s">
        <v>136</v>
      </c>
    </row>
    <row r="163" spans="1:10" x14ac:dyDescent="0.35">
      <c r="A163" t="s">
        <v>315</v>
      </c>
      <c r="B163" s="1">
        <v>45689</v>
      </c>
      <c r="C163" t="s">
        <v>267</v>
      </c>
      <c r="D163" t="s">
        <v>29</v>
      </c>
      <c r="E163" t="s">
        <v>30</v>
      </c>
      <c r="F163" t="s">
        <v>14</v>
      </c>
      <c r="G163">
        <v>24.75</v>
      </c>
      <c r="H163" t="s">
        <v>15</v>
      </c>
      <c r="I163" t="s">
        <v>47</v>
      </c>
      <c r="J163" t="s">
        <v>96</v>
      </c>
    </row>
    <row r="164" spans="1:10" x14ac:dyDescent="0.35">
      <c r="A164" t="s">
        <v>316</v>
      </c>
      <c r="B164" s="1">
        <v>45689</v>
      </c>
      <c r="C164" t="s">
        <v>229</v>
      </c>
      <c r="D164" t="s">
        <v>54</v>
      </c>
      <c r="E164" t="s">
        <v>64</v>
      </c>
      <c r="F164" t="s">
        <v>54</v>
      </c>
      <c r="G164">
        <v>358.81</v>
      </c>
      <c r="H164" t="s">
        <v>15</v>
      </c>
      <c r="I164" t="s">
        <v>36</v>
      </c>
      <c r="J164" t="s">
        <v>56</v>
      </c>
    </row>
    <row r="165" spans="1:10" x14ac:dyDescent="0.35">
      <c r="A165" t="s">
        <v>317</v>
      </c>
      <c r="B165" s="1">
        <v>45689</v>
      </c>
      <c r="C165" t="s">
        <v>206</v>
      </c>
      <c r="D165" t="s">
        <v>29</v>
      </c>
      <c r="E165" t="s">
        <v>95</v>
      </c>
      <c r="F165" t="s">
        <v>14</v>
      </c>
      <c r="G165">
        <v>79.87</v>
      </c>
      <c r="H165" t="s">
        <v>15</v>
      </c>
      <c r="I165" t="s">
        <v>36</v>
      </c>
      <c r="J165" t="s">
        <v>31</v>
      </c>
    </row>
    <row r="166" spans="1:10" x14ac:dyDescent="0.35">
      <c r="A166" t="s">
        <v>318</v>
      </c>
      <c r="B166" s="1">
        <v>45689</v>
      </c>
      <c r="C166" t="s">
        <v>269</v>
      </c>
      <c r="D166" t="s">
        <v>34</v>
      </c>
      <c r="E166" t="s">
        <v>35</v>
      </c>
      <c r="F166" t="s">
        <v>14</v>
      </c>
      <c r="G166">
        <v>152.44</v>
      </c>
      <c r="H166" t="s">
        <v>21</v>
      </c>
      <c r="I166" t="s">
        <v>47</v>
      </c>
      <c r="J166" t="s">
        <v>123</v>
      </c>
    </row>
    <row r="167" spans="1:10" x14ac:dyDescent="0.35">
      <c r="A167" t="s">
        <v>319</v>
      </c>
      <c r="B167" s="1">
        <v>45689</v>
      </c>
      <c r="C167" t="s">
        <v>172</v>
      </c>
      <c r="D167" t="s">
        <v>101</v>
      </c>
      <c r="E167" t="s">
        <v>102</v>
      </c>
      <c r="F167" t="s">
        <v>14</v>
      </c>
      <c r="G167">
        <v>45.53</v>
      </c>
      <c r="H167" t="s">
        <v>15</v>
      </c>
      <c r="I167" t="s">
        <v>47</v>
      </c>
      <c r="J167" t="s">
        <v>102</v>
      </c>
    </row>
    <row r="168" spans="1:10" x14ac:dyDescent="0.35">
      <c r="A168" t="s">
        <v>320</v>
      </c>
      <c r="B168" s="1">
        <v>45689</v>
      </c>
      <c r="C168" t="s">
        <v>177</v>
      </c>
      <c r="D168" t="s">
        <v>54</v>
      </c>
      <c r="E168" t="s">
        <v>74</v>
      </c>
      <c r="F168" t="s">
        <v>54</v>
      </c>
      <c r="G168">
        <v>2479.37</v>
      </c>
      <c r="H168" t="s">
        <v>15</v>
      </c>
      <c r="I168" t="s">
        <v>47</v>
      </c>
      <c r="J168" t="s">
        <v>56</v>
      </c>
    </row>
    <row r="169" spans="1:10" x14ac:dyDescent="0.35">
      <c r="A169" t="s">
        <v>321</v>
      </c>
      <c r="B169" s="1">
        <v>45690</v>
      </c>
      <c r="C169" t="s">
        <v>63</v>
      </c>
      <c r="D169" t="s">
        <v>54</v>
      </c>
      <c r="E169" t="s">
        <v>64</v>
      </c>
      <c r="F169" t="s">
        <v>54</v>
      </c>
      <c r="G169">
        <v>392.65</v>
      </c>
      <c r="H169" t="s">
        <v>21</v>
      </c>
      <c r="I169" t="s">
        <v>36</v>
      </c>
      <c r="J169" t="s">
        <v>65</v>
      </c>
    </row>
    <row r="170" spans="1:10" x14ac:dyDescent="0.35">
      <c r="A170" t="s">
        <v>322</v>
      </c>
      <c r="B170" s="1">
        <v>45690</v>
      </c>
      <c r="C170" t="s">
        <v>109</v>
      </c>
      <c r="D170" t="s">
        <v>34</v>
      </c>
      <c r="E170" t="s">
        <v>35</v>
      </c>
      <c r="F170" t="s">
        <v>14</v>
      </c>
      <c r="G170">
        <v>421.2</v>
      </c>
      <c r="H170" t="s">
        <v>15</v>
      </c>
      <c r="I170" t="s">
        <v>47</v>
      </c>
      <c r="J170" t="s">
        <v>41</v>
      </c>
    </row>
    <row r="171" spans="1:10" x14ac:dyDescent="0.35">
      <c r="A171" t="s">
        <v>323</v>
      </c>
      <c r="B171" s="1">
        <v>45690</v>
      </c>
      <c r="C171" t="s">
        <v>324</v>
      </c>
      <c r="D171" t="s">
        <v>80</v>
      </c>
      <c r="E171" t="s">
        <v>92</v>
      </c>
      <c r="F171" t="s">
        <v>14</v>
      </c>
      <c r="G171">
        <v>42.93</v>
      </c>
      <c r="H171" t="s">
        <v>15</v>
      </c>
      <c r="I171" t="s">
        <v>22</v>
      </c>
      <c r="J171" t="s">
        <v>161</v>
      </c>
    </row>
    <row r="172" spans="1:10" x14ac:dyDescent="0.35">
      <c r="A172" t="s">
        <v>325</v>
      </c>
      <c r="B172" s="1">
        <v>45690</v>
      </c>
      <c r="C172" t="s">
        <v>11</v>
      </c>
      <c r="D172" t="s">
        <v>12</v>
      </c>
      <c r="E172" t="s">
        <v>13</v>
      </c>
      <c r="F172" t="s">
        <v>14</v>
      </c>
      <c r="G172">
        <v>52.2</v>
      </c>
      <c r="H172" t="s">
        <v>15</v>
      </c>
      <c r="I172" t="s">
        <v>47</v>
      </c>
      <c r="J172" t="s">
        <v>17</v>
      </c>
    </row>
    <row r="173" spans="1:10" x14ac:dyDescent="0.35">
      <c r="A173" t="s">
        <v>326</v>
      </c>
      <c r="B173" s="1">
        <v>45690</v>
      </c>
      <c r="C173" t="s">
        <v>229</v>
      </c>
      <c r="D173" t="s">
        <v>54</v>
      </c>
      <c r="E173" t="s">
        <v>64</v>
      </c>
      <c r="F173" t="s">
        <v>54</v>
      </c>
      <c r="G173">
        <v>355.83</v>
      </c>
      <c r="H173" t="s">
        <v>15</v>
      </c>
      <c r="I173" t="s">
        <v>16</v>
      </c>
      <c r="J173" t="s">
        <v>56</v>
      </c>
    </row>
    <row r="174" spans="1:10" x14ac:dyDescent="0.35">
      <c r="A174" t="s">
        <v>327</v>
      </c>
      <c r="B174" s="1">
        <v>45690</v>
      </c>
      <c r="C174" t="s">
        <v>227</v>
      </c>
      <c r="D174" t="s">
        <v>12</v>
      </c>
      <c r="E174" t="s">
        <v>51</v>
      </c>
      <c r="F174" t="s">
        <v>14</v>
      </c>
      <c r="G174">
        <v>32.659999999999997</v>
      </c>
      <c r="H174" t="s">
        <v>15</v>
      </c>
      <c r="I174" t="s">
        <v>47</v>
      </c>
      <c r="J174" t="s">
        <v>17</v>
      </c>
    </row>
    <row r="175" spans="1:10" x14ac:dyDescent="0.35">
      <c r="A175" t="s">
        <v>328</v>
      </c>
      <c r="B175" s="1">
        <v>45691</v>
      </c>
      <c r="C175" t="s">
        <v>262</v>
      </c>
      <c r="D175" t="s">
        <v>101</v>
      </c>
      <c r="E175" t="s">
        <v>244</v>
      </c>
      <c r="F175" t="s">
        <v>14</v>
      </c>
      <c r="G175">
        <v>109.5</v>
      </c>
      <c r="H175" t="s">
        <v>15</v>
      </c>
      <c r="I175" t="s">
        <v>22</v>
      </c>
      <c r="J175" t="s">
        <v>136</v>
      </c>
    </row>
    <row r="176" spans="1:10" x14ac:dyDescent="0.35">
      <c r="A176" t="s">
        <v>329</v>
      </c>
      <c r="B176" s="1">
        <v>45691</v>
      </c>
      <c r="C176" t="s">
        <v>248</v>
      </c>
      <c r="D176" t="s">
        <v>80</v>
      </c>
      <c r="E176" t="s">
        <v>81</v>
      </c>
      <c r="F176" t="s">
        <v>14</v>
      </c>
      <c r="G176">
        <v>47.11</v>
      </c>
      <c r="H176" t="s">
        <v>15</v>
      </c>
      <c r="I176" t="s">
        <v>47</v>
      </c>
      <c r="J176" t="s">
        <v>161</v>
      </c>
    </row>
    <row r="177" spans="1:10" x14ac:dyDescent="0.35">
      <c r="A177" t="s">
        <v>330</v>
      </c>
      <c r="B177" s="1">
        <v>45691</v>
      </c>
      <c r="C177" t="s">
        <v>331</v>
      </c>
      <c r="D177" t="s">
        <v>29</v>
      </c>
      <c r="E177" t="s">
        <v>95</v>
      </c>
      <c r="F177" t="s">
        <v>14</v>
      </c>
      <c r="G177">
        <v>25.78</v>
      </c>
      <c r="H177" t="s">
        <v>15</v>
      </c>
      <c r="I177" t="s">
        <v>22</v>
      </c>
      <c r="J177" t="s">
        <v>151</v>
      </c>
    </row>
    <row r="178" spans="1:10" x14ac:dyDescent="0.35">
      <c r="A178" t="s">
        <v>332</v>
      </c>
      <c r="B178" s="1">
        <v>45691</v>
      </c>
      <c r="C178" t="s">
        <v>259</v>
      </c>
      <c r="D178" t="s">
        <v>59</v>
      </c>
      <c r="E178" t="s">
        <v>199</v>
      </c>
      <c r="F178" t="s">
        <v>14</v>
      </c>
      <c r="G178">
        <v>157.02000000000001</v>
      </c>
      <c r="H178" t="s">
        <v>98</v>
      </c>
      <c r="I178" t="s">
        <v>36</v>
      </c>
      <c r="J178" t="s">
        <v>170</v>
      </c>
    </row>
    <row r="179" spans="1:10" x14ac:dyDescent="0.35">
      <c r="A179" t="s">
        <v>333</v>
      </c>
      <c r="B179" s="1">
        <v>45691</v>
      </c>
      <c r="C179" t="s">
        <v>217</v>
      </c>
      <c r="D179" t="s">
        <v>80</v>
      </c>
      <c r="E179" t="s">
        <v>81</v>
      </c>
      <c r="F179" t="s">
        <v>14</v>
      </c>
      <c r="G179">
        <v>40.68</v>
      </c>
      <c r="H179" t="s">
        <v>15</v>
      </c>
      <c r="I179" t="s">
        <v>47</v>
      </c>
      <c r="J179" t="s">
        <v>180</v>
      </c>
    </row>
    <row r="180" spans="1:10" x14ac:dyDescent="0.35">
      <c r="A180" t="s">
        <v>334</v>
      </c>
      <c r="B180" s="1">
        <v>45691</v>
      </c>
      <c r="C180" t="s">
        <v>272</v>
      </c>
      <c r="D180" t="s">
        <v>54</v>
      </c>
      <c r="E180" t="s">
        <v>55</v>
      </c>
      <c r="F180" t="s">
        <v>54</v>
      </c>
      <c r="G180">
        <v>753.44</v>
      </c>
      <c r="H180" t="s">
        <v>15</v>
      </c>
      <c r="I180" t="s">
        <v>22</v>
      </c>
      <c r="J180" t="s">
        <v>65</v>
      </c>
    </row>
    <row r="181" spans="1:10" x14ac:dyDescent="0.35">
      <c r="A181" t="s">
        <v>335</v>
      </c>
      <c r="B181" s="1">
        <v>45691</v>
      </c>
      <c r="C181" t="s">
        <v>220</v>
      </c>
      <c r="D181" t="s">
        <v>59</v>
      </c>
      <c r="E181" t="s">
        <v>199</v>
      </c>
      <c r="F181" t="s">
        <v>14</v>
      </c>
      <c r="G181">
        <v>81.650000000000006</v>
      </c>
      <c r="H181" t="s">
        <v>15</v>
      </c>
      <c r="I181" t="s">
        <v>47</v>
      </c>
      <c r="J181" t="s">
        <v>211</v>
      </c>
    </row>
    <row r="182" spans="1:10" x14ac:dyDescent="0.35">
      <c r="A182" t="s">
        <v>336</v>
      </c>
      <c r="B182" s="1">
        <v>45691</v>
      </c>
      <c r="C182" t="s">
        <v>192</v>
      </c>
      <c r="D182" t="s">
        <v>80</v>
      </c>
      <c r="E182" t="s">
        <v>92</v>
      </c>
      <c r="F182" t="s">
        <v>14</v>
      </c>
      <c r="G182">
        <v>107.93</v>
      </c>
      <c r="H182" t="s">
        <v>98</v>
      </c>
      <c r="I182" t="s">
        <v>84</v>
      </c>
      <c r="J182" t="s">
        <v>180</v>
      </c>
    </row>
    <row r="183" spans="1:10" x14ac:dyDescent="0.35">
      <c r="A183" t="s">
        <v>337</v>
      </c>
      <c r="B183" s="1">
        <v>45691</v>
      </c>
      <c r="C183" t="s">
        <v>194</v>
      </c>
      <c r="D183" t="s">
        <v>101</v>
      </c>
      <c r="E183" t="s">
        <v>136</v>
      </c>
      <c r="F183" t="s">
        <v>14</v>
      </c>
      <c r="G183">
        <v>57.96</v>
      </c>
      <c r="H183" t="s">
        <v>21</v>
      </c>
      <c r="I183" t="s">
        <v>22</v>
      </c>
      <c r="J183" t="s">
        <v>103</v>
      </c>
    </row>
    <row r="184" spans="1:10" x14ac:dyDescent="0.35">
      <c r="A184" t="s">
        <v>338</v>
      </c>
      <c r="B184" s="1">
        <v>45692</v>
      </c>
      <c r="C184" t="s">
        <v>138</v>
      </c>
      <c r="D184" t="s">
        <v>12</v>
      </c>
      <c r="E184" t="s">
        <v>26</v>
      </c>
      <c r="F184" t="s">
        <v>14</v>
      </c>
      <c r="G184">
        <v>63.59</v>
      </c>
      <c r="H184" t="s">
        <v>21</v>
      </c>
      <c r="I184" t="s">
        <v>22</v>
      </c>
      <c r="J184" t="s">
        <v>77</v>
      </c>
    </row>
    <row r="185" spans="1:10" x14ac:dyDescent="0.35">
      <c r="A185" t="s">
        <v>339</v>
      </c>
      <c r="B185" s="1">
        <v>45692</v>
      </c>
      <c r="C185" t="s">
        <v>177</v>
      </c>
      <c r="D185" t="s">
        <v>54</v>
      </c>
      <c r="E185" t="s">
        <v>74</v>
      </c>
      <c r="F185" t="s">
        <v>54</v>
      </c>
      <c r="G185">
        <v>2944.13</v>
      </c>
      <c r="H185" t="s">
        <v>15</v>
      </c>
      <c r="I185" t="s">
        <v>84</v>
      </c>
      <c r="J185" t="s">
        <v>56</v>
      </c>
    </row>
    <row r="186" spans="1:10" x14ac:dyDescent="0.35">
      <c r="A186" t="s">
        <v>340</v>
      </c>
      <c r="B186" s="1">
        <v>45692</v>
      </c>
      <c r="C186" t="s">
        <v>143</v>
      </c>
      <c r="D186" t="s">
        <v>54</v>
      </c>
      <c r="E186" t="s">
        <v>55</v>
      </c>
      <c r="F186" t="s">
        <v>54</v>
      </c>
      <c r="G186">
        <v>736.05</v>
      </c>
      <c r="H186" t="s">
        <v>15</v>
      </c>
      <c r="I186" t="s">
        <v>47</v>
      </c>
      <c r="J186" t="s">
        <v>89</v>
      </c>
    </row>
    <row r="187" spans="1:10" x14ac:dyDescent="0.35">
      <c r="A187" t="s">
        <v>341</v>
      </c>
      <c r="B187" s="1">
        <v>45693</v>
      </c>
      <c r="C187" t="s">
        <v>168</v>
      </c>
      <c r="D187" t="s">
        <v>59</v>
      </c>
      <c r="E187" t="s">
        <v>60</v>
      </c>
      <c r="F187" t="s">
        <v>14</v>
      </c>
      <c r="G187">
        <v>450.59</v>
      </c>
      <c r="H187" t="s">
        <v>21</v>
      </c>
      <c r="I187" t="s">
        <v>22</v>
      </c>
      <c r="J187" t="s">
        <v>170</v>
      </c>
    </row>
    <row r="188" spans="1:10" x14ac:dyDescent="0.35">
      <c r="A188" t="s">
        <v>342</v>
      </c>
      <c r="B188" s="1">
        <v>45693</v>
      </c>
      <c r="C188" t="s">
        <v>272</v>
      </c>
      <c r="D188" t="s">
        <v>54</v>
      </c>
      <c r="E188" t="s">
        <v>55</v>
      </c>
      <c r="F188" t="s">
        <v>54</v>
      </c>
      <c r="G188">
        <v>874.32</v>
      </c>
      <c r="H188" t="s">
        <v>15</v>
      </c>
      <c r="I188" t="s">
        <v>36</v>
      </c>
      <c r="J188" t="s">
        <v>65</v>
      </c>
    </row>
    <row r="189" spans="1:10" x14ac:dyDescent="0.35">
      <c r="A189" t="s">
        <v>343</v>
      </c>
      <c r="B189" s="1">
        <v>45693</v>
      </c>
      <c r="C189" t="s">
        <v>140</v>
      </c>
      <c r="D189" t="s">
        <v>80</v>
      </c>
      <c r="E189" t="s">
        <v>81</v>
      </c>
      <c r="F189" t="s">
        <v>14</v>
      </c>
      <c r="G189">
        <v>48.81</v>
      </c>
      <c r="H189" t="s">
        <v>15</v>
      </c>
      <c r="I189" t="s">
        <v>84</v>
      </c>
      <c r="J189" t="s">
        <v>141</v>
      </c>
    </row>
    <row r="190" spans="1:10" x14ac:dyDescent="0.35">
      <c r="A190" t="s">
        <v>344</v>
      </c>
      <c r="B190" s="1">
        <v>45694</v>
      </c>
      <c r="C190" t="s">
        <v>345</v>
      </c>
      <c r="D190" t="s">
        <v>59</v>
      </c>
      <c r="E190" t="s">
        <v>60</v>
      </c>
      <c r="F190" t="s">
        <v>14</v>
      </c>
      <c r="G190">
        <v>203.8</v>
      </c>
      <c r="H190" t="s">
        <v>21</v>
      </c>
      <c r="I190" t="s">
        <v>47</v>
      </c>
      <c r="J190" t="s">
        <v>211</v>
      </c>
    </row>
    <row r="191" spans="1:10" x14ac:dyDescent="0.35">
      <c r="A191" t="s">
        <v>346</v>
      </c>
      <c r="B191" s="1">
        <v>45695</v>
      </c>
      <c r="C191" t="s">
        <v>347</v>
      </c>
      <c r="D191" t="s">
        <v>29</v>
      </c>
      <c r="E191" t="s">
        <v>151</v>
      </c>
      <c r="F191" t="s">
        <v>14</v>
      </c>
      <c r="G191">
        <v>36.86</v>
      </c>
      <c r="H191" t="s">
        <v>15</v>
      </c>
      <c r="I191" t="s">
        <v>47</v>
      </c>
      <c r="J191" t="s">
        <v>96</v>
      </c>
    </row>
    <row r="192" spans="1:10" x14ac:dyDescent="0.35">
      <c r="A192" t="s">
        <v>348</v>
      </c>
      <c r="B192" s="1">
        <v>45695</v>
      </c>
      <c r="C192" t="s">
        <v>168</v>
      </c>
      <c r="D192" t="s">
        <v>59</v>
      </c>
      <c r="E192" t="s">
        <v>60</v>
      </c>
      <c r="F192" t="s">
        <v>14</v>
      </c>
      <c r="G192">
        <v>288.74</v>
      </c>
      <c r="H192" t="s">
        <v>15</v>
      </c>
      <c r="I192" t="s">
        <v>22</v>
      </c>
      <c r="J192" t="s">
        <v>170</v>
      </c>
    </row>
    <row r="193" spans="1:10" x14ac:dyDescent="0.35">
      <c r="A193" t="s">
        <v>349</v>
      </c>
      <c r="B193" s="1">
        <v>45695</v>
      </c>
      <c r="C193" t="s">
        <v>350</v>
      </c>
      <c r="D193" t="s">
        <v>29</v>
      </c>
      <c r="E193" t="s">
        <v>151</v>
      </c>
      <c r="F193" t="s">
        <v>14</v>
      </c>
      <c r="G193">
        <v>110.12</v>
      </c>
      <c r="H193" t="s">
        <v>15</v>
      </c>
      <c r="I193" t="s">
        <v>22</v>
      </c>
      <c r="J193" t="s">
        <v>158</v>
      </c>
    </row>
    <row r="194" spans="1:10" x14ac:dyDescent="0.35">
      <c r="A194" t="s">
        <v>351</v>
      </c>
      <c r="B194" s="1">
        <v>45695</v>
      </c>
      <c r="C194" t="s">
        <v>177</v>
      </c>
      <c r="D194" t="s">
        <v>54</v>
      </c>
      <c r="E194" t="s">
        <v>74</v>
      </c>
      <c r="F194" t="s">
        <v>54</v>
      </c>
      <c r="G194">
        <v>2624.62</v>
      </c>
      <c r="H194" t="s">
        <v>21</v>
      </c>
      <c r="I194" t="s">
        <v>47</v>
      </c>
      <c r="J194" t="s">
        <v>56</v>
      </c>
    </row>
    <row r="195" spans="1:10" x14ac:dyDescent="0.35">
      <c r="A195" t="s">
        <v>352</v>
      </c>
      <c r="B195" s="1">
        <v>45695</v>
      </c>
      <c r="C195" t="s">
        <v>217</v>
      </c>
      <c r="D195" t="s">
        <v>80</v>
      </c>
      <c r="E195" t="s">
        <v>81</v>
      </c>
      <c r="F195" t="s">
        <v>14</v>
      </c>
      <c r="G195">
        <v>44.1</v>
      </c>
      <c r="H195" t="s">
        <v>21</v>
      </c>
      <c r="I195" t="s">
        <v>47</v>
      </c>
      <c r="J195" t="s">
        <v>180</v>
      </c>
    </row>
    <row r="196" spans="1:10" x14ac:dyDescent="0.35">
      <c r="A196" t="s">
        <v>353</v>
      </c>
      <c r="B196" s="1">
        <v>45695</v>
      </c>
      <c r="C196" t="s">
        <v>177</v>
      </c>
      <c r="D196" t="s">
        <v>54</v>
      </c>
      <c r="E196" t="s">
        <v>74</v>
      </c>
      <c r="F196" t="s">
        <v>54</v>
      </c>
      <c r="G196">
        <v>2950.89</v>
      </c>
      <c r="H196" t="s">
        <v>21</v>
      </c>
      <c r="I196" t="s">
        <v>22</v>
      </c>
      <c r="J196" t="s">
        <v>56</v>
      </c>
    </row>
    <row r="197" spans="1:10" x14ac:dyDescent="0.35">
      <c r="A197" t="s">
        <v>354</v>
      </c>
      <c r="B197" s="1">
        <v>45695</v>
      </c>
      <c r="C197" t="s">
        <v>63</v>
      </c>
      <c r="D197" t="s">
        <v>54</v>
      </c>
      <c r="E197" t="s">
        <v>64</v>
      </c>
      <c r="F197" t="s">
        <v>54</v>
      </c>
      <c r="G197">
        <v>388.97</v>
      </c>
      <c r="H197" t="s">
        <v>15</v>
      </c>
      <c r="I197" t="s">
        <v>36</v>
      </c>
      <c r="J197" t="s">
        <v>65</v>
      </c>
    </row>
    <row r="198" spans="1:10" x14ac:dyDescent="0.35">
      <c r="A198" t="s">
        <v>355</v>
      </c>
      <c r="B198" s="1">
        <v>45696</v>
      </c>
      <c r="C198" t="s">
        <v>153</v>
      </c>
      <c r="D198" t="s">
        <v>34</v>
      </c>
      <c r="E198" t="s">
        <v>122</v>
      </c>
      <c r="F198" t="s">
        <v>14</v>
      </c>
      <c r="G198">
        <v>86.74</v>
      </c>
      <c r="H198" t="s">
        <v>15</v>
      </c>
      <c r="I198" t="s">
        <v>84</v>
      </c>
      <c r="J198" t="s">
        <v>41</v>
      </c>
    </row>
    <row r="199" spans="1:10" x14ac:dyDescent="0.35">
      <c r="A199" t="s">
        <v>356</v>
      </c>
      <c r="B199" s="1">
        <v>45696</v>
      </c>
      <c r="C199" t="s">
        <v>63</v>
      </c>
      <c r="D199" t="s">
        <v>54</v>
      </c>
      <c r="E199" t="s">
        <v>64</v>
      </c>
      <c r="F199" t="s">
        <v>54</v>
      </c>
      <c r="G199">
        <v>328.63</v>
      </c>
      <c r="H199" t="s">
        <v>21</v>
      </c>
      <c r="I199" t="s">
        <v>22</v>
      </c>
      <c r="J199" t="s">
        <v>65</v>
      </c>
    </row>
    <row r="200" spans="1:10" x14ac:dyDescent="0.35">
      <c r="A200" t="s">
        <v>357</v>
      </c>
      <c r="B200" s="1">
        <v>45697</v>
      </c>
      <c r="C200" t="s">
        <v>296</v>
      </c>
      <c r="D200" t="s">
        <v>101</v>
      </c>
      <c r="E200" t="s">
        <v>136</v>
      </c>
      <c r="F200" t="s">
        <v>14</v>
      </c>
      <c r="G200">
        <v>57.12</v>
      </c>
      <c r="H200" t="s">
        <v>21</v>
      </c>
      <c r="I200" t="s">
        <v>36</v>
      </c>
      <c r="J200" t="s">
        <v>136</v>
      </c>
    </row>
    <row r="201" spans="1:10" x14ac:dyDescent="0.35">
      <c r="A201" t="s">
        <v>358</v>
      </c>
      <c r="B201" s="1">
        <v>45697</v>
      </c>
      <c r="C201" t="s">
        <v>121</v>
      </c>
      <c r="D201" t="s">
        <v>34</v>
      </c>
      <c r="E201" t="s">
        <v>122</v>
      </c>
      <c r="F201" t="s">
        <v>14</v>
      </c>
      <c r="G201">
        <v>175.26</v>
      </c>
      <c r="H201" t="s">
        <v>15</v>
      </c>
      <c r="I201" t="s">
        <v>22</v>
      </c>
      <c r="J201" t="s">
        <v>123</v>
      </c>
    </row>
    <row r="202" spans="1:10" x14ac:dyDescent="0.35">
      <c r="A202" t="s">
        <v>359</v>
      </c>
      <c r="B202" s="1">
        <v>45697</v>
      </c>
      <c r="C202" t="s">
        <v>130</v>
      </c>
      <c r="D202" t="s">
        <v>12</v>
      </c>
      <c r="E202" t="s">
        <v>26</v>
      </c>
      <c r="F202" t="s">
        <v>14</v>
      </c>
      <c r="G202">
        <v>146.75</v>
      </c>
      <c r="H202" t="s">
        <v>15</v>
      </c>
      <c r="I202" t="s">
        <v>47</v>
      </c>
      <c r="J202" t="s">
        <v>48</v>
      </c>
    </row>
    <row r="203" spans="1:10" x14ac:dyDescent="0.35">
      <c r="A203" t="s">
        <v>360</v>
      </c>
      <c r="B203" s="1">
        <v>45698</v>
      </c>
      <c r="C203" t="s">
        <v>220</v>
      </c>
      <c r="D203" t="s">
        <v>59</v>
      </c>
      <c r="E203" t="s">
        <v>199</v>
      </c>
      <c r="F203" t="s">
        <v>14</v>
      </c>
      <c r="G203">
        <v>247.8</v>
      </c>
      <c r="H203" t="s">
        <v>98</v>
      </c>
      <c r="I203" t="s">
        <v>36</v>
      </c>
      <c r="J203" t="s">
        <v>211</v>
      </c>
    </row>
    <row r="204" spans="1:10" x14ac:dyDescent="0.35">
      <c r="A204" t="s">
        <v>361</v>
      </c>
      <c r="B204" s="1">
        <v>45698</v>
      </c>
      <c r="C204" t="s">
        <v>125</v>
      </c>
      <c r="D204" t="s">
        <v>12</v>
      </c>
      <c r="E204" t="s">
        <v>13</v>
      </c>
      <c r="F204" t="s">
        <v>14</v>
      </c>
      <c r="G204">
        <v>10.17</v>
      </c>
      <c r="H204" t="s">
        <v>15</v>
      </c>
      <c r="I204" t="s">
        <v>22</v>
      </c>
      <c r="J204" t="s">
        <v>44</v>
      </c>
    </row>
    <row r="205" spans="1:10" x14ac:dyDescent="0.35">
      <c r="A205" t="s">
        <v>362</v>
      </c>
      <c r="B205" s="1">
        <v>45698</v>
      </c>
      <c r="C205" t="s">
        <v>63</v>
      </c>
      <c r="D205" t="s">
        <v>54</v>
      </c>
      <c r="E205" t="s">
        <v>64</v>
      </c>
      <c r="F205" t="s">
        <v>54</v>
      </c>
      <c r="G205">
        <v>367.04</v>
      </c>
      <c r="H205" t="s">
        <v>21</v>
      </c>
      <c r="I205" t="s">
        <v>47</v>
      </c>
      <c r="J205" t="s">
        <v>65</v>
      </c>
    </row>
    <row r="206" spans="1:10" x14ac:dyDescent="0.35">
      <c r="A206" t="s">
        <v>363</v>
      </c>
      <c r="B206" s="1">
        <v>45698</v>
      </c>
      <c r="C206" t="s">
        <v>175</v>
      </c>
      <c r="D206" t="s">
        <v>80</v>
      </c>
      <c r="E206" t="s">
        <v>92</v>
      </c>
      <c r="F206" t="s">
        <v>14</v>
      </c>
      <c r="G206">
        <v>68.14</v>
      </c>
      <c r="H206" t="s">
        <v>15</v>
      </c>
      <c r="I206" t="s">
        <v>22</v>
      </c>
      <c r="J206" t="s">
        <v>141</v>
      </c>
    </row>
    <row r="207" spans="1:10" x14ac:dyDescent="0.35">
      <c r="A207" t="s">
        <v>364</v>
      </c>
      <c r="B207" s="1">
        <v>45698</v>
      </c>
      <c r="C207" t="s">
        <v>269</v>
      </c>
      <c r="D207" t="s">
        <v>34</v>
      </c>
      <c r="E207" t="s">
        <v>35</v>
      </c>
      <c r="F207" t="s">
        <v>14</v>
      </c>
      <c r="G207">
        <v>203.1</v>
      </c>
      <c r="H207" t="s">
        <v>21</v>
      </c>
      <c r="I207" t="s">
        <v>16</v>
      </c>
      <c r="J207" t="s">
        <v>123</v>
      </c>
    </row>
    <row r="208" spans="1:10" x14ac:dyDescent="0.35">
      <c r="A208" t="s">
        <v>365</v>
      </c>
      <c r="B208" s="1">
        <v>45699</v>
      </c>
      <c r="C208" t="s">
        <v>25</v>
      </c>
      <c r="D208" t="s">
        <v>12</v>
      </c>
      <c r="E208" t="s">
        <v>26</v>
      </c>
      <c r="F208" t="s">
        <v>14</v>
      </c>
      <c r="G208">
        <v>32.65</v>
      </c>
      <c r="H208" t="s">
        <v>15</v>
      </c>
      <c r="I208" t="s">
        <v>36</v>
      </c>
      <c r="J208" t="s">
        <v>17</v>
      </c>
    </row>
    <row r="209" spans="1:10" x14ac:dyDescent="0.35">
      <c r="A209" t="s">
        <v>366</v>
      </c>
      <c r="B209" s="1">
        <v>45699</v>
      </c>
      <c r="C209" t="s">
        <v>262</v>
      </c>
      <c r="D209" t="s">
        <v>101</v>
      </c>
      <c r="E209" t="s">
        <v>244</v>
      </c>
      <c r="F209" t="s">
        <v>14</v>
      </c>
      <c r="G209">
        <v>148.1</v>
      </c>
      <c r="H209" t="s">
        <v>98</v>
      </c>
      <c r="I209" t="s">
        <v>22</v>
      </c>
      <c r="J209" t="s">
        <v>136</v>
      </c>
    </row>
    <row r="210" spans="1:10" x14ac:dyDescent="0.35">
      <c r="A210" t="s">
        <v>367</v>
      </c>
      <c r="B210" s="1">
        <v>45699</v>
      </c>
      <c r="C210" t="s">
        <v>138</v>
      </c>
      <c r="D210" t="s">
        <v>12</v>
      </c>
      <c r="E210" t="s">
        <v>26</v>
      </c>
      <c r="F210" t="s">
        <v>14</v>
      </c>
      <c r="G210">
        <v>59.09</v>
      </c>
      <c r="H210" t="s">
        <v>21</v>
      </c>
      <c r="I210" t="s">
        <v>47</v>
      </c>
      <c r="J210" t="s">
        <v>77</v>
      </c>
    </row>
    <row r="211" spans="1:10" x14ac:dyDescent="0.35">
      <c r="A211" t="s">
        <v>368</v>
      </c>
      <c r="B211" s="1">
        <v>45699</v>
      </c>
      <c r="C211" t="s">
        <v>73</v>
      </c>
      <c r="D211" t="s">
        <v>54</v>
      </c>
      <c r="E211" t="s">
        <v>74</v>
      </c>
      <c r="F211" t="s">
        <v>54</v>
      </c>
      <c r="G211">
        <v>2835.12</v>
      </c>
      <c r="H211" t="s">
        <v>21</v>
      </c>
      <c r="I211" t="s">
        <v>16</v>
      </c>
      <c r="J211" t="s">
        <v>65</v>
      </c>
    </row>
    <row r="212" spans="1:10" x14ac:dyDescent="0.35">
      <c r="A212" t="s">
        <v>369</v>
      </c>
      <c r="B212" s="1">
        <v>45699</v>
      </c>
      <c r="C212" t="s">
        <v>19</v>
      </c>
      <c r="D212" t="s">
        <v>12</v>
      </c>
      <c r="E212" t="s">
        <v>13</v>
      </c>
      <c r="F212" t="s">
        <v>14</v>
      </c>
      <c r="G212">
        <v>74.650000000000006</v>
      </c>
      <c r="H212" t="s">
        <v>15</v>
      </c>
      <c r="I212" t="s">
        <v>16</v>
      </c>
      <c r="J212" t="s">
        <v>23</v>
      </c>
    </row>
    <row r="213" spans="1:10" x14ac:dyDescent="0.35">
      <c r="A213" t="s">
        <v>370</v>
      </c>
      <c r="B213" s="1">
        <v>45699</v>
      </c>
      <c r="C213" t="s">
        <v>256</v>
      </c>
      <c r="D213" t="s">
        <v>34</v>
      </c>
      <c r="E213" t="s">
        <v>40</v>
      </c>
      <c r="F213" t="s">
        <v>14</v>
      </c>
      <c r="G213">
        <v>60.22</v>
      </c>
      <c r="H213" t="s">
        <v>15</v>
      </c>
      <c r="I213" t="s">
        <v>22</v>
      </c>
      <c r="J213" t="s">
        <v>239</v>
      </c>
    </row>
    <row r="214" spans="1:10" x14ac:dyDescent="0.35">
      <c r="A214" t="s">
        <v>371</v>
      </c>
      <c r="B214" s="1">
        <v>45700</v>
      </c>
      <c r="C214" t="s">
        <v>298</v>
      </c>
      <c r="D214" t="s">
        <v>59</v>
      </c>
      <c r="E214" t="s">
        <v>185</v>
      </c>
      <c r="F214" t="s">
        <v>14</v>
      </c>
      <c r="G214">
        <v>583.47</v>
      </c>
      <c r="H214" t="s">
        <v>15</v>
      </c>
      <c r="I214" t="s">
        <v>16</v>
      </c>
      <c r="J214" t="s">
        <v>170</v>
      </c>
    </row>
    <row r="215" spans="1:10" x14ac:dyDescent="0.35">
      <c r="A215" t="s">
        <v>372</v>
      </c>
      <c r="B215" s="1">
        <v>45700</v>
      </c>
      <c r="C215" t="s">
        <v>345</v>
      </c>
      <c r="D215" t="s">
        <v>59</v>
      </c>
      <c r="E215" t="s">
        <v>60</v>
      </c>
      <c r="F215" t="s">
        <v>14</v>
      </c>
      <c r="G215">
        <v>113.67</v>
      </c>
      <c r="H215" t="s">
        <v>15</v>
      </c>
      <c r="I215" t="s">
        <v>36</v>
      </c>
      <c r="J215" t="s">
        <v>211</v>
      </c>
    </row>
    <row r="216" spans="1:10" x14ac:dyDescent="0.35">
      <c r="A216" t="s">
        <v>373</v>
      </c>
      <c r="B216" s="1">
        <v>45700</v>
      </c>
      <c r="C216" t="s">
        <v>130</v>
      </c>
      <c r="D216" t="s">
        <v>12</v>
      </c>
      <c r="E216" t="s">
        <v>26</v>
      </c>
      <c r="F216" t="s">
        <v>14</v>
      </c>
      <c r="G216">
        <v>68.63</v>
      </c>
      <c r="H216" t="s">
        <v>15</v>
      </c>
      <c r="I216" t="s">
        <v>47</v>
      </c>
      <c r="J216" t="s">
        <v>48</v>
      </c>
    </row>
    <row r="217" spans="1:10" x14ac:dyDescent="0.35">
      <c r="A217" t="s">
        <v>374</v>
      </c>
      <c r="B217" s="1">
        <v>45700</v>
      </c>
      <c r="C217" t="s">
        <v>28</v>
      </c>
      <c r="D217" t="s">
        <v>29</v>
      </c>
      <c r="E217" t="s">
        <v>30</v>
      </c>
      <c r="F217" t="s">
        <v>14</v>
      </c>
      <c r="G217">
        <v>20.54</v>
      </c>
      <c r="H217" t="s">
        <v>21</v>
      </c>
      <c r="I217" t="s">
        <v>36</v>
      </c>
      <c r="J217" t="s">
        <v>31</v>
      </c>
    </row>
    <row r="218" spans="1:10" x14ac:dyDescent="0.35">
      <c r="A218" t="s">
        <v>375</v>
      </c>
      <c r="B218" s="1">
        <v>45700</v>
      </c>
      <c r="C218" t="s">
        <v>376</v>
      </c>
      <c r="D218" t="s">
        <v>80</v>
      </c>
      <c r="E218" t="s">
        <v>117</v>
      </c>
      <c r="F218" t="s">
        <v>14</v>
      </c>
      <c r="G218">
        <v>92.02</v>
      </c>
      <c r="H218" t="s">
        <v>15</v>
      </c>
      <c r="I218" t="s">
        <v>22</v>
      </c>
      <c r="J218" t="s">
        <v>82</v>
      </c>
    </row>
    <row r="219" spans="1:10" x14ac:dyDescent="0.35">
      <c r="A219" t="s">
        <v>377</v>
      </c>
      <c r="B219" s="1">
        <v>45700</v>
      </c>
      <c r="C219" t="s">
        <v>88</v>
      </c>
      <c r="D219" t="s">
        <v>54</v>
      </c>
      <c r="E219" t="s">
        <v>74</v>
      </c>
      <c r="F219" t="s">
        <v>54</v>
      </c>
      <c r="G219">
        <v>2659.71</v>
      </c>
      <c r="H219" t="s">
        <v>21</v>
      </c>
      <c r="I219" t="s">
        <v>36</v>
      </c>
      <c r="J219" t="s">
        <v>89</v>
      </c>
    </row>
    <row r="220" spans="1:10" x14ac:dyDescent="0.35">
      <c r="A220" t="s">
        <v>378</v>
      </c>
      <c r="B220" s="1">
        <v>45701</v>
      </c>
      <c r="C220" t="s">
        <v>269</v>
      </c>
      <c r="D220" t="s">
        <v>34</v>
      </c>
      <c r="E220" t="s">
        <v>35</v>
      </c>
      <c r="F220" t="s">
        <v>14</v>
      </c>
      <c r="G220">
        <v>157.99</v>
      </c>
      <c r="H220" t="s">
        <v>15</v>
      </c>
      <c r="I220" t="s">
        <v>22</v>
      </c>
      <c r="J220" t="s">
        <v>123</v>
      </c>
    </row>
    <row r="221" spans="1:10" x14ac:dyDescent="0.35">
      <c r="A221" t="s">
        <v>379</v>
      </c>
      <c r="B221" s="1">
        <v>45701</v>
      </c>
      <c r="C221" t="s">
        <v>155</v>
      </c>
      <c r="D221" t="s">
        <v>12</v>
      </c>
      <c r="E221" t="s">
        <v>51</v>
      </c>
      <c r="F221" t="s">
        <v>14</v>
      </c>
      <c r="G221">
        <v>72.930000000000007</v>
      </c>
      <c r="H221" t="s">
        <v>15</v>
      </c>
      <c r="I221" t="s">
        <v>36</v>
      </c>
      <c r="J221" t="s">
        <v>48</v>
      </c>
    </row>
    <row r="222" spans="1:10" x14ac:dyDescent="0.35">
      <c r="A222" t="s">
        <v>380</v>
      </c>
      <c r="B222" s="1">
        <v>45701</v>
      </c>
      <c r="C222" t="s">
        <v>155</v>
      </c>
      <c r="D222" t="s">
        <v>12</v>
      </c>
      <c r="E222" t="s">
        <v>51</v>
      </c>
      <c r="F222" t="s">
        <v>14</v>
      </c>
      <c r="G222">
        <v>87.38</v>
      </c>
      <c r="H222" t="s">
        <v>21</v>
      </c>
      <c r="I222" t="s">
        <v>16</v>
      </c>
      <c r="J222" t="s">
        <v>48</v>
      </c>
    </row>
    <row r="223" spans="1:10" x14ac:dyDescent="0.35">
      <c r="A223" t="s">
        <v>381</v>
      </c>
      <c r="B223" s="1">
        <v>45701</v>
      </c>
      <c r="C223" t="s">
        <v>111</v>
      </c>
      <c r="D223" t="s">
        <v>12</v>
      </c>
      <c r="E223" t="s">
        <v>26</v>
      </c>
      <c r="F223" t="s">
        <v>14</v>
      </c>
      <c r="G223">
        <v>80.540000000000006</v>
      </c>
      <c r="H223" t="s">
        <v>15</v>
      </c>
      <c r="I223" t="s">
        <v>22</v>
      </c>
      <c r="J223" t="s">
        <v>23</v>
      </c>
    </row>
    <row r="224" spans="1:10" x14ac:dyDescent="0.35">
      <c r="A224" t="s">
        <v>382</v>
      </c>
      <c r="B224" s="1">
        <v>45701</v>
      </c>
      <c r="C224" t="s">
        <v>324</v>
      </c>
      <c r="D224" t="s">
        <v>80</v>
      </c>
      <c r="E224" t="s">
        <v>92</v>
      </c>
      <c r="F224" t="s">
        <v>14</v>
      </c>
      <c r="G224">
        <v>160.82</v>
      </c>
      <c r="H224" t="s">
        <v>21</v>
      </c>
      <c r="I224" t="s">
        <v>22</v>
      </c>
      <c r="J224" t="s">
        <v>161</v>
      </c>
    </row>
    <row r="225" spans="1:10" x14ac:dyDescent="0.35">
      <c r="A225" t="s">
        <v>383</v>
      </c>
      <c r="B225" s="1">
        <v>45701</v>
      </c>
      <c r="C225" t="s">
        <v>259</v>
      </c>
      <c r="D225" t="s">
        <v>59</v>
      </c>
      <c r="E225" t="s">
        <v>199</v>
      </c>
      <c r="F225" t="s">
        <v>14</v>
      </c>
      <c r="G225">
        <v>147.80000000000001</v>
      </c>
      <c r="H225" t="s">
        <v>21</v>
      </c>
      <c r="I225" t="s">
        <v>16</v>
      </c>
      <c r="J225" t="s">
        <v>170</v>
      </c>
    </row>
    <row r="226" spans="1:10" x14ac:dyDescent="0.35">
      <c r="A226" t="s">
        <v>384</v>
      </c>
      <c r="B226" s="1">
        <v>45701</v>
      </c>
      <c r="C226" t="s">
        <v>150</v>
      </c>
      <c r="D226" t="s">
        <v>29</v>
      </c>
      <c r="E226" t="s">
        <v>30</v>
      </c>
      <c r="F226" t="s">
        <v>14</v>
      </c>
      <c r="G226">
        <v>38.39</v>
      </c>
      <c r="H226" t="s">
        <v>15</v>
      </c>
      <c r="I226" t="s">
        <v>22</v>
      </c>
      <c r="J226" t="s">
        <v>151</v>
      </c>
    </row>
    <row r="227" spans="1:10" x14ac:dyDescent="0.35">
      <c r="A227" t="s">
        <v>385</v>
      </c>
      <c r="B227" s="1">
        <v>45701</v>
      </c>
      <c r="C227" t="s">
        <v>298</v>
      </c>
      <c r="D227" t="s">
        <v>59</v>
      </c>
      <c r="E227" t="s">
        <v>185</v>
      </c>
      <c r="F227" t="s">
        <v>14</v>
      </c>
      <c r="G227">
        <v>104.81</v>
      </c>
      <c r="H227" t="s">
        <v>21</v>
      </c>
      <c r="I227" t="s">
        <v>22</v>
      </c>
      <c r="J227" t="s">
        <v>170</v>
      </c>
    </row>
    <row r="228" spans="1:10" x14ac:dyDescent="0.35">
      <c r="A228" t="s">
        <v>386</v>
      </c>
      <c r="B228" s="1">
        <v>45702</v>
      </c>
      <c r="C228" t="s">
        <v>210</v>
      </c>
      <c r="D228" t="s">
        <v>59</v>
      </c>
      <c r="E228" t="s">
        <v>185</v>
      </c>
      <c r="F228" t="s">
        <v>14</v>
      </c>
      <c r="G228">
        <v>228.27</v>
      </c>
      <c r="H228" t="s">
        <v>15</v>
      </c>
      <c r="I228" t="s">
        <v>22</v>
      </c>
      <c r="J228" t="s">
        <v>211</v>
      </c>
    </row>
    <row r="229" spans="1:10" x14ac:dyDescent="0.35">
      <c r="A229" t="s">
        <v>387</v>
      </c>
      <c r="B229" s="1">
        <v>45702</v>
      </c>
      <c r="C229" t="s">
        <v>116</v>
      </c>
      <c r="D229" t="s">
        <v>80</v>
      </c>
      <c r="E229" t="s">
        <v>117</v>
      </c>
      <c r="F229" t="s">
        <v>14</v>
      </c>
      <c r="G229">
        <v>49.49</v>
      </c>
      <c r="H229" t="s">
        <v>21</v>
      </c>
      <c r="I229" t="s">
        <v>22</v>
      </c>
      <c r="J229" t="s">
        <v>118</v>
      </c>
    </row>
    <row r="230" spans="1:10" x14ac:dyDescent="0.35">
      <c r="A230" t="s">
        <v>388</v>
      </c>
      <c r="B230" s="1">
        <v>45702</v>
      </c>
      <c r="C230" t="s">
        <v>76</v>
      </c>
      <c r="D230" t="s">
        <v>12</v>
      </c>
      <c r="E230" t="s">
        <v>13</v>
      </c>
      <c r="F230" t="s">
        <v>14</v>
      </c>
      <c r="G230">
        <v>69.16</v>
      </c>
      <c r="H230" t="s">
        <v>98</v>
      </c>
      <c r="I230" t="s">
        <v>22</v>
      </c>
      <c r="J230" t="s">
        <v>77</v>
      </c>
    </row>
    <row r="231" spans="1:10" x14ac:dyDescent="0.35">
      <c r="A231" t="s">
        <v>389</v>
      </c>
      <c r="B231" s="1">
        <v>45703</v>
      </c>
      <c r="C231" t="s">
        <v>194</v>
      </c>
      <c r="D231" t="s">
        <v>101</v>
      </c>
      <c r="E231" t="s">
        <v>136</v>
      </c>
      <c r="F231" t="s">
        <v>14</v>
      </c>
      <c r="G231">
        <v>85.95</v>
      </c>
      <c r="H231" t="s">
        <v>98</v>
      </c>
      <c r="I231" t="s">
        <v>22</v>
      </c>
      <c r="J231" t="s">
        <v>103</v>
      </c>
    </row>
    <row r="232" spans="1:10" x14ac:dyDescent="0.35">
      <c r="A232" t="s">
        <v>390</v>
      </c>
      <c r="B232" s="1">
        <v>45703</v>
      </c>
      <c r="C232" t="s">
        <v>153</v>
      </c>
      <c r="D232" t="s">
        <v>34</v>
      </c>
      <c r="E232" t="s">
        <v>122</v>
      </c>
      <c r="F232" t="s">
        <v>14</v>
      </c>
      <c r="G232">
        <v>102.24</v>
      </c>
      <c r="H232" t="s">
        <v>21</v>
      </c>
      <c r="I232" t="s">
        <v>36</v>
      </c>
      <c r="J232" t="s">
        <v>41</v>
      </c>
    </row>
    <row r="233" spans="1:10" x14ac:dyDescent="0.35">
      <c r="A233" t="s">
        <v>391</v>
      </c>
      <c r="B233" s="1">
        <v>45703</v>
      </c>
      <c r="C233" t="s">
        <v>253</v>
      </c>
      <c r="D233" t="s">
        <v>29</v>
      </c>
      <c r="E233" t="s">
        <v>30</v>
      </c>
      <c r="F233" t="s">
        <v>14</v>
      </c>
      <c r="G233">
        <v>42.49</v>
      </c>
      <c r="H233" t="s">
        <v>21</v>
      </c>
      <c r="I233" t="s">
        <v>36</v>
      </c>
      <c r="J233" t="s">
        <v>158</v>
      </c>
    </row>
    <row r="234" spans="1:10" x14ac:dyDescent="0.35">
      <c r="A234" t="s">
        <v>392</v>
      </c>
      <c r="B234" s="1">
        <v>45703</v>
      </c>
      <c r="C234" t="s">
        <v>229</v>
      </c>
      <c r="D234" t="s">
        <v>54</v>
      </c>
      <c r="E234" t="s">
        <v>64</v>
      </c>
      <c r="F234" t="s">
        <v>54</v>
      </c>
      <c r="G234">
        <v>321.10000000000002</v>
      </c>
      <c r="H234" t="s">
        <v>98</v>
      </c>
      <c r="I234" t="s">
        <v>47</v>
      </c>
      <c r="J234" t="s">
        <v>56</v>
      </c>
    </row>
    <row r="235" spans="1:10" x14ac:dyDescent="0.35">
      <c r="A235" t="s">
        <v>393</v>
      </c>
      <c r="B235" s="1">
        <v>45703</v>
      </c>
      <c r="C235" t="s">
        <v>248</v>
      </c>
      <c r="D235" t="s">
        <v>80</v>
      </c>
      <c r="E235" t="s">
        <v>81</v>
      </c>
      <c r="F235" t="s">
        <v>14</v>
      </c>
      <c r="G235">
        <v>56.25</v>
      </c>
      <c r="H235" t="s">
        <v>21</v>
      </c>
      <c r="I235" t="s">
        <v>36</v>
      </c>
      <c r="J235" t="s">
        <v>161</v>
      </c>
    </row>
    <row r="236" spans="1:10" x14ac:dyDescent="0.35">
      <c r="A236" t="s">
        <v>394</v>
      </c>
      <c r="B236" s="1">
        <v>45703</v>
      </c>
      <c r="C236" t="s">
        <v>395</v>
      </c>
      <c r="D236" t="s">
        <v>69</v>
      </c>
      <c r="E236" t="s">
        <v>291</v>
      </c>
      <c r="F236" t="s">
        <v>14</v>
      </c>
      <c r="G236">
        <v>725.47</v>
      </c>
      <c r="H236" t="s">
        <v>21</v>
      </c>
      <c r="I236" t="s">
        <v>47</v>
      </c>
      <c r="J236" t="s">
        <v>396</v>
      </c>
    </row>
    <row r="237" spans="1:10" x14ac:dyDescent="0.35">
      <c r="A237" t="s">
        <v>397</v>
      </c>
      <c r="B237" s="1">
        <v>45704</v>
      </c>
      <c r="C237" t="s">
        <v>308</v>
      </c>
      <c r="D237" t="s">
        <v>54</v>
      </c>
      <c r="E237" t="s">
        <v>64</v>
      </c>
      <c r="F237" t="s">
        <v>54</v>
      </c>
      <c r="G237">
        <v>331.41</v>
      </c>
      <c r="H237" t="s">
        <v>15</v>
      </c>
      <c r="I237" t="s">
        <v>36</v>
      </c>
      <c r="J237" t="s">
        <v>89</v>
      </c>
    </row>
    <row r="238" spans="1:10" x14ac:dyDescent="0.35">
      <c r="A238" t="s">
        <v>398</v>
      </c>
      <c r="B238" s="1">
        <v>45704</v>
      </c>
      <c r="C238" t="s">
        <v>189</v>
      </c>
      <c r="D238" t="s">
        <v>34</v>
      </c>
      <c r="E238" t="s">
        <v>122</v>
      </c>
      <c r="F238" t="s">
        <v>14</v>
      </c>
      <c r="G238">
        <v>190.65</v>
      </c>
      <c r="H238" t="s">
        <v>15</v>
      </c>
      <c r="I238" t="s">
        <v>22</v>
      </c>
      <c r="J238" t="s">
        <v>37</v>
      </c>
    </row>
    <row r="239" spans="1:10" x14ac:dyDescent="0.35">
      <c r="A239" t="s">
        <v>399</v>
      </c>
      <c r="B239" s="1">
        <v>45704</v>
      </c>
      <c r="C239" t="s">
        <v>79</v>
      </c>
      <c r="D239" t="s">
        <v>80</v>
      </c>
      <c r="E239" t="s">
        <v>81</v>
      </c>
      <c r="F239" t="s">
        <v>14</v>
      </c>
      <c r="G239">
        <v>59.85</v>
      </c>
      <c r="H239" t="s">
        <v>98</v>
      </c>
      <c r="I239" t="s">
        <v>47</v>
      </c>
      <c r="J239" t="s">
        <v>82</v>
      </c>
    </row>
    <row r="240" spans="1:10" x14ac:dyDescent="0.35">
      <c r="A240" t="s">
        <v>400</v>
      </c>
      <c r="B240" s="1">
        <v>45704</v>
      </c>
      <c r="C240" t="s">
        <v>53</v>
      </c>
      <c r="D240" t="s">
        <v>54</v>
      </c>
      <c r="E240" t="s">
        <v>55</v>
      </c>
      <c r="F240" t="s">
        <v>54</v>
      </c>
      <c r="G240">
        <v>789.51</v>
      </c>
      <c r="H240" t="s">
        <v>98</v>
      </c>
      <c r="I240" t="s">
        <v>22</v>
      </c>
      <c r="J240" t="s">
        <v>56</v>
      </c>
    </row>
    <row r="241" spans="1:10" x14ac:dyDescent="0.35">
      <c r="A241" t="s">
        <v>401</v>
      </c>
      <c r="B241" s="1">
        <v>45705</v>
      </c>
      <c r="C241" t="s">
        <v>243</v>
      </c>
      <c r="D241" t="s">
        <v>101</v>
      </c>
      <c r="E241" t="s">
        <v>244</v>
      </c>
      <c r="F241" t="s">
        <v>14</v>
      </c>
      <c r="G241">
        <v>91.82</v>
      </c>
      <c r="H241" t="s">
        <v>15</v>
      </c>
      <c r="I241" t="s">
        <v>22</v>
      </c>
      <c r="J241" t="s">
        <v>102</v>
      </c>
    </row>
    <row r="242" spans="1:10" x14ac:dyDescent="0.35">
      <c r="A242" t="s">
        <v>402</v>
      </c>
      <c r="B242" s="1">
        <v>45705</v>
      </c>
      <c r="C242" t="s">
        <v>135</v>
      </c>
      <c r="D242" t="s">
        <v>101</v>
      </c>
      <c r="E242" t="s">
        <v>102</v>
      </c>
      <c r="F242" t="s">
        <v>14</v>
      </c>
      <c r="G242">
        <v>19.68</v>
      </c>
      <c r="H242" t="s">
        <v>98</v>
      </c>
      <c r="I242" t="s">
        <v>47</v>
      </c>
      <c r="J242" t="s">
        <v>136</v>
      </c>
    </row>
    <row r="243" spans="1:10" x14ac:dyDescent="0.35">
      <c r="A243" t="s">
        <v>403</v>
      </c>
      <c r="B243" s="1">
        <v>45705</v>
      </c>
      <c r="C243" t="s">
        <v>116</v>
      </c>
      <c r="D243" t="s">
        <v>80</v>
      </c>
      <c r="E243" t="s">
        <v>117</v>
      </c>
      <c r="F243" t="s">
        <v>14</v>
      </c>
      <c r="G243">
        <v>68.56</v>
      </c>
      <c r="H243" t="s">
        <v>15</v>
      </c>
      <c r="I243" t="s">
        <v>36</v>
      </c>
      <c r="J243" t="s">
        <v>118</v>
      </c>
    </row>
    <row r="244" spans="1:10" x14ac:dyDescent="0.35">
      <c r="A244" t="s">
        <v>404</v>
      </c>
      <c r="B244" s="1">
        <v>45705</v>
      </c>
      <c r="C244" t="s">
        <v>100</v>
      </c>
      <c r="D244" t="s">
        <v>101</v>
      </c>
      <c r="E244" t="s">
        <v>102</v>
      </c>
      <c r="F244" t="s">
        <v>14</v>
      </c>
      <c r="G244">
        <v>55.77</v>
      </c>
      <c r="H244" t="s">
        <v>15</v>
      </c>
      <c r="I244" t="s">
        <v>36</v>
      </c>
      <c r="J244" t="s">
        <v>103</v>
      </c>
    </row>
    <row r="245" spans="1:10" x14ac:dyDescent="0.35">
      <c r="A245" t="s">
        <v>405</v>
      </c>
      <c r="B245" s="1">
        <v>45705</v>
      </c>
      <c r="C245" t="s">
        <v>251</v>
      </c>
      <c r="D245" t="s">
        <v>29</v>
      </c>
      <c r="E245" t="s">
        <v>151</v>
      </c>
      <c r="F245" t="s">
        <v>14</v>
      </c>
      <c r="G245">
        <v>58.31</v>
      </c>
      <c r="H245" t="s">
        <v>21</v>
      </c>
      <c r="I245" t="s">
        <v>22</v>
      </c>
      <c r="J245" t="s">
        <v>31</v>
      </c>
    </row>
    <row r="246" spans="1:10" x14ac:dyDescent="0.35">
      <c r="A246" t="s">
        <v>406</v>
      </c>
      <c r="B246" s="1">
        <v>45705</v>
      </c>
      <c r="C246" t="s">
        <v>138</v>
      </c>
      <c r="D246" t="s">
        <v>12</v>
      </c>
      <c r="E246" t="s">
        <v>26</v>
      </c>
      <c r="F246" t="s">
        <v>14</v>
      </c>
      <c r="G246">
        <v>23.03</v>
      </c>
      <c r="H246" t="s">
        <v>15</v>
      </c>
      <c r="I246" t="s">
        <v>36</v>
      </c>
      <c r="J246" t="s">
        <v>77</v>
      </c>
    </row>
    <row r="247" spans="1:10" x14ac:dyDescent="0.35">
      <c r="A247" t="s">
        <v>407</v>
      </c>
      <c r="B247" s="1">
        <v>45706</v>
      </c>
      <c r="C247" t="s">
        <v>100</v>
      </c>
      <c r="D247" t="s">
        <v>101</v>
      </c>
      <c r="E247" t="s">
        <v>102</v>
      </c>
      <c r="F247" t="s">
        <v>14</v>
      </c>
      <c r="G247">
        <v>46.91</v>
      </c>
      <c r="H247" t="s">
        <v>21</v>
      </c>
      <c r="I247" t="s">
        <v>22</v>
      </c>
      <c r="J247" t="s">
        <v>103</v>
      </c>
    </row>
    <row r="248" spans="1:10" x14ac:dyDescent="0.35">
      <c r="A248" t="s">
        <v>408</v>
      </c>
      <c r="B248" s="1">
        <v>45706</v>
      </c>
      <c r="C248" t="s">
        <v>308</v>
      </c>
      <c r="D248" t="s">
        <v>54</v>
      </c>
      <c r="E248" t="s">
        <v>64</v>
      </c>
      <c r="F248" t="s">
        <v>54</v>
      </c>
      <c r="G248">
        <v>331.44</v>
      </c>
      <c r="H248" t="s">
        <v>98</v>
      </c>
      <c r="I248" t="s">
        <v>84</v>
      </c>
      <c r="J248" t="s">
        <v>89</v>
      </c>
    </row>
    <row r="249" spans="1:10" x14ac:dyDescent="0.35">
      <c r="A249" t="s">
        <v>409</v>
      </c>
      <c r="B249" s="1">
        <v>45706</v>
      </c>
      <c r="C249" t="s">
        <v>94</v>
      </c>
      <c r="D249" t="s">
        <v>29</v>
      </c>
      <c r="E249" t="s">
        <v>95</v>
      </c>
      <c r="F249" t="s">
        <v>14</v>
      </c>
      <c r="G249">
        <v>82.59</v>
      </c>
      <c r="H249" t="s">
        <v>15</v>
      </c>
      <c r="I249" t="s">
        <v>22</v>
      </c>
      <c r="J249" t="s">
        <v>96</v>
      </c>
    </row>
    <row r="250" spans="1:10" x14ac:dyDescent="0.35">
      <c r="A250" t="s">
        <v>410</v>
      </c>
      <c r="B250" s="1">
        <v>45706</v>
      </c>
      <c r="C250" t="s">
        <v>411</v>
      </c>
      <c r="D250" t="s">
        <v>29</v>
      </c>
      <c r="E250" t="s">
        <v>151</v>
      </c>
      <c r="F250" t="s">
        <v>14</v>
      </c>
      <c r="G250">
        <v>46.06</v>
      </c>
      <c r="H250" t="s">
        <v>98</v>
      </c>
      <c r="I250" t="s">
        <v>47</v>
      </c>
      <c r="J250" t="s">
        <v>151</v>
      </c>
    </row>
    <row r="251" spans="1:10" x14ac:dyDescent="0.35">
      <c r="A251" t="s">
        <v>412</v>
      </c>
      <c r="B251" s="1">
        <v>45706</v>
      </c>
      <c r="C251" t="s">
        <v>79</v>
      </c>
      <c r="D251" t="s">
        <v>80</v>
      </c>
      <c r="E251" t="s">
        <v>81</v>
      </c>
      <c r="F251" t="s">
        <v>14</v>
      </c>
      <c r="G251">
        <v>84.89</v>
      </c>
      <c r="H251" t="s">
        <v>15</v>
      </c>
      <c r="I251" t="s">
        <v>47</v>
      </c>
      <c r="J251" t="s">
        <v>82</v>
      </c>
    </row>
    <row r="252" spans="1:10" x14ac:dyDescent="0.35">
      <c r="A252" t="s">
        <v>413</v>
      </c>
      <c r="B252" s="1">
        <v>45706</v>
      </c>
      <c r="C252" t="s">
        <v>155</v>
      </c>
      <c r="D252" t="s">
        <v>12</v>
      </c>
      <c r="E252" t="s">
        <v>51</v>
      </c>
      <c r="F252" t="s">
        <v>14</v>
      </c>
      <c r="G252">
        <v>11.62</v>
      </c>
      <c r="H252" t="s">
        <v>15</v>
      </c>
      <c r="I252" t="s">
        <v>22</v>
      </c>
      <c r="J252" t="s">
        <v>48</v>
      </c>
    </row>
    <row r="253" spans="1:10" x14ac:dyDescent="0.35">
      <c r="A253" t="s">
        <v>414</v>
      </c>
      <c r="B253" s="1">
        <v>45706</v>
      </c>
      <c r="C253" t="s">
        <v>415</v>
      </c>
      <c r="D253" t="s">
        <v>12</v>
      </c>
      <c r="E253" t="s">
        <v>51</v>
      </c>
      <c r="F253" t="s">
        <v>14</v>
      </c>
      <c r="G253">
        <v>27.48</v>
      </c>
      <c r="H253" t="s">
        <v>98</v>
      </c>
      <c r="I253" t="s">
        <v>47</v>
      </c>
      <c r="J253" t="s">
        <v>77</v>
      </c>
    </row>
    <row r="254" spans="1:10" x14ac:dyDescent="0.35">
      <c r="A254" t="s">
        <v>416</v>
      </c>
      <c r="B254" s="1">
        <v>45707</v>
      </c>
      <c r="C254" t="s">
        <v>331</v>
      </c>
      <c r="D254" t="s">
        <v>29</v>
      </c>
      <c r="E254" t="s">
        <v>95</v>
      </c>
      <c r="F254" t="s">
        <v>14</v>
      </c>
      <c r="G254">
        <v>115.38</v>
      </c>
      <c r="H254" t="s">
        <v>15</v>
      </c>
      <c r="I254" t="s">
        <v>22</v>
      </c>
      <c r="J254" t="s">
        <v>151</v>
      </c>
    </row>
    <row r="255" spans="1:10" x14ac:dyDescent="0.35">
      <c r="A255" t="s">
        <v>417</v>
      </c>
      <c r="B255" s="1">
        <v>45707</v>
      </c>
      <c r="C255" t="s">
        <v>194</v>
      </c>
      <c r="D255" t="s">
        <v>101</v>
      </c>
      <c r="E255" t="s">
        <v>136</v>
      </c>
      <c r="F255" t="s">
        <v>14</v>
      </c>
      <c r="G255">
        <v>47.01</v>
      </c>
      <c r="H255" t="s">
        <v>15</v>
      </c>
      <c r="I255" t="s">
        <v>22</v>
      </c>
      <c r="J255" t="s">
        <v>103</v>
      </c>
    </row>
    <row r="256" spans="1:10" x14ac:dyDescent="0.35">
      <c r="A256" t="s">
        <v>418</v>
      </c>
      <c r="B256" s="1">
        <v>45707</v>
      </c>
      <c r="C256" t="s">
        <v>11</v>
      </c>
      <c r="D256" t="s">
        <v>12</v>
      </c>
      <c r="E256" t="s">
        <v>13</v>
      </c>
      <c r="F256" t="s">
        <v>14</v>
      </c>
      <c r="G256">
        <v>12.79</v>
      </c>
      <c r="H256" t="s">
        <v>15</v>
      </c>
      <c r="I256" t="s">
        <v>16</v>
      </c>
      <c r="J256" t="s">
        <v>17</v>
      </c>
    </row>
    <row r="257" spans="1:10" x14ac:dyDescent="0.35">
      <c r="A257" t="s">
        <v>419</v>
      </c>
      <c r="B257" s="1">
        <v>45707</v>
      </c>
      <c r="C257" t="s">
        <v>308</v>
      </c>
      <c r="D257" t="s">
        <v>54</v>
      </c>
      <c r="E257" t="s">
        <v>64</v>
      </c>
      <c r="F257" t="s">
        <v>54</v>
      </c>
      <c r="G257">
        <v>351.73</v>
      </c>
      <c r="H257" t="s">
        <v>21</v>
      </c>
      <c r="I257" t="s">
        <v>47</v>
      </c>
      <c r="J257" t="s">
        <v>89</v>
      </c>
    </row>
    <row r="258" spans="1:10" x14ac:dyDescent="0.35">
      <c r="A258" t="s">
        <v>420</v>
      </c>
      <c r="B258" s="1">
        <v>45707</v>
      </c>
      <c r="C258" t="s">
        <v>157</v>
      </c>
      <c r="D258" t="s">
        <v>29</v>
      </c>
      <c r="E258" t="s">
        <v>95</v>
      </c>
      <c r="F258" t="s">
        <v>14</v>
      </c>
      <c r="G258">
        <v>29.57</v>
      </c>
      <c r="H258" t="s">
        <v>15</v>
      </c>
      <c r="I258" t="s">
        <v>22</v>
      </c>
      <c r="J258" t="s">
        <v>158</v>
      </c>
    </row>
    <row r="259" spans="1:10" x14ac:dyDescent="0.35">
      <c r="A259" t="s">
        <v>421</v>
      </c>
      <c r="B259" s="1">
        <v>45707</v>
      </c>
      <c r="C259" t="s">
        <v>259</v>
      </c>
      <c r="D259" t="s">
        <v>59</v>
      </c>
      <c r="E259" t="s">
        <v>199</v>
      </c>
      <c r="F259" t="s">
        <v>14</v>
      </c>
      <c r="G259">
        <v>909.73</v>
      </c>
      <c r="H259" t="s">
        <v>15</v>
      </c>
      <c r="I259" t="s">
        <v>47</v>
      </c>
      <c r="J259" t="s">
        <v>170</v>
      </c>
    </row>
    <row r="260" spans="1:10" x14ac:dyDescent="0.35">
      <c r="A260" t="s">
        <v>422</v>
      </c>
      <c r="B260" s="1">
        <v>45708</v>
      </c>
      <c r="C260" t="s">
        <v>163</v>
      </c>
      <c r="D260" t="s">
        <v>80</v>
      </c>
      <c r="E260" t="s">
        <v>92</v>
      </c>
      <c r="F260" t="s">
        <v>14</v>
      </c>
      <c r="G260">
        <v>65</v>
      </c>
      <c r="H260" t="s">
        <v>21</v>
      </c>
      <c r="I260" t="s">
        <v>47</v>
      </c>
      <c r="J260" t="s">
        <v>118</v>
      </c>
    </row>
    <row r="261" spans="1:10" x14ac:dyDescent="0.35">
      <c r="A261" t="s">
        <v>423</v>
      </c>
      <c r="B261" s="1">
        <v>45708</v>
      </c>
      <c r="C261" t="s">
        <v>424</v>
      </c>
      <c r="D261" t="s">
        <v>101</v>
      </c>
      <c r="E261" t="s">
        <v>136</v>
      </c>
      <c r="F261" t="s">
        <v>14</v>
      </c>
      <c r="G261">
        <v>87.16</v>
      </c>
      <c r="H261" t="s">
        <v>21</v>
      </c>
      <c r="I261" t="s">
        <v>22</v>
      </c>
      <c r="J261" t="s">
        <v>102</v>
      </c>
    </row>
    <row r="262" spans="1:10" x14ac:dyDescent="0.35">
      <c r="A262" t="s">
        <v>425</v>
      </c>
      <c r="B262" s="1">
        <v>45708</v>
      </c>
      <c r="C262" t="s">
        <v>426</v>
      </c>
      <c r="D262" t="s">
        <v>69</v>
      </c>
      <c r="E262" t="s">
        <v>70</v>
      </c>
      <c r="F262" t="s">
        <v>14</v>
      </c>
      <c r="G262">
        <v>346.45</v>
      </c>
      <c r="H262" t="s">
        <v>15</v>
      </c>
      <c r="I262" t="s">
        <v>16</v>
      </c>
      <c r="J262" t="s">
        <v>396</v>
      </c>
    </row>
    <row r="263" spans="1:10" x14ac:dyDescent="0.35">
      <c r="A263" t="s">
        <v>427</v>
      </c>
      <c r="B263" s="1">
        <v>45708</v>
      </c>
      <c r="C263" t="s">
        <v>33</v>
      </c>
      <c r="D263" t="s">
        <v>34</v>
      </c>
      <c r="E263" t="s">
        <v>35</v>
      </c>
      <c r="F263" t="s">
        <v>14</v>
      </c>
      <c r="G263">
        <v>46.67</v>
      </c>
      <c r="H263" t="s">
        <v>15</v>
      </c>
      <c r="I263" t="s">
        <v>22</v>
      </c>
      <c r="J263" t="s">
        <v>37</v>
      </c>
    </row>
    <row r="264" spans="1:10" x14ac:dyDescent="0.35">
      <c r="A264" t="s">
        <v>428</v>
      </c>
      <c r="B264" s="1">
        <v>45708</v>
      </c>
      <c r="C264" t="s">
        <v>163</v>
      </c>
      <c r="D264" t="s">
        <v>80</v>
      </c>
      <c r="E264" t="s">
        <v>92</v>
      </c>
      <c r="F264" t="s">
        <v>14</v>
      </c>
      <c r="G264">
        <v>32.28</v>
      </c>
      <c r="H264" t="s">
        <v>21</v>
      </c>
      <c r="I264" t="s">
        <v>36</v>
      </c>
      <c r="J264" t="s">
        <v>118</v>
      </c>
    </row>
    <row r="265" spans="1:10" x14ac:dyDescent="0.35">
      <c r="A265" t="s">
        <v>429</v>
      </c>
      <c r="B265" s="1">
        <v>45709</v>
      </c>
      <c r="C265" t="s">
        <v>58</v>
      </c>
      <c r="D265" t="s">
        <v>59</v>
      </c>
      <c r="E265" t="s">
        <v>60</v>
      </c>
      <c r="F265" t="s">
        <v>14</v>
      </c>
      <c r="G265">
        <v>134.76</v>
      </c>
      <c r="H265" t="s">
        <v>15</v>
      </c>
      <c r="I265" t="s">
        <v>47</v>
      </c>
      <c r="J265" t="s">
        <v>61</v>
      </c>
    </row>
    <row r="266" spans="1:10" x14ac:dyDescent="0.35">
      <c r="A266" t="s">
        <v>430</v>
      </c>
      <c r="B266" s="1">
        <v>45709</v>
      </c>
      <c r="C266" t="s">
        <v>94</v>
      </c>
      <c r="D266" t="s">
        <v>29</v>
      </c>
      <c r="E266" t="s">
        <v>95</v>
      </c>
      <c r="F266" t="s">
        <v>14</v>
      </c>
      <c r="G266">
        <v>8.33</v>
      </c>
      <c r="H266" t="s">
        <v>15</v>
      </c>
      <c r="I266" t="s">
        <v>47</v>
      </c>
      <c r="J266" t="s">
        <v>96</v>
      </c>
    </row>
    <row r="267" spans="1:10" x14ac:dyDescent="0.35">
      <c r="A267" t="s">
        <v>431</v>
      </c>
      <c r="B267" s="1">
        <v>45709</v>
      </c>
      <c r="C267" t="s">
        <v>220</v>
      </c>
      <c r="D267" t="s">
        <v>59</v>
      </c>
      <c r="E267" t="s">
        <v>199</v>
      </c>
      <c r="F267" t="s">
        <v>14</v>
      </c>
      <c r="G267">
        <v>151.09</v>
      </c>
      <c r="H267" t="s">
        <v>15</v>
      </c>
      <c r="I267" t="s">
        <v>36</v>
      </c>
      <c r="J267" t="s">
        <v>211</v>
      </c>
    </row>
    <row r="268" spans="1:10" x14ac:dyDescent="0.35">
      <c r="A268" t="s">
        <v>432</v>
      </c>
      <c r="B268" s="1">
        <v>45709</v>
      </c>
      <c r="C268" t="s">
        <v>232</v>
      </c>
      <c r="D268" t="s">
        <v>69</v>
      </c>
      <c r="E268" t="s">
        <v>233</v>
      </c>
      <c r="F268" t="s">
        <v>14</v>
      </c>
      <c r="G268">
        <v>215.51</v>
      </c>
      <c r="H268" t="s">
        <v>15</v>
      </c>
      <c r="I268" t="s">
        <v>22</v>
      </c>
      <c r="J268" t="s">
        <v>71</v>
      </c>
    </row>
    <row r="269" spans="1:10" x14ac:dyDescent="0.35">
      <c r="A269" t="s">
        <v>433</v>
      </c>
      <c r="B269" s="1">
        <v>45709</v>
      </c>
      <c r="C269" t="s">
        <v>177</v>
      </c>
      <c r="D269" t="s">
        <v>54</v>
      </c>
      <c r="E269" t="s">
        <v>74</v>
      </c>
      <c r="F269" t="s">
        <v>54</v>
      </c>
      <c r="G269">
        <v>2223.73</v>
      </c>
      <c r="H269" t="s">
        <v>15</v>
      </c>
      <c r="I269" t="s">
        <v>36</v>
      </c>
      <c r="J269" t="s">
        <v>56</v>
      </c>
    </row>
    <row r="270" spans="1:10" x14ac:dyDescent="0.35">
      <c r="A270" t="s">
        <v>434</v>
      </c>
      <c r="B270" s="1">
        <v>45709</v>
      </c>
      <c r="C270" t="s">
        <v>160</v>
      </c>
      <c r="D270" t="s">
        <v>80</v>
      </c>
      <c r="E270" t="s">
        <v>117</v>
      </c>
      <c r="F270" t="s">
        <v>14</v>
      </c>
      <c r="G270">
        <v>69.36</v>
      </c>
      <c r="H270" t="s">
        <v>21</v>
      </c>
      <c r="I270" t="s">
        <v>22</v>
      </c>
      <c r="J270" t="s">
        <v>161</v>
      </c>
    </row>
    <row r="271" spans="1:10" x14ac:dyDescent="0.35">
      <c r="A271" t="s">
        <v>435</v>
      </c>
      <c r="B271" s="1">
        <v>45709</v>
      </c>
      <c r="C271" t="s">
        <v>298</v>
      </c>
      <c r="D271" t="s">
        <v>59</v>
      </c>
      <c r="E271" t="s">
        <v>185</v>
      </c>
      <c r="F271" t="s">
        <v>14</v>
      </c>
      <c r="G271">
        <v>840.52</v>
      </c>
      <c r="H271" t="s">
        <v>98</v>
      </c>
      <c r="I271" t="s">
        <v>22</v>
      </c>
      <c r="J271" t="s">
        <v>170</v>
      </c>
    </row>
    <row r="272" spans="1:10" x14ac:dyDescent="0.35">
      <c r="A272" t="s">
        <v>436</v>
      </c>
      <c r="B272" s="1">
        <v>45710</v>
      </c>
      <c r="C272" t="s">
        <v>88</v>
      </c>
      <c r="D272" t="s">
        <v>54</v>
      </c>
      <c r="E272" t="s">
        <v>74</v>
      </c>
      <c r="F272" t="s">
        <v>54</v>
      </c>
      <c r="G272">
        <v>2070.9699999999998</v>
      </c>
      <c r="H272" t="s">
        <v>15</v>
      </c>
      <c r="I272" t="s">
        <v>22</v>
      </c>
      <c r="J272" t="s">
        <v>89</v>
      </c>
    </row>
    <row r="273" spans="1:10" x14ac:dyDescent="0.35">
      <c r="A273" t="s">
        <v>437</v>
      </c>
      <c r="B273" s="1">
        <v>45710</v>
      </c>
      <c r="C273" t="s">
        <v>210</v>
      </c>
      <c r="D273" t="s">
        <v>59</v>
      </c>
      <c r="E273" t="s">
        <v>185</v>
      </c>
      <c r="F273" t="s">
        <v>14</v>
      </c>
      <c r="G273">
        <v>367.8</v>
      </c>
      <c r="H273" t="s">
        <v>15</v>
      </c>
      <c r="I273" t="s">
        <v>36</v>
      </c>
      <c r="J273" t="s">
        <v>211</v>
      </c>
    </row>
    <row r="274" spans="1:10" x14ac:dyDescent="0.35">
      <c r="A274" t="s">
        <v>438</v>
      </c>
      <c r="B274" s="1">
        <v>45710</v>
      </c>
      <c r="C274" t="s">
        <v>345</v>
      </c>
      <c r="D274" t="s">
        <v>59</v>
      </c>
      <c r="E274" t="s">
        <v>60</v>
      </c>
      <c r="F274" t="s">
        <v>14</v>
      </c>
      <c r="G274">
        <v>187.25</v>
      </c>
      <c r="H274" t="s">
        <v>21</v>
      </c>
      <c r="I274" t="s">
        <v>22</v>
      </c>
      <c r="J274" t="s">
        <v>211</v>
      </c>
    </row>
    <row r="275" spans="1:10" x14ac:dyDescent="0.35">
      <c r="A275" t="s">
        <v>439</v>
      </c>
      <c r="B275" s="1">
        <v>45710</v>
      </c>
      <c r="C275" t="s">
        <v>220</v>
      </c>
      <c r="D275" t="s">
        <v>59</v>
      </c>
      <c r="E275" t="s">
        <v>199</v>
      </c>
      <c r="F275" t="s">
        <v>14</v>
      </c>
      <c r="G275">
        <v>223.2</v>
      </c>
      <c r="H275" t="s">
        <v>15</v>
      </c>
      <c r="I275" t="s">
        <v>22</v>
      </c>
      <c r="J275" t="s">
        <v>211</v>
      </c>
    </row>
    <row r="276" spans="1:10" x14ac:dyDescent="0.35">
      <c r="A276" t="s">
        <v>440</v>
      </c>
      <c r="B276" s="1">
        <v>45710</v>
      </c>
      <c r="C276" t="s">
        <v>204</v>
      </c>
      <c r="D276" t="s">
        <v>12</v>
      </c>
      <c r="E276" t="s">
        <v>51</v>
      </c>
      <c r="F276" t="s">
        <v>14</v>
      </c>
      <c r="G276">
        <v>10.79</v>
      </c>
      <c r="H276" t="s">
        <v>15</v>
      </c>
      <c r="I276" t="s">
        <v>47</v>
      </c>
      <c r="J276" t="s">
        <v>23</v>
      </c>
    </row>
    <row r="277" spans="1:10" x14ac:dyDescent="0.35">
      <c r="A277" t="s">
        <v>441</v>
      </c>
      <c r="B277" s="1">
        <v>45710</v>
      </c>
      <c r="C277" t="s">
        <v>324</v>
      </c>
      <c r="D277" t="s">
        <v>80</v>
      </c>
      <c r="E277" t="s">
        <v>92</v>
      </c>
      <c r="F277" t="s">
        <v>14</v>
      </c>
      <c r="G277">
        <v>177.06</v>
      </c>
      <c r="H277" t="s">
        <v>21</v>
      </c>
      <c r="I277" t="s">
        <v>22</v>
      </c>
      <c r="J277" t="s">
        <v>161</v>
      </c>
    </row>
    <row r="278" spans="1:10" x14ac:dyDescent="0.35">
      <c r="A278" t="s">
        <v>442</v>
      </c>
      <c r="B278" s="1">
        <v>45710</v>
      </c>
      <c r="C278" t="s">
        <v>39</v>
      </c>
      <c r="D278" t="s">
        <v>34</v>
      </c>
      <c r="E278" t="s">
        <v>40</v>
      </c>
      <c r="F278" t="s">
        <v>14</v>
      </c>
      <c r="G278">
        <v>66.19</v>
      </c>
      <c r="H278" t="s">
        <v>15</v>
      </c>
      <c r="I278" t="s">
        <v>84</v>
      </c>
      <c r="J278" t="s">
        <v>41</v>
      </c>
    </row>
    <row r="279" spans="1:10" x14ac:dyDescent="0.35">
      <c r="A279" t="s">
        <v>443</v>
      </c>
      <c r="B279" s="1">
        <v>45711</v>
      </c>
      <c r="C279" t="s">
        <v>28</v>
      </c>
      <c r="D279" t="s">
        <v>29</v>
      </c>
      <c r="E279" t="s">
        <v>30</v>
      </c>
      <c r="F279" t="s">
        <v>14</v>
      </c>
      <c r="G279">
        <v>56.02</v>
      </c>
      <c r="H279" t="s">
        <v>15</v>
      </c>
      <c r="I279" t="s">
        <v>47</v>
      </c>
      <c r="J279" t="s">
        <v>31</v>
      </c>
    </row>
    <row r="280" spans="1:10" x14ac:dyDescent="0.35">
      <c r="A280" t="s">
        <v>444</v>
      </c>
      <c r="B280" s="1">
        <v>45711</v>
      </c>
      <c r="C280" t="s">
        <v>445</v>
      </c>
      <c r="D280" t="s">
        <v>101</v>
      </c>
      <c r="E280" t="s">
        <v>244</v>
      </c>
      <c r="F280" t="s">
        <v>14</v>
      </c>
      <c r="G280">
        <v>85.27</v>
      </c>
      <c r="H280" t="s">
        <v>98</v>
      </c>
      <c r="I280" t="s">
        <v>36</v>
      </c>
      <c r="J280" t="s">
        <v>103</v>
      </c>
    </row>
    <row r="281" spans="1:10" x14ac:dyDescent="0.35">
      <c r="A281" t="s">
        <v>446</v>
      </c>
      <c r="B281" s="1">
        <v>45711</v>
      </c>
      <c r="C281" t="s">
        <v>76</v>
      </c>
      <c r="D281" t="s">
        <v>12</v>
      </c>
      <c r="E281" t="s">
        <v>13</v>
      </c>
      <c r="F281" t="s">
        <v>14</v>
      </c>
      <c r="G281">
        <v>49.34</v>
      </c>
      <c r="H281" t="s">
        <v>21</v>
      </c>
      <c r="I281" t="s">
        <v>22</v>
      </c>
      <c r="J281" t="s">
        <v>77</v>
      </c>
    </row>
    <row r="282" spans="1:10" x14ac:dyDescent="0.35">
      <c r="A282" t="s">
        <v>447</v>
      </c>
      <c r="B282" s="1">
        <v>45711</v>
      </c>
      <c r="C282" t="s">
        <v>269</v>
      </c>
      <c r="D282" t="s">
        <v>34</v>
      </c>
      <c r="E282" t="s">
        <v>35</v>
      </c>
      <c r="F282" t="s">
        <v>14</v>
      </c>
      <c r="G282">
        <v>80.23</v>
      </c>
      <c r="H282" t="s">
        <v>15</v>
      </c>
      <c r="I282" t="s">
        <v>36</v>
      </c>
      <c r="J282" t="s">
        <v>123</v>
      </c>
    </row>
    <row r="283" spans="1:10" x14ac:dyDescent="0.35">
      <c r="A283" t="s">
        <v>448</v>
      </c>
      <c r="B283" s="1">
        <v>45712</v>
      </c>
      <c r="C283" t="s">
        <v>39</v>
      </c>
      <c r="D283" t="s">
        <v>34</v>
      </c>
      <c r="E283" t="s">
        <v>40</v>
      </c>
      <c r="F283" t="s">
        <v>14</v>
      </c>
      <c r="G283">
        <v>257.32</v>
      </c>
      <c r="H283" t="s">
        <v>15</v>
      </c>
      <c r="I283" t="s">
        <v>16</v>
      </c>
      <c r="J283" t="s">
        <v>41</v>
      </c>
    </row>
    <row r="284" spans="1:10" x14ac:dyDescent="0.35">
      <c r="A284" t="s">
        <v>449</v>
      </c>
      <c r="B284" s="1">
        <v>45712</v>
      </c>
      <c r="C284" t="s">
        <v>100</v>
      </c>
      <c r="D284" t="s">
        <v>101</v>
      </c>
      <c r="E284" t="s">
        <v>102</v>
      </c>
      <c r="F284" t="s">
        <v>14</v>
      </c>
      <c r="G284">
        <v>59.12</v>
      </c>
      <c r="H284" t="s">
        <v>15</v>
      </c>
      <c r="I284" t="s">
        <v>16</v>
      </c>
      <c r="J284" t="s">
        <v>103</v>
      </c>
    </row>
    <row r="285" spans="1:10" x14ac:dyDescent="0.35">
      <c r="A285" t="s">
        <v>450</v>
      </c>
      <c r="B285" s="1">
        <v>45712</v>
      </c>
      <c r="C285" t="s">
        <v>111</v>
      </c>
      <c r="D285" t="s">
        <v>12</v>
      </c>
      <c r="E285" t="s">
        <v>26</v>
      </c>
      <c r="F285" t="s">
        <v>14</v>
      </c>
      <c r="G285">
        <v>49.2</v>
      </c>
      <c r="H285" t="s">
        <v>98</v>
      </c>
      <c r="I285" t="s">
        <v>47</v>
      </c>
      <c r="J285" t="s">
        <v>23</v>
      </c>
    </row>
    <row r="286" spans="1:10" x14ac:dyDescent="0.35">
      <c r="A286" t="s">
        <v>451</v>
      </c>
      <c r="B286" s="1">
        <v>45712</v>
      </c>
      <c r="C286" t="s">
        <v>296</v>
      </c>
      <c r="D286" t="s">
        <v>101</v>
      </c>
      <c r="E286" t="s">
        <v>136</v>
      </c>
      <c r="F286" t="s">
        <v>14</v>
      </c>
      <c r="G286">
        <v>71.91</v>
      </c>
      <c r="H286" t="s">
        <v>15</v>
      </c>
      <c r="I286" t="s">
        <v>36</v>
      </c>
      <c r="J286" t="s">
        <v>136</v>
      </c>
    </row>
    <row r="287" spans="1:10" x14ac:dyDescent="0.35">
      <c r="A287" t="s">
        <v>452</v>
      </c>
      <c r="B287" s="1">
        <v>45713</v>
      </c>
      <c r="C287" t="s">
        <v>168</v>
      </c>
      <c r="D287" t="s">
        <v>59</v>
      </c>
      <c r="E287" t="s">
        <v>60</v>
      </c>
      <c r="F287" t="s">
        <v>14</v>
      </c>
      <c r="G287">
        <v>254.84</v>
      </c>
      <c r="H287" t="s">
        <v>15</v>
      </c>
      <c r="I287" t="s">
        <v>47</v>
      </c>
      <c r="J287" t="s">
        <v>170</v>
      </c>
    </row>
    <row r="288" spans="1:10" x14ac:dyDescent="0.35">
      <c r="A288" t="s">
        <v>453</v>
      </c>
      <c r="B288" s="1">
        <v>45713</v>
      </c>
      <c r="C288" t="s">
        <v>88</v>
      </c>
      <c r="D288" t="s">
        <v>54</v>
      </c>
      <c r="E288" t="s">
        <v>74</v>
      </c>
      <c r="F288" t="s">
        <v>54</v>
      </c>
      <c r="G288">
        <v>2640.52</v>
      </c>
      <c r="H288" t="s">
        <v>15</v>
      </c>
      <c r="I288" t="s">
        <v>84</v>
      </c>
      <c r="J288" t="s">
        <v>89</v>
      </c>
    </row>
    <row r="289" spans="1:10" x14ac:dyDescent="0.35">
      <c r="A289" t="s">
        <v>454</v>
      </c>
      <c r="B289" s="1">
        <v>45713</v>
      </c>
      <c r="C289" t="s">
        <v>88</v>
      </c>
      <c r="D289" t="s">
        <v>54</v>
      </c>
      <c r="E289" t="s">
        <v>74</v>
      </c>
      <c r="F289" t="s">
        <v>54</v>
      </c>
      <c r="G289">
        <v>2852.98</v>
      </c>
      <c r="H289" t="s">
        <v>21</v>
      </c>
      <c r="I289" t="s">
        <v>22</v>
      </c>
      <c r="J289" t="s">
        <v>89</v>
      </c>
    </row>
    <row r="290" spans="1:10" x14ac:dyDescent="0.35">
      <c r="A290" t="s">
        <v>455</v>
      </c>
      <c r="B290" s="1">
        <v>45713</v>
      </c>
      <c r="C290" t="s">
        <v>11</v>
      </c>
      <c r="D290" t="s">
        <v>12</v>
      </c>
      <c r="E290" t="s">
        <v>13</v>
      </c>
      <c r="F290" t="s">
        <v>14</v>
      </c>
      <c r="G290">
        <v>25.57</v>
      </c>
      <c r="H290" t="s">
        <v>15</v>
      </c>
      <c r="I290" t="s">
        <v>22</v>
      </c>
      <c r="J290" t="s">
        <v>17</v>
      </c>
    </row>
    <row r="291" spans="1:10" x14ac:dyDescent="0.35">
      <c r="A291" t="s">
        <v>456</v>
      </c>
      <c r="B291" s="1">
        <v>45714</v>
      </c>
      <c r="C291" t="s">
        <v>269</v>
      </c>
      <c r="D291" t="s">
        <v>34</v>
      </c>
      <c r="E291" t="s">
        <v>35</v>
      </c>
      <c r="F291" t="s">
        <v>14</v>
      </c>
      <c r="G291">
        <v>114.34</v>
      </c>
      <c r="H291" t="s">
        <v>15</v>
      </c>
      <c r="I291" t="s">
        <v>84</v>
      </c>
      <c r="J291" t="s">
        <v>123</v>
      </c>
    </row>
    <row r="292" spans="1:10" x14ac:dyDescent="0.35">
      <c r="A292" t="s">
        <v>457</v>
      </c>
      <c r="B292" s="1">
        <v>45714</v>
      </c>
      <c r="C292" t="s">
        <v>227</v>
      </c>
      <c r="D292" t="s">
        <v>12</v>
      </c>
      <c r="E292" t="s">
        <v>51</v>
      </c>
      <c r="F292" t="s">
        <v>14</v>
      </c>
      <c r="G292">
        <v>48.96</v>
      </c>
      <c r="H292" t="s">
        <v>21</v>
      </c>
      <c r="I292" t="s">
        <v>22</v>
      </c>
      <c r="J292" t="s">
        <v>17</v>
      </c>
    </row>
    <row r="293" spans="1:10" x14ac:dyDescent="0.35">
      <c r="A293" t="s">
        <v>458</v>
      </c>
      <c r="B293" s="1">
        <v>45714</v>
      </c>
      <c r="C293" t="s">
        <v>248</v>
      </c>
      <c r="D293" t="s">
        <v>80</v>
      </c>
      <c r="E293" t="s">
        <v>81</v>
      </c>
      <c r="F293" t="s">
        <v>14</v>
      </c>
      <c r="G293">
        <v>75.11</v>
      </c>
      <c r="H293" t="s">
        <v>15</v>
      </c>
      <c r="I293" t="s">
        <v>22</v>
      </c>
      <c r="J293" t="s">
        <v>161</v>
      </c>
    </row>
    <row r="294" spans="1:10" x14ac:dyDescent="0.35">
      <c r="A294" t="s">
        <v>459</v>
      </c>
      <c r="B294" s="1">
        <v>45714</v>
      </c>
      <c r="C294" t="s">
        <v>143</v>
      </c>
      <c r="D294" t="s">
        <v>54</v>
      </c>
      <c r="E294" t="s">
        <v>55</v>
      </c>
      <c r="F294" t="s">
        <v>54</v>
      </c>
      <c r="G294">
        <v>703.42</v>
      </c>
      <c r="H294" t="s">
        <v>15</v>
      </c>
      <c r="I294" t="s">
        <v>36</v>
      </c>
      <c r="J294" t="s">
        <v>89</v>
      </c>
    </row>
    <row r="295" spans="1:10" x14ac:dyDescent="0.35">
      <c r="A295" t="s">
        <v>460</v>
      </c>
      <c r="B295" s="1">
        <v>45715</v>
      </c>
      <c r="C295" t="s">
        <v>215</v>
      </c>
      <c r="D295" t="s">
        <v>80</v>
      </c>
      <c r="E295" t="s">
        <v>117</v>
      </c>
      <c r="F295" t="s">
        <v>14</v>
      </c>
      <c r="G295">
        <v>47.13</v>
      </c>
      <c r="H295" t="s">
        <v>98</v>
      </c>
      <c r="I295" t="s">
        <v>47</v>
      </c>
      <c r="J295" t="s">
        <v>141</v>
      </c>
    </row>
    <row r="296" spans="1:10" x14ac:dyDescent="0.35">
      <c r="A296" t="s">
        <v>461</v>
      </c>
      <c r="B296" s="1">
        <v>45715</v>
      </c>
      <c r="C296" t="s">
        <v>25</v>
      </c>
      <c r="D296" t="s">
        <v>12</v>
      </c>
      <c r="E296" t="s">
        <v>26</v>
      </c>
      <c r="F296" t="s">
        <v>14</v>
      </c>
      <c r="G296">
        <v>40.92</v>
      </c>
      <c r="H296" t="s">
        <v>21</v>
      </c>
      <c r="I296" t="s">
        <v>36</v>
      </c>
      <c r="J296" t="s">
        <v>17</v>
      </c>
    </row>
    <row r="297" spans="1:10" x14ac:dyDescent="0.35">
      <c r="A297" t="s">
        <v>462</v>
      </c>
      <c r="B297" s="1">
        <v>45715</v>
      </c>
      <c r="C297" t="s">
        <v>192</v>
      </c>
      <c r="D297" t="s">
        <v>80</v>
      </c>
      <c r="E297" t="s">
        <v>92</v>
      </c>
      <c r="F297" t="s">
        <v>14</v>
      </c>
      <c r="G297">
        <v>91.83</v>
      </c>
      <c r="H297" t="s">
        <v>15</v>
      </c>
      <c r="I297" t="s">
        <v>47</v>
      </c>
      <c r="J297" t="s">
        <v>180</v>
      </c>
    </row>
    <row r="298" spans="1:10" x14ac:dyDescent="0.35">
      <c r="A298" t="s">
        <v>463</v>
      </c>
      <c r="B298" s="1">
        <v>45715</v>
      </c>
      <c r="C298" t="s">
        <v>464</v>
      </c>
      <c r="D298" t="s">
        <v>34</v>
      </c>
      <c r="E298" t="s">
        <v>122</v>
      </c>
      <c r="F298" t="s">
        <v>14</v>
      </c>
      <c r="G298">
        <v>111.05</v>
      </c>
      <c r="H298" t="s">
        <v>15</v>
      </c>
      <c r="I298" t="s">
        <v>36</v>
      </c>
      <c r="J298" t="s">
        <v>239</v>
      </c>
    </row>
    <row r="299" spans="1:10" x14ac:dyDescent="0.35">
      <c r="A299" t="s">
        <v>465</v>
      </c>
      <c r="B299" s="1">
        <v>45715</v>
      </c>
      <c r="C299" t="s">
        <v>220</v>
      </c>
      <c r="D299" t="s">
        <v>59</v>
      </c>
      <c r="E299" t="s">
        <v>199</v>
      </c>
      <c r="F299" t="s">
        <v>14</v>
      </c>
      <c r="G299">
        <v>215.91</v>
      </c>
      <c r="H299" t="s">
        <v>15</v>
      </c>
      <c r="I299" t="s">
        <v>36</v>
      </c>
      <c r="J299" t="s">
        <v>211</v>
      </c>
    </row>
    <row r="300" spans="1:10" x14ac:dyDescent="0.35">
      <c r="A300" t="s">
        <v>466</v>
      </c>
      <c r="B300" s="1">
        <v>45715</v>
      </c>
      <c r="C300" t="s">
        <v>53</v>
      </c>
      <c r="D300" t="s">
        <v>54</v>
      </c>
      <c r="E300" t="s">
        <v>55</v>
      </c>
      <c r="F300" t="s">
        <v>54</v>
      </c>
      <c r="G300">
        <v>640.29999999999995</v>
      </c>
      <c r="H300" t="s">
        <v>15</v>
      </c>
      <c r="I300" t="s">
        <v>22</v>
      </c>
      <c r="J300" t="s">
        <v>56</v>
      </c>
    </row>
    <row r="301" spans="1:10" x14ac:dyDescent="0.35">
      <c r="A301" t="s">
        <v>467</v>
      </c>
      <c r="B301" s="1">
        <v>45716</v>
      </c>
      <c r="C301" t="s">
        <v>138</v>
      </c>
      <c r="D301" t="s">
        <v>12</v>
      </c>
      <c r="E301" t="s">
        <v>26</v>
      </c>
      <c r="F301" t="s">
        <v>14</v>
      </c>
      <c r="G301">
        <v>71.239999999999995</v>
      </c>
      <c r="H301" t="s">
        <v>15</v>
      </c>
      <c r="I301" t="s">
        <v>47</v>
      </c>
      <c r="J301" t="s">
        <v>77</v>
      </c>
    </row>
    <row r="302" spans="1:10" x14ac:dyDescent="0.35">
      <c r="A302" t="s">
        <v>468</v>
      </c>
      <c r="B302" s="1">
        <v>45716</v>
      </c>
      <c r="C302" t="s">
        <v>251</v>
      </c>
      <c r="D302" t="s">
        <v>29</v>
      </c>
      <c r="E302" t="s">
        <v>151</v>
      </c>
      <c r="F302" t="s">
        <v>14</v>
      </c>
      <c r="G302">
        <v>26.82</v>
      </c>
      <c r="H302" t="s">
        <v>15</v>
      </c>
      <c r="I302" t="s">
        <v>36</v>
      </c>
      <c r="J302" t="s">
        <v>31</v>
      </c>
    </row>
    <row r="303" spans="1:10" x14ac:dyDescent="0.35">
      <c r="A303" t="s">
        <v>469</v>
      </c>
      <c r="B303" s="1">
        <v>45716</v>
      </c>
      <c r="C303" t="s">
        <v>88</v>
      </c>
      <c r="D303" t="s">
        <v>54</v>
      </c>
      <c r="E303" t="s">
        <v>74</v>
      </c>
      <c r="F303" t="s">
        <v>54</v>
      </c>
      <c r="G303">
        <v>2671.2</v>
      </c>
      <c r="H303" t="s">
        <v>15</v>
      </c>
      <c r="I303" t="s">
        <v>84</v>
      </c>
      <c r="J303" t="s">
        <v>89</v>
      </c>
    </row>
    <row r="304" spans="1:10" x14ac:dyDescent="0.35">
      <c r="A304" t="s">
        <v>470</v>
      </c>
      <c r="B304" s="1">
        <v>45716</v>
      </c>
      <c r="C304" t="s">
        <v>79</v>
      </c>
      <c r="D304" t="s">
        <v>80</v>
      </c>
      <c r="E304" t="s">
        <v>81</v>
      </c>
      <c r="F304" t="s">
        <v>14</v>
      </c>
      <c r="G304">
        <v>76.959999999999994</v>
      </c>
      <c r="H304" t="s">
        <v>21</v>
      </c>
      <c r="I304" t="s">
        <v>84</v>
      </c>
      <c r="J304" t="s">
        <v>82</v>
      </c>
    </row>
    <row r="305" spans="1:10" x14ac:dyDescent="0.35">
      <c r="A305" t="s">
        <v>471</v>
      </c>
      <c r="B305" s="1">
        <v>45717</v>
      </c>
      <c r="C305" t="s">
        <v>113</v>
      </c>
      <c r="D305" t="s">
        <v>34</v>
      </c>
      <c r="E305" t="s">
        <v>40</v>
      </c>
      <c r="F305" t="s">
        <v>14</v>
      </c>
      <c r="G305">
        <v>130.96</v>
      </c>
      <c r="H305" t="s">
        <v>15</v>
      </c>
      <c r="I305" t="s">
        <v>16</v>
      </c>
      <c r="J305" t="s">
        <v>37</v>
      </c>
    </row>
    <row r="306" spans="1:10" x14ac:dyDescent="0.35">
      <c r="A306" t="s">
        <v>472</v>
      </c>
      <c r="B306" s="1">
        <v>45717</v>
      </c>
      <c r="C306" t="s">
        <v>143</v>
      </c>
      <c r="D306" t="s">
        <v>54</v>
      </c>
      <c r="E306" t="s">
        <v>55</v>
      </c>
      <c r="F306" t="s">
        <v>54</v>
      </c>
      <c r="G306">
        <v>667.65</v>
      </c>
      <c r="H306" t="s">
        <v>21</v>
      </c>
      <c r="I306" t="s">
        <v>36</v>
      </c>
      <c r="J306" t="s">
        <v>89</v>
      </c>
    </row>
    <row r="307" spans="1:10" x14ac:dyDescent="0.35">
      <c r="A307" t="s">
        <v>473</v>
      </c>
      <c r="B307" s="1">
        <v>45717</v>
      </c>
      <c r="C307" t="s">
        <v>73</v>
      </c>
      <c r="D307" t="s">
        <v>54</v>
      </c>
      <c r="E307" t="s">
        <v>74</v>
      </c>
      <c r="F307" t="s">
        <v>54</v>
      </c>
      <c r="G307">
        <v>2490.71</v>
      </c>
      <c r="H307" t="s">
        <v>98</v>
      </c>
      <c r="I307" t="s">
        <v>47</v>
      </c>
      <c r="J307" t="s">
        <v>65</v>
      </c>
    </row>
    <row r="308" spans="1:10" x14ac:dyDescent="0.35">
      <c r="A308" t="s">
        <v>474</v>
      </c>
      <c r="B308" s="1">
        <v>45717</v>
      </c>
      <c r="C308" t="s">
        <v>331</v>
      </c>
      <c r="D308" t="s">
        <v>29</v>
      </c>
      <c r="E308" t="s">
        <v>95</v>
      </c>
      <c r="F308" t="s">
        <v>14</v>
      </c>
      <c r="G308">
        <v>33.950000000000003</v>
      </c>
      <c r="H308" t="s">
        <v>15</v>
      </c>
      <c r="I308" t="s">
        <v>47</v>
      </c>
      <c r="J308" t="s">
        <v>151</v>
      </c>
    </row>
    <row r="309" spans="1:10" x14ac:dyDescent="0.35">
      <c r="A309" t="s">
        <v>475</v>
      </c>
      <c r="B309" s="1">
        <v>45717</v>
      </c>
      <c r="C309" t="s">
        <v>426</v>
      </c>
      <c r="D309" t="s">
        <v>69</v>
      </c>
      <c r="E309" t="s">
        <v>70</v>
      </c>
      <c r="F309" t="s">
        <v>14</v>
      </c>
      <c r="G309">
        <v>928.88</v>
      </c>
      <c r="H309" t="s">
        <v>15</v>
      </c>
      <c r="I309" t="s">
        <v>22</v>
      </c>
      <c r="J309" t="s">
        <v>396</v>
      </c>
    </row>
    <row r="310" spans="1:10" x14ac:dyDescent="0.35">
      <c r="A310" t="s">
        <v>476</v>
      </c>
      <c r="B310" s="1">
        <v>45717</v>
      </c>
      <c r="C310" t="s">
        <v>415</v>
      </c>
      <c r="D310" t="s">
        <v>12</v>
      </c>
      <c r="E310" t="s">
        <v>51</v>
      </c>
      <c r="F310" t="s">
        <v>14</v>
      </c>
      <c r="G310">
        <v>45.95</v>
      </c>
      <c r="H310" t="s">
        <v>21</v>
      </c>
      <c r="I310" t="s">
        <v>47</v>
      </c>
      <c r="J310" t="s">
        <v>77</v>
      </c>
    </row>
    <row r="311" spans="1:10" x14ac:dyDescent="0.35">
      <c r="A311" t="s">
        <v>477</v>
      </c>
      <c r="B311" s="1">
        <v>45717</v>
      </c>
      <c r="C311" t="s">
        <v>238</v>
      </c>
      <c r="D311" t="s">
        <v>34</v>
      </c>
      <c r="E311" t="s">
        <v>35</v>
      </c>
      <c r="F311" t="s">
        <v>14</v>
      </c>
      <c r="G311">
        <v>172.35</v>
      </c>
      <c r="H311" t="s">
        <v>15</v>
      </c>
      <c r="I311" t="s">
        <v>47</v>
      </c>
      <c r="J311" t="s">
        <v>239</v>
      </c>
    </row>
    <row r="312" spans="1:10" x14ac:dyDescent="0.35">
      <c r="A312" t="s">
        <v>478</v>
      </c>
      <c r="B312" s="1">
        <v>45717</v>
      </c>
      <c r="C312" t="s">
        <v>269</v>
      </c>
      <c r="D312" t="s">
        <v>34</v>
      </c>
      <c r="E312" t="s">
        <v>35</v>
      </c>
      <c r="F312" t="s">
        <v>14</v>
      </c>
      <c r="G312">
        <v>88.01</v>
      </c>
      <c r="H312" t="s">
        <v>98</v>
      </c>
      <c r="I312" t="s">
        <v>22</v>
      </c>
      <c r="J312" t="s">
        <v>123</v>
      </c>
    </row>
    <row r="313" spans="1:10" x14ac:dyDescent="0.35">
      <c r="A313" t="s">
        <v>479</v>
      </c>
      <c r="B313" s="1">
        <v>45718</v>
      </c>
      <c r="C313" t="s">
        <v>415</v>
      </c>
      <c r="D313" t="s">
        <v>12</v>
      </c>
      <c r="E313" t="s">
        <v>51</v>
      </c>
      <c r="F313" t="s">
        <v>14</v>
      </c>
      <c r="G313">
        <v>62.16</v>
      </c>
      <c r="H313" t="s">
        <v>15</v>
      </c>
      <c r="I313" t="s">
        <v>22</v>
      </c>
      <c r="J313" t="s">
        <v>77</v>
      </c>
    </row>
    <row r="314" spans="1:10" x14ac:dyDescent="0.35">
      <c r="A314" t="s">
        <v>480</v>
      </c>
      <c r="B314" s="1">
        <v>45718</v>
      </c>
      <c r="C314" t="s">
        <v>11</v>
      </c>
      <c r="D314" t="s">
        <v>12</v>
      </c>
      <c r="E314" t="s">
        <v>13</v>
      </c>
      <c r="F314" t="s">
        <v>14</v>
      </c>
      <c r="G314">
        <v>16.670000000000002</v>
      </c>
      <c r="H314" t="s">
        <v>21</v>
      </c>
      <c r="I314" t="s">
        <v>36</v>
      </c>
      <c r="J314" t="s">
        <v>17</v>
      </c>
    </row>
    <row r="315" spans="1:10" x14ac:dyDescent="0.35">
      <c r="A315" t="s">
        <v>481</v>
      </c>
      <c r="B315" s="1">
        <v>45718</v>
      </c>
      <c r="C315" t="s">
        <v>43</v>
      </c>
      <c r="D315" t="s">
        <v>12</v>
      </c>
      <c r="E315" t="s">
        <v>26</v>
      </c>
      <c r="F315" t="s">
        <v>14</v>
      </c>
      <c r="G315">
        <v>85.62</v>
      </c>
      <c r="H315" t="s">
        <v>15</v>
      </c>
      <c r="I315" t="s">
        <v>22</v>
      </c>
      <c r="J315" t="s">
        <v>44</v>
      </c>
    </row>
    <row r="316" spans="1:10" x14ac:dyDescent="0.35">
      <c r="A316" t="s">
        <v>482</v>
      </c>
      <c r="B316" s="1">
        <v>45718</v>
      </c>
      <c r="C316" t="s">
        <v>138</v>
      </c>
      <c r="D316" t="s">
        <v>12</v>
      </c>
      <c r="E316" t="s">
        <v>26</v>
      </c>
      <c r="F316" t="s">
        <v>14</v>
      </c>
      <c r="G316">
        <v>52.3</v>
      </c>
      <c r="H316" t="s">
        <v>15</v>
      </c>
      <c r="I316" t="s">
        <v>16</v>
      </c>
      <c r="J316" t="s">
        <v>77</v>
      </c>
    </row>
    <row r="317" spans="1:10" x14ac:dyDescent="0.35">
      <c r="A317" t="s">
        <v>483</v>
      </c>
      <c r="B317" s="1">
        <v>45719</v>
      </c>
      <c r="C317" t="s">
        <v>130</v>
      </c>
      <c r="D317" t="s">
        <v>12</v>
      </c>
      <c r="E317" t="s">
        <v>26</v>
      </c>
      <c r="F317" t="s">
        <v>14</v>
      </c>
      <c r="G317">
        <v>53.36</v>
      </c>
      <c r="H317" t="s">
        <v>21</v>
      </c>
      <c r="I317" t="s">
        <v>47</v>
      </c>
      <c r="J317" t="s">
        <v>48</v>
      </c>
    </row>
    <row r="318" spans="1:10" x14ac:dyDescent="0.35">
      <c r="A318" t="s">
        <v>484</v>
      </c>
      <c r="B318" s="1">
        <v>45719</v>
      </c>
      <c r="C318" t="s">
        <v>58</v>
      </c>
      <c r="D318" t="s">
        <v>59</v>
      </c>
      <c r="E318" t="s">
        <v>60</v>
      </c>
      <c r="F318" t="s">
        <v>14</v>
      </c>
      <c r="G318">
        <v>354.89</v>
      </c>
      <c r="H318" t="s">
        <v>15</v>
      </c>
      <c r="I318" t="s">
        <v>36</v>
      </c>
      <c r="J318" t="s">
        <v>61</v>
      </c>
    </row>
    <row r="319" spans="1:10" x14ac:dyDescent="0.35">
      <c r="A319" t="s">
        <v>485</v>
      </c>
      <c r="B319" s="1">
        <v>45719</v>
      </c>
      <c r="C319" t="s">
        <v>184</v>
      </c>
      <c r="D319" t="s">
        <v>59</v>
      </c>
      <c r="E319" t="s">
        <v>185</v>
      </c>
      <c r="F319" t="s">
        <v>14</v>
      </c>
      <c r="G319">
        <v>468.01</v>
      </c>
      <c r="H319" t="s">
        <v>21</v>
      </c>
      <c r="I319" t="s">
        <v>36</v>
      </c>
      <c r="J319" t="s">
        <v>61</v>
      </c>
    </row>
    <row r="320" spans="1:10" x14ac:dyDescent="0.35">
      <c r="A320" t="s">
        <v>486</v>
      </c>
      <c r="B320" s="1">
        <v>45719</v>
      </c>
      <c r="C320" t="s">
        <v>220</v>
      </c>
      <c r="D320" t="s">
        <v>59</v>
      </c>
      <c r="E320" t="s">
        <v>199</v>
      </c>
      <c r="F320" t="s">
        <v>14</v>
      </c>
      <c r="G320">
        <v>361.27</v>
      </c>
      <c r="H320" t="s">
        <v>21</v>
      </c>
      <c r="I320" t="s">
        <v>22</v>
      </c>
      <c r="J320" t="s">
        <v>211</v>
      </c>
    </row>
    <row r="321" spans="1:10" x14ac:dyDescent="0.35">
      <c r="A321" t="s">
        <v>487</v>
      </c>
      <c r="B321" s="1">
        <v>45719</v>
      </c>
      <c r="C321" t="s">
        <v>308</v>
      </c>
      <c r="D321" t="s">
        <v>54</v>
      </c>
      <c r="E321" t="s">
        <v>64</v>
      </c>
      <c r="F321" t="s">
        <v>54</v>
      </c>
      <c r="G321">
        <v>319.49</v>
      </c>
      <c r="H321" t="s">
        <v>15</v>
      </c>
      <c r="I321" t="s">
        <v>36</v>
      </c>
      <c r="J321" t="s">
        <v>89</v>
      </c>
    </row>
    <row r="322" spans="1:10" x14ac:dyDescent="0.35">
      <c r="A322" t="s">
        <v>488</v>
      </c>
      <c r="B322" s="1">
        <v>45719</v>
      </c>
      <c r="C322" t="s">
        <v>111</v>
      </c>
      <c r="D322" t="s">
        <v>12</v>
      </c>
      <c r="E322" t="s">
        <v>26</v>
      </c>
      <c r="F322" t="s">
        <v>14</v>
      </c>
      <c r="G322">
        <v>144.47999999999999</v>
      </c>
      <c r="H322" t="s">
        <v>15</v>
      </c>
      <c r="I322" t="s">
        <v>22</v>
      </c>
      <c r="J322" t="s">
        <v>23</v>
      </c>
    </row>
    <row r="323" spans="1:10" x14ac:dyDescent="0.35">
      <c r="A323" t="s">
        <v>489</v>
      </c>
      <c r="B323" s="1">
        <v>45720</v>
      </c>
      <c r="C323" t="s">
        <v>445</v>
      </c>
      <c r="D323" t="s">
        <v>101</v>
      </c>
      <c r="E323" t="s">
        <v>244</v>
      </c>
      <c r="F323" t="s">
        <v>14</v>
      </c>
      <c r="G323">
        <v>27.24</v>
      </c>
      <c r="H323" t="s">
        <v>15</v>
      </c>
      <c r="I323" t="s">
        <v>47</v>
      </c>
      <c r="J323" t="s">
        <v>103</v>
      </c>
    </row>
    <row r="324" spans="1:10" x14ac:dyDescent="0.35">
      <c r="A324" t="s">
        <v>490</v>
      </c>
      <c r="B324" s="1">
        <v>45720</v>
      </c>
      <c r="C324" t="s">
        <v>163</v>
      </c>
      <c r="D324" t="s">
        <v>80</v>
      </c>
      <c r="E324" t="s">
        <v>92</v>
      </c>
      <c r="F324" t="s">
        <v>14</v>
      </c>
      <c r="G324">
        <v>78.28</v>
      </c>
      <c r="H324" t="s">
        <v>21</v>
      </c>
      <c r="I324" t="s">
        <v>36</v>
      </c>
      <c r="J324" t="s">
        <v>118</v>
      </c>
    </row>
    <row r="325" spans="1:10" x14ac:dyDescent="0.35">
      <c r="A325" t="s">
        <v>491</v>
      </c>
      <c r="B325" s="1">
        <v>45720</v>
      </c>
      <c r="C325" t="s">
        <v>73</v>
      </c>
      <c r="D325" t="s">
        <v>54</v>
      </c>
      <c r="E325" t="s">
        <v>74</v>
      </c>
      <c r="F325" t="s">
        <v>54</v>
      </c>
      <c r="G325">
        <v>2294.36</v>
      </c>
      <c r="H325" t="s">
        <v>21</v>
      </c>
      <c r="I325" t="s">
        <v>36</v>
      </c>
      <c r="J325" t="s">
        <v>65</v>
      </c>
    </row>
    <row r="326" spans="1:10" x14ac:dyDescent="0.35">
      <c r="A326" t="s">
        <v>492</v>
      </c>
      <c r="B326" s="1">
        <v>45720</v>
      </c>
      <c r="C326" t="s">
        <v>138</v>
      </c>
      <c r="D326" t="s">
        <v>12</v>
      </c>
      <c r="E326" t="s">
        <v>26</v>
      </c>
      <c r="F326" t="s">
        <v>14</v>
      </c>
      <c r="G326">
        <v>52.42</v>
      </c>
      <c r="H326" t="s">
        <v>15</v>
      </c>
      <c r="I326" t="s">
        <v>22</v>
      </c>
      <c r="J326" t="s">
        <v>77</v>
      </c>
    </row>
    <row r="327" spans="1:10" x14ac:dyDescent="0.35">
      <c r="A327" t="s">
        <v>493</v>
      </c>
      <c r="B327" s="1">
        <v>45720</v>
      </c>
      <c r="C327" t="s">
        <v>376</v>
      </c>
      <c r="D327" t="s">
        <v>80</v>
      </c>
      <c r="E327" t="s">
        <v>117</v>
      </c>
      <c r="F327" t="s">
        <v>14</v>
      </c>
      <c r="G327">
        <v>47.67</v>
      </c>
      <c r="H327" t="s">
        <v>15</v>
      </c>
      <c r="I327" t="s">
        <v>22</v>
      </c>
      <c r="J327" t="s">
        <v>82</v>
      </c>
    </row>
    <row r="328" spans="1:10" x14ac:dyDescent="0.35">
      <c r="A328" t="s">
        <v>494</v>
      </c>
      <c r="B328" s="1">
        <v>45720</v>
      </c>
      <c r="C328" t="s">
        <v>175</v>
      </c>
      <c r="D328" t="s">
        <v>80</v>
      </c>
      <c r="E328" t="s">
        <v>92</v>
      </c>
      <c r="F328" t="s">
        <v>14</v>
      </c>
      <c r="G328">
        <v>54.99</v>
      </c>
      <c r="H328" t="s">
        <v>21</v>
      </c>
      <c r="I328" t="s">
        <v>22</v>
      </c>
      <c r="J328" t="s">
        <v>141</v>
      </c>
    </row>
    <row r="329" spans="1:10" x14ac:dyDescent="0.35">
      <c r="A329" t="s">
        <v>495</v>
      </c>
      <c r="B329" s="1">
        <v>45720</v>
      </c>
      <c r="C329" t="s">
        <v>198</v>
      </c>
      <c r="D329" t="s">
        <v>59</v>
      </c>
      <c r="E329" t="s">
        <v>199</v>
      </c>
      <c r="F329" t="s">
        <v>14</v>
      </c>
      <c r="G329">
        <v>269.99</v>
      </c>
      <c r="H329" t="s">
        <v>15</v>
      </c>
      <c r="I329" t="s">
        <v>84</v>
      </c>
      <c r="J329" t="s">
        <v>61</v>
      </c>
    </row>
    <row r="330" spans="1:10" x14ac:dyDescent="0.35">
      <c r="A330" t="s">
        <v>496</v>
      </c>
      <c r="B330" s="1">
        <v>45720</v>
      </c>
      <c r="C330" t="s">
        <v>272</v>
      </c>
      <c r="D330" t="s">
        <v>54</v>
      </c>
      <c r="E330" t="s">
        <v>55</v>
      </c>
      <c r="F330" t="s">
        <v>54</v>
      </c>
      <c r="G330">
        <v>695.88</v>
      </c>
      <c r="H330" t="s">
        <v>21</v>
      </c>
      <c r="I330" t="s">
        <v>16</v>
      </c>
      <c r="J330" t="s">
        <v>65</v>
      </c>
    </row>
    <row r="331" spans="1:10" x14ac:dyDescent="0.35">
      <c r="A331" t="s">
        <v>497</v>
      </c>
      <c r="B331" s="1">
        <v>45721</v>
      </c>
      <c r="C331" t="s">
        <v>11</v>
      </c>
      <c r="D331" t="s">
        <v>12</v>
      </c>
      <c r="E331" t="s">
        <v>13</v>
      </c>
      <c r="F331" t="s">
        <v>14</v>
      </c>
      <c r="G331">
        <v>51.92</v>
      </c>
      <c r="H331" t="s">
        <v>15</v>
      </c>
      <c r="I331" t="s">
        <v>22</v>
      </c>
      <c r="J331" t="s">
        <v>17</v>
      </c>
    </row>
    <row r="332" spans="1:10" x14ac:dyDescent="0.35">
      <c r="A332" t="s">
        <v>498</v>
      </c>
      <c r="B332" s="1">
        <v>45721</v>
      </c>
      <c r="C332" t="s">
        <v>19</v>
      </c>
      <c r="D332" t="s">
        <v>12</v>
      </c>
      <c r="E332" t="s">
        <v>13</v>
      </c>
      <c r="F332" t="s">
        <v>14</v>
      </c>
      <c r="G332">
        <v>23.23</v>
      </c>
      <c r="H332" t="s">
        <v>98</v>
      </c>
      <c r="I332" t="s">
        <v>47</v>
      </c>
      <c r="J332" t="s">
        <v>23</v>
      </c>
    </row>
    <row r="333" spans="1:10" x14ac:dyDescent="0.35">
      <c r="A333" t="s">
        <v>499</v>
      </c>
      <c r="B333" s="1">
        <v>45721</v>
      </c>
      <c r="C333" t="s">
        <v>50</v>
      </c>
      <c r="D333" t="s">
        <v>12</v>
      </c>
      <c r="E333" t="s">
        <v>51</v>
      </c>
      <c r="F333" t="s">
        <v>14</v>
      </c>
      <c r="G333">
        <v>39.42</v>
      </c>
      <c r="H333" t="s">
        <v>98</v>
      </c>
      <c r="I333" t="s">
        <v>84</v>
      </c>
      <c r="J333" t="s">
        <v>44</v>
      </c>
    </row>
    <row r="334" spans="1:10" x14ac:dyDescent="0.35">
      <c r="A334" t="s">
        <v>500</v>
      </c>
      <c r="B334" s="1">
        <v>45721</v>
      </c>
      <c r="C334" t="s">
        <v>140</v>
      </c>
      <c r="D334" t="s">
        <v>80</v>
      </c>
      <c r="E334" t="s">
        <v>81</v>
      </c>
      <c r="F334" t="s">
        <v>14</v>
      </c>
      <c r="G334">
        <v>184.02</v>
      </c>
      <c r="H334" t="s">
        <v>15</v>
      </c>
      <c r="I334" t="s">
        <v>22</v>
      </c>
      <c r="J334" t="s">
        <v>141</v>
      </c>
    </row>
    <row r="335" spans="1:10" x14ac:dyDescent="0.35">
      <c r="A335" t="s">
        <v>501</v>
      </c>
      <c r="B335" s="1">
        <v>45721</v>
      </c>
      <c r="C335" t="s">
        <v>350</v>
      </c>
      <c r="D335" t="s">
        <v>29</v>
      </c>
      <c r="E335" t="s">
        <v>151</v>
      </c>
      <c r="F335" t="s">
        <v>14</v>
      </c>
      <c r="G335">
        <v>29.14</v>
      </c>
      <c r="H335" t="s">
        <v>15</v>
      </c>
      <c r="I335" t="s">
        <v>36</v>
      </c>
      <c r="J335" t="s">
        <v>158</v>
      </c>
    </row>
    <row r="336" spans="1:10" x14ac:dyDescent="0.35">
      <c r="A336" t="s">
        <v>502</v>
      </c>
      <c r="B336" s="1">
        <v>45721</v>
      </c>
      <c r="C336" t="s">
        <v>63</v>
      </c>
      <c r="D336" t="s">
        <v>54</v>
      </c>
      <c r="E336" t="s">
        <v>64</v>
      </c>
      <c r="F336" t="s">
        <v>54</v>
      </c>
      <c r="G336">
        <v>369.85</v>
      </c>
      <c r="H336" t="s">
        <v>15</v>
      </c>
      <c r="I336" t="s">
        <v>22</v>
      </c>
      <c r="J336" t="s">
        <v>65</v>
      </c>
    </row>
    <row r="337" spans="1:10" x14ac:dyDescent="0.35">
      <c r="A337" t="s">
        <v>503</v>
      </c>
      <c r="B337" s="1">
        <v>45722</v>
      </c>
      <c r="C337" t="s">
        <v>198</v>
      </c>
      <c r="D337" t="s">
        <v>59</v>
      </c>
      <c r="E337" t="s">
        <v>199</v>
      </c>
      <c r="F337" t="s">
        <v>14</v>
      </c>
      <c r="G337">
        <v>479.88</v>
      </c>
      <c r="H337" t="s">
        <v>15</v>
      </c>
      <c r="I337" t="s">
        <v>16</v>
      </c>
      <c r="J337" t="s">
        <v>61</v>
      </c>
    </row>
    <row r="338" spans="1:10" x14ac:dyDescent="0.35">
      <c r="A338" t="s">
        <v>504</v>
      </c>
      <c r="B338" s="1">
        <v>45722</v>
      </c>
      <c r="C338" t="s">
        <v>415</v>
      </c>
      <c r="D338" t="s">
        <v>12</v>
      </c>
      <c r="E338" t="s">
        <v>51</v>
      </c>
      <c r="F338" t="s">
        <v>14</v>
      </c>
      <c r="G338">
        <v>79.260000000000005</v>
      </c>
      <c r="H338" t="s">
        <v>21</v>
      </c>
      <c r="I338" t="s">
        <v>47</v>
      </c>
      <c r="J338" t="s">
        <v>77</v>
      </c>
    </row>
    <row r="339" spans="1:10" x14ac:dyDescent="0.35">
      <c r="A339" t="s">
        <v>505</v>
      </c>
      <c r="B339" s="1">
        <v>45722</v>
      </c>
      <c r="C339" t="s">
        <v>210</v>
      </c>
      <c r="D339" t="s">
        <v>59</v>
      </c>
      <c r="E339" t="s">
        <v>185</v>
      </c>
      <c r="F339" t="s">
        <v>14</v>
      </c>
      <c r="G339">
        <v>287.11</v>
      </c>
      <c r="H339" t="s">
        <v>15</v>
      </c>
      <c r="I339" t="s">
        <v>47</v>
      </c>
      <c r="J339" t="s">
        <v>211</v>
      </c>
    </row>
    <row r="340" spans="1:10" x14ac:dyDescent="0.35">
      <c r="A340" t="s">
        <v>506</v>
      </c>
      <c r="B340" s="1">
        <v>45722</v>
      </c>
      <c r="C340" t="s">
        <v>76</v>
      </c>
      <c r="D340" t="s">
        <v>12</v>
      </c>
      <c r="E340" t="s">
        <v>13</v>
      </c>
      <c r="F340" t="s">
        <v>14</v>
      </c>
      <c r="G340">
        <v>70.75</v>
      </c>
      <c r="H340" t="s">
        <v>21</v>
      </c>
      <c r="I340" t="s">
        <v>16</v>
      </c>
      <c r="J340" t="s">
        <v>77</v>
      </c>
    </row>
    <row r="341" spans="1:10" x14ac:dyDescent="0.35">
      <c r="A341" t="s">
        <v>507</v>
      </c>
      <c r="B341" s="1">
        <v>45722</v>
      </c>
      <c r="C341" t="s">
        <v>135</v>
      </c>
      <c r="D341" t="s">
        <v>101</v>
      </c>
      <c r="E341" t="s">
        <v>102</v>
      </c>
      <c r="F341" t="s">
        <v>14</v>
      </c>
      <c r="G341">
        <v>49.55</v>
      </c>
      <c r="H341" t="s">
        <v>21</v>
      </c>
      <c r="I341" t="s">
        <v>84</v>
      </c>
      <c r="J341" t="s">
        <v>136</v>
      </c>
    </row>
    <row r="342" spans="1:10" x14ac:dyDescent="0.35">
      <c r="A342" t="s">
        <v>508</v>
      </c>
      <c r="B342" s="1">
        <v>45722</v>
      </c>
      <c r="C342" t="s">
        <v>204</v>
      </c>
      <c r="D342" t="s">
        <v>12</v>
      </c>
      <c r="E342" t="s">
        <v>51</v>
      </c>
      <c r="F342" t="s">
        <v>14</v>
      </c>
      <c r="G342">
        <v>18.79</v>
      </c>
      <c r="H342" t="s">
        <v>15</v>
      </c>
      <c r="I342" t="s">
        <v>36</v>
      </c>
      <c r="J342" t="s">
        <v>23</v>
      </c>
    </row>
    <row r="343" spans="1:10" x14ac:dyDescent="0.35">
      <c r="A343" t="s">
        <v>509</v>
      </c>
      <c r="B343" s="1">
        <v>45722</v>
      </c>
      <c r="C343" t="s">
        <v>150</v>
      </c>
      <c r="D343" t="s">
        <v>29</v>
      </c>
      <c r="E343" t="s">
        <v>30</v>
      </c>
      <c r="F343" t="s">
        <v>14</v>
      </c>
      <c r="G343">
        <v>41.56</v>
      </c>
      <c r="H343" t="s">
        <v>15</v>
      </c>
      <c r="I343" t="s">
        <v>22</v>
      </c>
      <c r="J343" t="s">
        <v>151</v>
      </c>
    </row>
    <row r="344" spans="1:10" x14ac:dyDescent="0.35">
      <c r="A344" t="s">
        <v>510</v>
      </c>
      <c r="B344" s="1">
        <v>45722</v>
      </c>
      <c r="C344" t="s">
        <v>296</v>
      </c>
      <c r="D344" t="s">
        <v>101</v>
      </c>
      <c r="E344" t="s">
        <v>136</v>
      </c>
      <c r="F344" t="s">
        <v>14</v>
      </c>
      <c r="G344">
        <v>76.599999999999994</v>
      </c>
      <c r="H344" t="s">
        <v>21</v>
      </c>
      <c r="I344" t="s">
        <v>22</v>
      </c>
      <c r="J344" t="s">
        <v>136</v>
      </c>
    </row>
    <row r="345" spans="1:10" x14ac:dyDescent="0.35">
      <c r="A345" t="s">
        <v>511</v>
      </c>
      <c r="B345" s="1">
        <v>45722</v>
      </c>
      <c r="C345" t="s">
        <v>308</v>
      </c>
      <c r="D345" t="s">
        <v>54</v>
      </c>
      <c r="E345" t="s">
        <v>64</v>
      </c>
      <c r="F345" t="s">
        <v>54</v>
      </c>
      <c r="G345">
        <v>322.26</v>
      </c>
      <c r="H345" t="s">
        <v>15</v>
      </c>
      <c r="I345" t="s">
        <v>22</v>
      </c>
      <c r="J345" t="s">
        <v>89</v>
      </c>
    </row>
    <row r="346" spans="1:10" x14ac:dyDescent="0.35">
      <c r="A346" t="s">
        <v>512</v>
      </c>
      <c r="B346" s="1">
        <v>45723</v>
      </c>
      <c r="C346" t="s">
        <v>79</v>
      </c>
      <c r="D346" t="s">
        <v>80</v>
      </c>
      <c r="E346" t="s">
        <v>81</v>
      </c>
      <c r="F346" t="s">
        <v>14</v>
      </c>
      <c r="G346">
        <v>62.56</v>
      </c>
      <c r="H346" t="s">
        <v>15</v>
      </c>
      <c r="I346" t="s">
        <v>36</v>
      </c>
      <c r="J346" t="s">
        <v>82</v>
      </c>
    </row>
    <row r="347" spans="1:10" x14ac:dyDescent="0.35">
      <c r="A347" t="s">
        <v>513</v>
      </c>
      <c r="B347" s="1">
        <v>45723</v>
      </c>
      <c r="C347" t="s">
        <v>189</v>
      </c>
      <c r="D347" t="s">
        <v>34</v>
      </c>
      <c r="E347" t="s">
        <v>122</v>
      </c>
      <c r="F347" t="s">
        <v>14</v>
      </c>
      <c r="G347">
        <v>194.54</v>
      </c>
      <c r="H347" t="s">
        <v>98</v>
      </c>
      <c r="I347" t="s">
        <v>22</v>
      </c>
      <c r="J347" t="s">
        <v>37</v>
      </c>
    </row>
    <row r="348" spans="1:10" x14ac:dyDescent="0.35">
      <c r="A348" t="s">
        <v>514</v>
      </c>
      <c r="B348" s="1">
        <v>45723</v>
      </c>
      <c r="C348" t="s">
        <v>217</v>
      </c>
      <c r="D348" t="s">
        <v>80</v>
      </c>
      <c r="E348" t="s">
        <v>81</v>
      </c>
      <c r="F348" t="s">
        <v>14</v>
      </c>
      <c r="G348">
        <v>119.89</v>
      </c>
      <c r="H348" t="s">
        <v>15</v>
      </c>
      <c r="I348" t="s">
        <v>22</v>
      </c>
      <c r="J348" t="s">
        <v>180</v>
      </c>
    </row>
    <row r="349" spans="1:10" x14ac:dyDescent="0.35">
      <c r="A349" t="s">
        <v>515</v>
      </c>
      <c r="B349" s="1">
        <v>45723</v>
      </c>
      <c r="C349" t="s">
        <v>177</v>
      </c>
      <c r="D349" t="s">
        <v>54</v>
      </c>
      <c r="E349" t="s">
        <v>74</v>
      </c>
      <c r="F349" t="s">
        <v>54</v>
      </c>
      <c r="G349">
        <v>2438.39</v>
      </c>
      <c r="H349" t="s">
        <v>15</v>
      </c>
      <c r="I349" t="s">
        <v>22</v>
      </c>
      <c r="J349" t="s">
        <v>56</v>
      </c>
    </row>
    <row r="350" spans="1:10" x14ac:dyDescent="0.35">
      <c r="A350" t="s">
        <v>516</v>
      </c>
      <c r="B350" s="1">
        <v>45723</v>
      </c>
      <c r="C350" t="s">
        <v>206</v>
      </c>
      <c r="D350" t="s">
        <v>29</v>
      </c>
      <c r="E350" t="s">
        <v>95</v>
      </c>
      <c r="F350" t="s">
        <v>14</v>
      </c>
      <c r="G350">
        <v>42.66</v>
      </c>
      <c r="H350" t="s">
        <v>15</v>
      </c>
      <c r="I350" t="s">
        <v>47</v>
      </c>
      <c r="J350" t="s">
        <v>31</v>
      </c>
    </row>
    <row r="351" spans="1:10" x14ac:dyDescent="0.35">
      <c r="A351" t="s">
        <v>517</v>
      </c>
      <c r="B351" s="1">
        <v>45723</v>
      </c>
      <c r="C351" t="s">
        <v>331</v>
      </c>
      <c r="D351" t="s">
        <v>29</v>
      </c>
      <c r="E351" t="s">
        <v>95</v>
      </c>
      <c r="F351" t="s">
        <v>14</v>
      </c>
      <c r="G351">
        <v>108.96</v>
      </c>
      <c r="H351" t="s">
        <v>21</v>
      </c>
      <c r="I351" t="s">
        <v>36</v>
      </c>
      <c r="J351" t="s">
        <v>151</v>
      </c>
    </row>
    <row r="352" spans="1:10" x14ac:dyDescent="0.35">
      <c r="A352" t="s">
        <v>518</v>
      </c>
      <c r="B352" s="1">
        <v>45723</v>
      </c>
      <c r="C352" t="s">
        <v>281</v>
      </c>
      <c r="D352" t="s">
        <v>34</v>
      </c>
      <c r="E352" t="s">
        <v>40</v>
      </c>
      <c r="F352" t="s">
        <v>14</v>
      </c>
      <c r="G352">
        <v>51.9</v>
      </c>
      <c r="H352" t="s">
        <v>15</v>
      </c>
      <c r="I352" t="s">
        <v>22</v>
      </c>
      <c r="J352" t="s">
        <v>123</v>
      </c>
    </row>
    <row r="353" spans="1:10" x14ac:dyDescent="0.35">
      <c r="A353" t="s">
        <v>519</v>
      </c>
      <c r="B353" s="1">
        <v>45723</v>
      </c>
      <c r="C353" t="s">
        <v>256</v>
      </c>
      <c r="D353" t="s">
        <v>34</v>
      </c>
      <c r="E353" t="s">
        <v>40</v>
      </c>
      <c r="F353" t="s">
        <v>14</v>
      </c>
      <c r="G353">
        <v>133.34</v>
      </c>
      <c r="H353" t="s">
        <v>98</v>
      </c>
      <c r="I353" t="s">
        <v>22</v>
      </c>
      <c r="J353" t="s">
        <v>239</v>
      </c>
    </row>
    <row r="354" spans="1:10" x14ac:dyDescent="0.35">
      <c r="A354" t="s">
        <v>520</v>
      </c>
      <c r="B354" s="1">
        <v>45724</v>
      </c>
      <c r="C354" t="s">
        <v>194</v>
      </c>
      <c r="D354" t="s">
        <v>101</v>
      </c>
      <c r="E354" t="s">
        <v>136</v>
      </c>
      <c r="F354" t="s">
        <v>14</v>
      </c>
      <c r="G354">
        <v>134.72999999999999</v>
      </c>
      <c r="H354" t="s">
        <v>15</v>
      </c>
      <c r="I354" t="s">
        <v>84</v>
      </c>
      <c r="J354" t="s">
        <v>103</v>
      </c>
    </row>
    <row r="355" spans="1:10" x14ac:dyDescent="0.35">
      <c r="A355" t="s">
        <v>521</v>
      </c>
      <c r="B355" s="1">
        <v>45724</v>
      </c>
      <c r="C355" t="s">
        <v>220</v>
      </c>
      <c r="D355" t="s">
        <v>59</v>
      </c>
      <c r="E355" t="s">
        <v>199</v>
      </c>
      <c r="F355" t="s">
        <v>14</v>
      </c>
      <c r="G355">
        <v>130.74</v>
      </c>
      <c r="H355" t="s">
        <v>21</v>
      </c>
      <c r="I355" t="s">
        <v>36</v>
      </c>
      <c r="J355" t="s">
        <v>211</v>
      </c>
    </row>
    <row r="356" spans="1:10" x14ac:dyDescent="0.35">
      <c r="A356" t="s">
        <v>522</v>
      </c>
      <c r="B356" s="1">
        <v>45724</v>
      </c>
      <c r="C356" t="s">
        <v>204</v>
      </c>
      <c r="D356" t="s">
        <v>12</v>
      </c>
      <c r="E356" t="s">
        <v>51</v>
      </c>
      <c r="F356" t="s">
        <v>14</v>
      </c>
      <c r="G356">
        <v>40.380000000000003</v>
      </c>
      <c r="H356" t="s">
        <v>15</v>
      </c>
      <c r="I356" t="s">
        <v>22</v>
      </c>
      <c r="J356" t="s">
        <v>23</v>
      </c>
    </row>
    <row r="357" spans="1:10" x14ac:dyDescent="0.35">
      <c r="A357" t="s">
        <v>523</v>
      </c>
      <c r="B357" s="1">
        <v>45724</v>
      </c>
      <c r="C357" t="s">
        <v>426</v>
      </c>
      <c r="D357" t="s">
        <v>69</v>
      </c>
      <c r="E357" t="s">
        <v>70</v>
      </c>
      <c r="F357" t="s">
        <v>14</v>
      </c>
      <c r="G357">
        <v>99.35</v>
      </c>
      <c r="H357" t="s">
        <v>15</v>
      </c>
      <c r="I357" t="s">
        <v>257</v>
      </c>
      <c r="J357" t="s">
        <v>396</v>
      </c>
    </row>
    <row r="358" spans="1:10" x14ac:dyDescent="0.35">
      <c r="A358" t="s">
        <v>524</v>
      </c>
      <c r="B358" s="1">
        <v>45724</v>
      </c>
      <c r="C358" t="s">
        <v>28</v>
      </c>
      <c r="D358" t="s">
        <v>29</v>
      </c>
      <c r="E358" t="s">
        <v>30</v>
      </c>
      <c r="F358" t="s">
        <v>14</v>
      </c>
      <c r="G358">
        <v>27.47</v>
      </c>
      <c r="H358" t="s">
        <v>15</v>
      </c>
      <c r="I358" t="s">
        <v>84</v>
      </c>
      <c r="J358" t="s">
        <v>31</v>
      </c>
    </row>
    <row r="359" spans="1:10" x14ac:dyDescent="0.35">
      <c r="A359" t="s">
        <v>525</v>
      </c>
      <c r="B359" s="1">
        <v>45724</v>
      </c>
      <c r="C359" t="s">
        <v>46</v>
      </c>
      <c r="D359" t="s">
        <v>12</v>
      </c>
      <c r="E359" t="s">
        <v>13</v>
      </c>
      <c r="F359" t="s">
        <v>14</v>
      </c>
      <c r="G359">
        <v>25.83</v>
      </c>
      <c r="H359" t="s">
        <v>15</v>
      </c>
      <c r="I359" t="s">
        <v>36</v>
      </c>
      <c r="J359" t="s">
        <v>48</v>
      </c>
    </row>
    <row r="360" spans="1:10" x14ac:dyDescent="0.35">
      <c r="A360" t="s">
        <v>526</v>
      </c>
      <c r="B360" s="1">
        <v>45724</v>
      </c>
      <c r="C360" t="s">
        <v>138</v>
      </c>
      <c r="D360" t="s">
        <v>12</v>
      </c>
      <c r="E360" t="s">
        <v>26</v>
      </c>
      <c r="F360" t="s">
        <v>14</v>
      </c>
      <c r="G360">
        <v>39.89</v>
      </c>
      <c r="H360" t="s">
        <v>21</v>
      </c>
      <c r="I360" t="s">
        <v>22</v>
      </c>
      <c r="J360" t="s">
        <v>77</v>
      </c>
    </row>
    <row r="361" spans="1:10" x14ac:dyDescent="0.35">
      <c r="A361" t="s">
        <v>527</v>
      </c>
      <c r="B361" s="1">
        <v>45724</v>
      </c>
      <c r="C361" t="s">
        <v>220</v>
      </c>
      <c r="D361" t="s">
        <v>59</v>
      </c>
      <c r="E361" t="s">
        <v>199</v>
      </c>
      <c r="F361" t="s">
        <v>14</v>
      </c>
      <c r="G361">
        <v>314.60000000000002</v>
      </c>
      <c r="H361" t="s">
        <v>15</v>
      </c>
      <c r="I361" t="s">
        <v>22</v>
      </c>
      <c r="J361" t="s">
        <v>211</v>
      </c>
    </row>
    <row r="362" spans="1:10" x14ac:dyDescent="0.35">
      <c r="A362" t="s">
        <v>528</v>
      </c>
      <c r="B362" s="1">
        <v>45724</v>
      </c>
      <c r="C362" t="s">
        <v>25</v>
      </c>
      <c r="D362" t="s">
        <v>12</v>
      </c>
      <c r="E362" t="s">
        <v>26</v>
      </c>
      <c r="F362" t="s">
        <v>14</v>
      </c>
      <c r="G362">
        <v>47.37</v>
      </c>
      <c r="H362" t="s">
        <v>15</v>
      </c>
      <c r="I362" t="s">
        <v>47</v>
      </c>
      <c r="J362" t="s">
        <v>17</v>
      </c>
    </row>
    <row r="363" spans="1:10" x14ac:dyDescent="0.35">
      <c r="A363" t="s">
        <v>529</v>
      </c>
      <c r="B363" s="1">
        <v>45725</v>
      </c>
      <c r="C363" t="s">
        <v>11</v>
      </c>
      <c r="D363" t="s">
        <v>12</v>
      </c>
      <c r="E363" t="s">
        <v>13</v>
      </c>
      <c r="F363" t="s">
        <v>14</v>
      </c>
      <c r="G363">
        <v>70.680000000000007</v>
      </c>
      <c r="H363" t="s">
        <v>21</v>
      </c>
      <c r="I363" t="s">
        <v>22</v>
      </c>
      <c r="J363" t="s">
        <v>17</v>
      </c>
    </row>
    <row r="364" spans="1:10" x14ac:dyDescent="0.35">
      <c r="A364" t="s">
        <v>530</v>
      </c>
      <c r="B364" s="1">
        <v>45725</v>
      </c>
      <c r="C364" t="s">
        <v>53</v>
      </c>
      <c r="D364" t="s">
        <v>54</v>
      </c>
      <c r="E364" t="s">
        <v>55</v>
      </c>
      <c r="F364" t="s">
        <v>54</v>
      </c>
      <c r="G364">
        <v>764.19</v>
      </c>
      <c r="H364" t="s">
        <v>15</v>
      </c>
      <c r="I364" t="s">
        <v>16</v>
      </c>
      <c r="J364" t="s">
        <v>56</v>
      </c>
    </row>
    <row r="365" spans="1:10" x14ac:dyDescent="0.35">
      <c r="A365" t="s">
        <v>531</v>
      </c>
      <c r="B365" s="1">
        <v>45725</v>
      </c>
      <c r="C365" t="s">
        <v>46</v>
      </c>
      <c r="D365" t="s">
        <v>12</v>
      </c>
      <c r="E365" t="s">
        <v>13</v>
      </c>
      <c r="F365" t="s">
        <v>14</v>
      </c>
      <c r="G365">
        <v>18.73</v>
      </c>
      <c r="H365" t="s">
        <v>21</v>
      </c>
      <c r="I365" t="s">
        <v>47</v>
      </c>
      <c r="J365" t="s">
        <v>48</v>
      </c>
    </row>
    <row r="366" spans="1:10" x14ac:dyDescent="0.35">
      <c r="A366" t="s">
        <v>532</v>
      </c>
      <c r="B366" s="1">
        <v>45726</v>
      </c>
      <c r="C366" t="s">
        <v>76</v>
      </c>
      <c r="D366" t="s">
        <v>12</v>
      </c>
      <c r="E366" t="s">
        <v>13</v>
      </c>
      <c r="F366" t="s">
        <v>14</v>
      </c>
      <c r="G366">
        <v>12.6</v>
      </c>
      <c r="H366" t="s">
        <v>21</v>
      </c>
      <c r="I366" t="s">
        <v>22</v>
      </c>
      <c r="J366" t="s">
        <v>77</v>
      </c>
    </row>
    <row r="367" spans="1:10" x14ac:dyDescent="0.35">
      <c r="A367" t="s">
        <v>533</v>
      </c>
      <c r="B367" s="1">
        <v>45726</v>
      </c>
      <c r="C367" t="s">
        <v>43</v>
      </c>
      <c r="D367" t="s">
        <v>12</v>
      </c>
      <c r="E367" t="s">
        <v>26</v>
      </c>
      <c r="F367" t="s">
        <v>14</v>
      </c>
      <c r="G367">
        <v>45.73</v>
      </c>
      <c r="H367" t="s">
        <v>98</v>
      </c>
      <c r="I367" t="s">
        <v>22</v>
      </c>
      <c r="J367" t="s">
        <v>44</v>
      </c>
    </row>
    <row r="368" spans="1:10" x14ac:dyDescent="0.35">
      <c r="A368" t="s">
        <v>534</v>
      </c>
      <c r="B368" s="1">
        <v>45726</v>
      </c>
      <c r="C368" t="s">
        <v>445</v>
      </c>
      <c r="D368" t="s">
        <v>101</v>
      </c>
      <c r="E368" t="s">
        <v>244</v>
      </c>
      <c r="F368" t="s">
        <v>14</v>
      </c>
      <c r="G368">
        <v>47.53</v>
      </c>
      <c r="H368" t="s">
        <v>15</v>
      </c>
      <c r="I368" t="s">
        <v>16</v>
      </c>
      <c r="J368" t="s">
        <v>103</v>
      </c>
    </row>
    <row r="369" spans="1:10" x14ac:dyDescent="0.35">
      <c r="A369" t="s">
        <v>535</v>
      </c>
      <c r="B369" s="1">
        <v>45726</v>
      </c>
      <c r="C369" t="s">
        <v>33</v>
      </c>
      <c r="D369" t="s">
        <v>34</v>
      </c>
      <c r="E369" t="s">
        <v>35</v>
      </c>
      <c r="F369" t="s">
        <v>14</v>
      </c>
      <c r="G369">
        <v>125.34</v>
      </c>
      <c r="H369" t="s">
        <v>15</v>
      </c>
      <c r="I369" t="s">
        <v>22</v>
      </c>
      <c r="J369" t="s">
        <v>37</v>
      </c>
    </row>
    <row r="370" spans="1:10" x14ac:dyDescent="0.35">
      <c r="A370" t="s">
        <v>536</v>
      </c>
      <c r="B370" s="1">
        <v>45726</v>
      </c>
      <c r="C370" t="s">
        <v>411</v>
      </c>
      <c r="D370" t="s">
        <v>29</v>
      </c>
      <c r="E370" t="s">
        <v>151</v>
      </c>
      <c r="F370" t="s">
        <v>14</v>
      </c>
      <c r="G370">
        <v>18.25</v>
      </c>
      <c r="H370" t="s">
        <v>15</v>
      </c>
      <c r="I370" t="s">
        <v>22</v>
      </c>
      <c r="J370" t="s">
        <v>151</v>
      </c>
    </row>
    <row r="371" spans="1:10" x14ac:dyDescent="0.35">
      <c r="A371" t="s">
        <v>537</v>
      </c>
      <c r="B371" s="1">
        <v>45726</v>
      </c>
      <c r="C371" t="s">
        <v>177</v>
      </c>
      <c r="D371" t="s">
        <v>54</v>
      </c>
      <c r="E371" t="s">
        <v>74</v>
      </c>
      <c r="F371" t="s">
        <v>54</v>
      </c>
      <c r="G371">
        <v>2613.88</v>
      </c>
      <c r="H371" t="s">
        <v>21</v>
      </c>
      <c r="I371" t="s">
        <v>36</v>
      </c>
      <c r="J371" t="s">
        <v>56</v>
      </c>
    </row>
    <row r="372" spans="1:10" x14ac:dyDescent="0.35">
      <c r="A372" t="s">
        <v>538</v>
      </c>
      <c r="B372" s="1">
        <v>45727</v>
      </c>
      <c r="C372" t="s">
        <v>157</v>
      </c>
      <c r="D372" t="s">
        <v>29</v>
      </c>
      <c r="E372" t="s">
        <v>95</v>
      </c>
      <c r="F372" t="s">
        <v>14</v>
      </c>
      <c r="G372">
        <v>66.28</v>
      </c>
      <c r="H372" t="s">
        <v>15</v>
      </c>
      <c r="I372" t="s">
        <v>84</v>
      </c>
      <c r="J372" t="s">
        <v>158</v>
      </c>
    </row>
    <row r="373" spans="1:10" x14ac:dyDescent="0.35">
      <c r="A373" t="s">
        <v>539</v>
      </c>
      <c r="B373" s="1">
        <v>45727</v>
      </c>
      <c r="C373" t="s">
        <v>376</v>
      </c>
      <c r="D373" t="s">
        <v>80</v>
      </c>
      <c r="E373" t="s">
        <v>117</v>
      </c>
      <c r="F373" t="s">
        <v>14</v>
      </c>
      <c r="G373">
        <v>180.74</v>
      </c>
      <c r="H373" t="s">
        <v>15</v>
      </c>
      <c r="I373" t="s">
        <v>22</v>
      </c>
      <c r="J373" t="s">
        <v>82</v>
      </c>
    </row>
    <row r="374" spans="1:10" x14ac:dyDescent="0.35">
      <c r="A374" t="s">
        <v>540</v>
      </c>
      <c r="B374" s="1">
        <v>45727</v>
      </c>
      <c r="C374" t="s">
        <v>143</v>
      </c>
      <c r="D374" t="s">
        <v>54</v>
      </c>
      <c r="E374" t="s">
        <v>55</v>
      </c>
      <c r="F374" t="s">
        <v>54</v>
      </c>
      <c r="G374">
        <v>652.79999999999995</v>
      </c>
      <c r="H374" t="s">
        <v>98</v>
      </c>
      <c r="I374" t="s">
        <v>47</v>
      </c>
      <c r="J374" t="s">
        <v>89</v>
      </c>
    </row>
    <row r="375" spans="1:10" x14ac:dyDescent="0.35">
      <c r="A375" t="s">
        <v>541</v>
      </c>
      <c r="B375" s="1">
        <v>45728</v>
      </c>
      <c r="C375" t="s">
        <v>63</v>
      </c>
      <c r="D375" t="s">
        <v>54</v>
      </c>
      <c r="E375" t="s">
        <v>64</v>
      </c>
      <c r="F375" t="s">
        <v>54</v>
      </c>
      <c r="G375">
        <v>396.18</v>
      </c>
      <c r="H375" t="s">
        <v>15</v>
      </c>
      <c r="I375" t="s">
        <v>47</v>
      </c>
      <c r="J375" t="s">
        <v>65</v>
      </c>
    </row>
    <row r="376" spans="1:10" x14ac:dyDescent="0.35">
      <c r="A376" t="s">
        <v>542</v>
      </c>
      <c r="B376" s="1">
        <v>45728</v>
      </c>
      <c r="C376" t="s">
        <v>543</v>
      </c>
      <c r="D376" t="s">
        <v>69</v>
      </c>
      <c r="E376" t="s">
        <v>70</v>
      </c>
      <c r="F376" t="s">
        <v>14</v>
      </c>
      <c r="G376">
        <v>199.47</v>
      </c>
      <c r="H376" t="s">
        <v>15</v>
      </c>
      <c r="I376" t="s">
        <v>16</v>
      </c>
      <c r="J376" t="s">
        <v>292</v>
      </c>
    </row>
    <row r="377" spans="1:10" x14ac:dyDescent="0.35">
      <c r="A377" t="s">
        <v>544</v>
      </c>
      <c r="B377" s="1">
        <v>45728</v>
      </c>
      <c r="C377" t="s">
        <v>204</v>
      </c>
      <c r="D377" t="s">
        <v>12</v>
      </c>
      <c r="E377" t="s">
        <v>51</v>
      </c>
      <c r="F377" t="s">
        <v>14</v>
      </c>
      <c r="G377">
        <v>180</v>
      </c>
      <c r="H377" t="s">
        <v>15</v>
      </c>
      <c r="I377" t="s">
        <v>36</v>
      </c>
      <c r="J377" t="s">
        <v>23</v>
      </c>
    </row>
    <row r="378" spans="1:10" x14ac:dyDescent="0.35">
      <c r="A378" t="s">
        <v>545</v>
      </c>
      <c r="B378" s="1">
        <v>45728</v>
      </c>
      <c r="C378" t="s">
        <v>198</v>
      </c>
      <c r="D378" t="s">
        <v>59</v>
      </c>
      <c r="E378" t="s">
        <v>199</v>
      </c>
      <c r="F378" t="s">
        <v>14</v>
      </c>
      <c r="G378">
        <v>87.41</v>
      </c>
      <c r="H378" t="s">
        <v>15</v>
      </c>
      <c r="I378" t="s">
        <v>36</v>
      </c>
      <c r="J378" t="s">
        <v>61</v>
      </c>
    </row>
    <row r="379" spans="1:10" x14ac:dyDescent="0.35">
      <c r="A379" t="s">
        <v>546</v>
      </c>
      <c r="B379" s="1">
        <v>45728</v>
      </c>
      <c r="C379" t="s">
        <v>138</v>
      </c>
      <c r="D379" t="s">
        <v>12</v>
      </c>
      <c r="E379" t="s">
        <v>26</v>
      </c>
      <c r="F379" t="s">
        <v>14</v>
      </c>
      <c r="G379">
        <v>23.46</v>
      </c>
      <c r="H379" t="s">
        <v>15</v>
      </c>
      <c r="I379" t="s">
        <v>84</v>
      </c>
      <c r="J379" t="s">
        <v>77</v>
      </c>
    </row>
    <row r="380" spans="1:10" x14ac:dyDescent="0.35">
      <c r="A380" t="s">
        <v>547</v>
      </c>
      <c r="B380" s="1">
        <v>45728</v>
      </c>
      <c r="C380" t="s">
        <v>88</v>
      </c>
      <c r="D380" t="s">
        <v>54</v>
      </c>
      <c r="E380" t="s">
        <v>74</v>
      </c>
      <c r="F380" t="s">
        <v>54</v>
      </c>
      <c r="G380">
        <v>2165.9899999999998</v>
      </c>
      <c r="H380" t="s">
        <v>15</v>
      </c>
      <c r="I380" t="s">
        <v>16</v>
      </c>
      <c r="J380" t="s">
        <v>89</v>
      </c>
    </row>
    <row r="381" spans="1:10" x14ac:dyDescent="0.35">
      <c r="A381" t="s">
        <v>548</v>
      </c>
      <c r="B381" s="1">
        <v>45729</v>
      </c>
      <c r="C381" t="s">
        <v>184</v>
      </c>
      <c r="D381" t="s">
        <v>59</v>
      </c>
      <c r="E381" t="s">
        <v>185</v>
      </c>
      <c r="F381" t="s">
        <v>14</v>
      </c>
      <c r="G381">
        <v>209.53</v>
      </c>
      <c r="H381" t="s">
        <v>15</v>
      </c>
      <c r="I381" t="s">
        <v>22</v>
      </c>
      <c r="J381" t="s">
        <v>61</v>
      </c>
    </row>
    <row r="382" spans="1:10" x14ac:dyDescent="0.35">
      <c r="A382" t="s">
        <v>549</v>
      </c>
      <c r="B382" s="1">
        <v>45729</v>
      </c>
      <c r="C382" t="s">
        <v>220</v>
      </c>
      <c r="D382" t="s">
        <v>59</v>
      </c>
      <c r="E382" t="s">
        <v>199</v>
      </c>
      <c r="F382" t="s">
        <v>14</v>
      </c>
      <c r="G382">
        <v>87.94</v>
      </c>
      <c r="H382" t="s">
        <v>15</v>
      </c>
      <c r="I382" t="s">
        <v>22</v>
      </c>
      <c r="J382" t="s">
        <v>211</v>
      </c>
    </row>
    <row r="383" spans="1:10" x14ac:dyDescent="0.35">
      <c r="A383" t="s">
        <v>550</v>
      </c>
      <c r="B383" s="1">
        <v>45729</v>
      </c>
      <c r="C383" t="s">
        <v>194</v>
      </c>
      <c r="D383" t="s">
        <v>101</v>
      </c>
      <c r="E383" t="s">
        <v>136</v>
      </c>
      <c r="F383" t="s">
        <v>14</v>
      </c>
      <c r="G383">
        <v>71.98</v>
      </c>
      <c r="H383" t="s">
        <v>15</v>
      </c>
      <c r="I383" t="s">
        <v>22</v>
      </c>
      <c r="J383" t="s">
        <v>103</v>
      </c>
    </row>
    <row r="384" spans="1:10" x14ac:dyDescent="0.35">
      <c r="A384" t="s">
        <v>551</v>
      </c>
      <c r="B384" s="1">
        <v>45729</v>
      </c>
      <c r="C384" t="s">
        <v>94</v>
      </c>
      <c r="D384" t="s">
        <v>29</v>
      </c>
      <c r="E384" t="s">
        <v>95</v>
      </c>
      <c r="F384" t="s">
        <v>14</v>
      </c>
      <c r="G384">
        <v>19.649999999999999</v>
      </c>
      <c r="H384" t="s">
        <v>21</v>
      </c>
      <c r="I384" t="s">
        <v>36</v>
      </c>
      <c r="J384" t="s">
        <v>96</v>
      </c>
    </row>
    <row r="385" spans="1:10" x14ac:dyDescent="0.35">
      <c r="A385" t="s">
        <v>552</v>
      </c>
      <c r="B385" s="1">
        <v>45730</v>
      </c>
      <c r="C385" t="s">
        <v>204</v>
      </c>
      <c r="D385" t="s">
        <v>12</v>
      </c>
      <c r="E385" t="s">
        <v>51</v>
      </c>
      <c r="F385" t="s">
        <v>14</v>
      </c>
      <c r="G385">
        <v>15.87</v>
      </c>
      <c r="H385" t="s">
        <v>15</v>
      </c>
      <c r="I385" t="s">
        <v>16</v>
      </c>
      <c r="J385" t="s">
        <v>23</v>
      </c>
    </row>
    <row r="386" spans="1:10" x14ac:dyDescent="0.35">
      <c r="A386" t="s">
        <v>553</v>
      </c>
      <c r="B386" s="1">
        <v>45730</v>
      </c>
      <c r="C386" t="s">
        <v>11</v>
      </c>
      <c r="D386" t="s">
        <v>12</v>
      </c>
      <c r="E386" t="s">
        <v>13</v>
      </c>
      <c r="F386" t="s">
        <v>14</v>
      </c>
      <c r="G386">
        <v>50.54</v>
      </c>
      <c r="H386" t="s">
        <v>98</v>
      </c>
      <c r="I386" t="s">
        <v>16</v>
      </c>
      <c r="J386" t="s">
        <v>17</v>
      </c>
    </row>
    <row r="387" spans="1:10" x14ac:dyDescent="0.35">
      <c r="A387" t="s">
        <v>554</v>
      </c>
      <c r="B387" s="1">
        <v>45730</v>
      </c>
      <c r="C387" t="s">
        <v>125</v>
      </c>
      <c r="D387" t="s">
        <v>12</v>
      </c>
      <c r="E387" t="s">
        <v>13</v>
      </c>
      <c r="F387" t="s">
        <v>14</v>
      </c>
      <c r="G387">
        <v>56.99</v>
      </c>
      <c r="H387" t="s">
        <v>98</v>
      </c>
      <c r="I387" t="s">
        <v>36</v>
      </c>
      <c r="J387" t="s">
        <v>44</v>
      </c>
    </row>
    <row r="388" spans="1:10" x14ac:dyDescent="0.35">
      <c r="A388" t="s">
        <v>555</v>
      </c>
      <c r="B388" s="1">
        <v>45730</v>
      </c>
      <c r="C388" t="s">
        <v>347</v>
      </c>
      <c r="D388" t="s">
        <v>29</v>
      </c>
      <c r="E388" t="s">
        <v>151</v>
      </c>
      <c r="F388" t="s">
        <v>14</v>
      </c>
      <c r="G388">
        <v>32.29</v>
      </c>
      <c r="H388" t="s">
        <v>21</v>
      </c>
      <c r="I388" t="s">
        <v>36</v>
      </c>
      <c r="J388" t="s">
        <v>96</v>
      </c>
    </row>
    <row r="389" spans="1:10" x14ac:dyDescent="0.35">
      <c r="A389" t="s">
        <v>556</v>
      </c>
      <c r="B389" s="1">
        <v>45730</v>
      </c>
      <c r="C389" t="s">
        <v>43</v>
      </c>
      <c r="D389" t="s">
        <v>12</v>
      </c>
      <c r="E389" t="s">
        <v>26</v>
      </c>
      <c r="F389" t="s">
        <v>14</v>
      </c>
      <c r="G389">
        <v>31.71</v>
      </c>
      <c r="H389" t="s">
        <v>15</v>
      </c>
      <c r="I389" t="s">
        <v>22</v>
      </c>
      <c r="J389" t="s">
        <v>44</v>
      </c>
    </row>
    <row r="390" spans="1:10" x14ac:dyDescent="0.35">
      <c r="A390" t="s">
        <v>557</v>
      </c>
      <c r="B390" s="1">
        <v>45730</v>
      </c>
      <c r="C390" t="s">
        <v>464</v>
      </c>
      <c r="D390" t="s">
        <v>34</v>
      </c>
      <c r="E390" t="s">
        <v>122</v>
      </c>
      <c r="F390" t="s">
        <v>14</v>
      </c>
      <c r="G390">
        <v>241.35</v>
      </c>
      <c r="H390" t="s">
        <v>21</v>
      </c>
      <c r="I390" t="s">
        <v>22</v>
      </c>
      <c r="J390" t="s">
        <v>239</v>
      </c>
    </row>
    <row r="391" spans="1:10" x14ac:dyDescent="0.35">
      <c r="A391" t="s">
        <v>558</v>
      </c>
      <c r="B391" s="1">
        <v>45731</v>
      </c>
      <c r="C391" t="s">
        <v>143</v>
      </c>
      <c r="D391" t="s">
        <v>54</v>
      </c>
      <c r="E391" t="s">
        <v>55</v>
      </c>
      <c r="F391" t="s">
        <v>54</v>
      </c>
      <c r="G391">
        <v>597.79999999999995</v>
      </c>
      <c r="H391" t="s">
        <v>21</v>
      </c>
      <c r="I391" t="s">
        <v>47</v>
      </c>
      <c r="J391" t="s">
        <v>89</v>
      </c>
    </row>
    <row r="392" spans="1:10" x14ac:dyDescent="0.35">
      <c r="A392" t="s">
        <v>559</v>
      </c>
      <c r="B392" s="1">
        <v>45731</v>
      </c>
      <c r="C392" t="s">
        <v>130</v>
      </c>
      <c r="D392" t="s">
        <v>12</v>
      </c>
      <c r="E392" t="s">
        <v>26</v>
      </c>
      <c r="F392" t="s">
        <v>14</v>
      </c>
      <c r="G392">
        <v>19.87</v>
      </c>
      <c r="H392" t="s">
        <v>15</v>
      </c>
      <c r="I392" t="s">
        <v>36</v>
      </c>
      <c r="J392" t="s">
        <v>48</v>
      </c>
    </row>
    <row r="393" spans="1:10" x14ac:dyDescent="0.35">
      <c r="A393" t="s">
        <v>560</v>
      </c>
      <c r="B393" s="1">
        <v>45731</v>
      </c>
      <c r="C393" t="s">
        <v>267</v>
      </c>
      <c r="D393" t="s">
        <v>29</v>
      </c>
      <c r="E393" t="s">
        <v>30</v>
      </c>
      <c r="F393" t="s">
        <v>14</v>
      </c>
      <c r="G393">
        <v>58.97</v>
      </c>
      <c r="H393" t="s">
        <v>21</v>
      </c>
      <c r="I393" t="s">
        <v>22</v>
      </c>
      <c r="J393" t="s">
        <v>96</v>
      </c>
    </row>
    <row r="394" spans="1:10" x14ac:dyDescent="0.35">
      <c r="A394" t="s">
        <v>561</v>
      </c>
      <c r="B394" s="1">
        <v>45731</v>
      </c>
      <c r="C394" t="s">
        <v>168</v>
      </c>
      <c r="D394" t="s">
        <v>59</v>
      </c>
      <c r="E394" t="s">
        <v>60</v>
      </c>
      <c r="F394" t="s">
        <v>14</v>
      </c>
      <c r="G394">
        <v>161.6</v>
      </c>
      <c r="H394" t="s">
        <v>15</v>
      </c>
      <c r="I394" t="s">
        <v>22</v>
      </c>
      <c r="J394" t="s">
        <v>170</v>
      </c>
    </row>
    <row r="395" spans="1:10" x14ac:dyDescent="0.35">
      <c r="A395" t="s">
        <v>562</v>
      </c>
      <c r="B395" s="1">
        <v>45731</v>
      </c>
      <c r="C395" t="s">
        <v>251</v>
      </c>
      <c r="D395" t="s">
        <v>29</v>
      </c>
      <c r="E395" t="s">
        <v>151</v>
      </c>
      <c r="F395" t="s">
        <v>14</v>
      </c>
      <c r="G395">
        <v>40.15</v>
      </c>
      <c r="H395" t="s">
        <v>15</v>
      </c>
      <c r="I395" t="s">
        <v>22</v>
      </c>
      <c r="J395" t="s">
        <v>31</v>
      </c>
    </row>
    <row r="396" spans="1:10" x14ac:dyDescent="0.35">
      <c r="A396" t="s">
        <v>563</v>
      </c>
      <c r="B396" s="1">
        <v>45731</v>
      </c>
      <c r="C396" t="s">
        <v>324</v>
      </c>
      <c r="D396" t="s">
        <v>80</v>
      </c>
      <c r="E396" t="s">
        <v>92</v>
      </c>
      <c r="F396" t="s">
        <v>14</v>
      </c>
      <c r="G396">
        <v>60.24</v>
      </c>
      <c r="H396" t="s">
        <v>98</v>
      </c>
      <c r="I396" t="s">
        <v>22</v>
      </c>
      <c r="J396" t="s">
        <v>161</v>
      </c>
    </row>
    <row r="397" spans="1:10" x14ac:dyDescent="0.35">
      <c r="A397" t="s">
        <v>564</v>
      </c>
      <c r="B397" s="1">
        <v>45731</v>
      </c>
      <c r="C397" t="s">
        <v>269</v>
      </c>
      <c r="D397" t="s">
        <v>34</v>
      </c>
      <c r="E397" t="s">
        <v>35</v>
      </c>
      <c r="F397" t="s">
        <v>14</v>
      </c>
      <c r="G397">
        <v>277.58</v>
      </c>
      <c r="H397" t="s">
        <v>15</v>
      </c>
      <c r="I397" t="s">
        <v>22</v>
      </c>
      <c r="J397" t="s">
        <v>123</v>
      </c>
    </row>
    <row r="398" spans="1:10" x14ac:dyDescent="0.35">
      <c r="A398" t="s">
        <v>565</v>
      </c>
      <c r="B398" s="1">
        <v>45732</v>
      </c>
      <c r="C398" t="s">
        <v>76</v>
      </c>
      <c r="D398" t="s">
        <v>12</v>
      </c>
      <c r="E398" t="s">
        <v>13</v>
      </c>
      <c r="F398" t="s">
        <v>14</v>
      </c>
      <c r="G398">
        <v>43.51</v>
      </c>
      <c r="H398" t="s">
        <v>15</v>
      </c>
      <c r="I398" t="s">
        <v>22</v>
      </c>
      <c r="J398" t="s">
        <v>77</v>
      </c>
    </row>
    <row r="399" spans="1:10" x14ac:dyDescent="0.35">
      <c r="A399" t="s">
        <v>566</v>
      </c>
      <c r="B399" s="1">
        <v>45732</v>
      </c>
      <c r="C399" t="s">
        <v>11</v>
      </c>
      <c r="D399" t="s">
        <v>12</v>
      </c>
      <c r="E399" t="s">
        <v>13</v>
      </c>
      <c r="F399" t="s">
        <v>14</v>
      </c>
      <c r="G399">
        <v>65.55</v>
      </c>
      <c r="H399" t="s">
        <v>21</v>
      </c>
      <c r="I399" t="s">
        <v>22</v>
      </c>
      <c r="J399" t="s">
        <v>17</v>
      </c>
    </row>
    <row r="400" spans="1:10" x14ac:dyDescent="0.35">
      <c r="A400" t="s">
        <v>567</v>
      </c>
      <c r="B400" s="1">
        <v>45732</v>
      </c>
      <c r="C400" t="s">
        <v>177</v>
      </c>
      <c r="D400" t="s">
        <v>54</v>
      </c>
      <c r="E400" t="s">
        <v>74</v>
      </c>
      <c r="F400" t="s">
        <v>54</v>
      </c>
      <c r="G400">
        <v>1987.36</v>
      </c>
      <c r="H400" t="s">
        <v>21</v>
      </c>
      <c r="I400" t="s">
        <v>16</v>
      </c>
      <c r="J400" t="s">
        <v>56</v>
      </c>
    </row>
    <row r="401" spans="1:10" x14ac:dyDescent="0.35">
      <c r="A401" t="s">
        <v>568</v>
      </c>
      <c r="B401" s="1">
        <v>45732</v>
      </c>
      <c r="C401" t="s">
        <v>347</v>
      </c>
      <c r="D401" t="s">
        <v>29</v>
      </c>
      <c r="E401" t="s">
        <v>151</v>
      </c>
      <c r="F401" t="s">
        <v>14</v>
      </c>
      <c r="G401">
        <v>25.01</v>
      </c>
      <c r="H401" t="s">
        <v>15</v>
      </c>
      <c r="I401" t="s">
        <v>47</v>
      </c>
      <c r="J401" t="s">
        <v>96</v>
      </c>
    </row>
    <row r="402" spans="1:10" x14ac:dyDescent="0.35">
      <c r="A402" t="s">
        <v>569</v>
      </c>
      <c r="B402" s="1">
        <v>45732</v>
      </c>
      <c r="C402" t="s">
        <v>53</v>
      </c>
      <c r="D402" t="s">
        <v>54</v>
      </c>
      <c r="E402" t="s">
        <v>55</v>
      </c>
      <c r="F402" t="s">
        <v>54</v>
      </c>
      <c r="G402">
        <v>767.02</v>
      </c>
      <c r="H402" t="s">
        <v>98</v>
      </c>
      <c r="I402" t="s">
        <v>22</v>
      </c>
      <c r="J402" t="s">
        <v>56</v>
      </c>
    </row>
    <row r="403" spans="1:10" x14ac:dyDescent="0.35">
      <c r="A403" t="s">
        <v>570</v>
      </c>
      <c r="B403" s="1">
        <v>45732</v>
      </c>
      <c r="C403" t="s">
        <v>296</v>
      </c>
      <c r="D403" t="s">
        <v>101</v>
      </c>
      <c r="E403" t="s">
        <v>136</v>
      </c>
      <c r="F403" t="s">
        <v>14</v>
      </c>
      <c r="G403">
        <v>73.760000000000005</v>
      </c>
      <c r="H403" t="s">
        <v>15</v>
      </c>
      <c r="I403" t="s">
        <v>16</v>
      </c>
      <c r="J403" t="s">
        <v>136</v>
      </c>
    </row>
    <row r="404" spans="1:10" x14ac:dyDescent="0.35">
      <c r="A404" t="s">
        <v>571</v>
      </c>
      <c r="B404" s="1">
        <v>45732</v>
      </c>
      <c r="C404" t="s">
        <v>572</v>
      </c>
      <c r="D404" t="s">
        <v>69</v>
      </c>
      <c r="E404" t="s">
        <v>233</v>
      </c>
      <c r="F404" t="s">
        <v>14</v>
      </c>
      <c r="G404">
        <v>572.47</v>
      </c>
      <c r="H404" t="s">
        <v>15</v>
      </c>
      <c r="I404" t="s">
        <v>22</v>
      </c>
      <c r="J404" t="s">
        <v>292</v>
      </c>
    </row>
    <row r="405" spans="1:10" x14ac:dyDescent="0.35">
      <c r="A405" t="s">
        <v>573</v>
      </c>
      <c r="B405" s="1">
        <v>45733</v>
      </c>
      <c r="C405" t="s">
        <v>464</v>
      </c>
      <c r="D405" t="s">
        <v>34</v>
      </c>
      <c r="E405" t="s">
        <v>122</v>
      </c>
      <c r="F405" t="s">
        <v>14</v>
      </c>
      <c r="G405">
        <v>189.11</v>
      </c>
      <c r="H405" t="s">
        <v>21</v>
      </c>
      <c r="I405" t="s">
        <v>16</v>
      </c>
      <c r="J405" t="s">
        <v>239</v>
      </c>
    </row>
    <row r="406" spans="1:10" x14ac:dyDescent="0.35">
      <c r="A406" t="s">
        <v>574</v>
      </c>
      <c r="B406" s="1">
        <v>45733</v>
      </c>
      <c r="C406" t="s">
        <v>347</v>
      </c>
      <c r="D406" t="s">
        <v>29</v>
      </c>
      <c r="E406" t="s">
        <v>151</v>
      </c>
      <c r="F406" t="s">
        <v>14</v>
      </c>
      <c r="G406">
        <v>27.79</v>
      </c>
      <c r="H406" t="s">
        <v>15</v>
      </c>
      <c r="I406" t="s">
        <v>47</v>
      </c>
      <c r="J406" t="s">
        <v>96</v>
      </c>
    </row>
    <row r="407" spans="1:10" x14ac:dyDescent="0.35">
      <c r="A407" t="s">
        <v>575</v>
      </c>
      <c r="B407" s="1">
        <v>45733</v>
      </c>
      <c r="C407" t="s">
        <v>79</v>
      </c>
      <c r="D407" t="s">
        <v>80</v>
      </c>
      <c r="E407" t="s">
        <v>81</v>
      </c>
      <c r="F407" t="s">
        <v>14</v>
      </c>
      <c r="G407">
        <v>63.26</v>
      </c>
      <c r="H407" t="s">
        <v>15</v>
      </c>
      <c r="I407" t="s">
        <v>22</v>
      </c>
      <c r="J407" t="s">
        <v>82</v>
      </c>
    </row>
    <row r="408" spans="1:10" x14ac:dyDescent="0.35">
      <c r="A408" t="s">
        <v>576</v>
      </c>
      <c r="B408" s="1">
        <v>45733</v>
      </c>
      <c r="C408" t="s">
        <v>198</v>
      </c>
      <c r="D408" t="s">
        <v>59</v>
      </c>
      <c r="E408" t="s">
        <v>199</v>
      </c>
      <c r="F408" t="s">
        <v>14</v>
      </c>
      <c r="G408">
        <v>217.42</v>
      </c>
      <c r="H408" t="s">
        <v>15</v>
      </c>
      <c r="I408" t="s">
        <v>22</v>
      </c>
      <c r="J408" t="s">
        <v>61</v>
      </c>
    </row>
    <row r="409" spans="1:10" x14ac:dyDescent="0.35">
      <c r="A409" t="s">
        <v>577</v>
      </c>
      <c r="B409" s="1">
        <v>45733</v>
      </c>
      <c r="C409" t="s">
        <v>189</v>
      </c>
      <c r="D409" t="s">
        <v>34</v>
      </c>
      <c r="E409" t="s">
        <v>122</v>
      </c>
      <c r="F409" t="s">
        <v>14</v>
      </c>
      <c r="G409">
        <v>143.05000000000001</v>
      </c>
      <c r="H409" t="s">
        <v>15</v>
      </c>
      <c r="I409" t="s">
        <v>22</v>
      </c>
      <c r="J409" t="s">
        <v>37</v>
      </c>
    </row>
    <row r="410" spans="1:10" x14ac:dyDescent="0.35">
      <c r="A410" t="s">
        <v>578</v>
      </c>
      <c r="B410" s="1">
        <v>45733</v>
      </c>
      <c r="C410" t="s">
        <v>308</v>
      </c>
      <c r="D410" t="s">
        <v>54</v>
      </c>
      <c r="E410" t="s">
        <v>64</v>
      </c>
      <c r="F410" t="s">
        <v>54</v>
      </c>
      <c r="G410">
        <v>334.84</v>
      </c>
      <c r="H410" t="s">
        <v>21</v>
      </c>
      <c r="I410" t="s">
        <v>47</v>
      </c>
      <c r="J410" t="s">
        <v>89</v>
      </c>
    </row>
    <row r="411" spans="1:10" x14ac:dyDescent="0.35">
      <c r="A411" t="s">
        <v>579</v>
      </c>
      <c r="B411" s="1">
        <v>45733</v>
      </c>
      <c r="C411" t="s">
        <v>580</v>
      </c>
      <c r="D411" t="s">
        <v>80</v>
      </c>
      <c r="E411" t="s">
        <v>81</v>
      </c>
      <c r="F411" t="s">
        <v>14</v>
      </c>
      <c r="G411">
        <v>35.880000000000003</v>
      </c>
      <c r="H411" t="s">
        <v>21</v>
      </c>
      <c r="I411" t="s">
        <v>22</v>
      </c>
      <c r="J411" t="s">
        <v>118</v>
      </c>
    </row>
    <row r="412" spans="1:10" x14ac:dyDescent="0.35">
      <c r="A412" t="s">
        <v>581</v>
      </c>
      <c r="B412" s="1">
        <v>45734</v>
      </c>
      <c r="C412" t="s">
        <v>184</v>
      </c>
      <c r="D412" t="s">
        <v>59</v>
      </c>
      <c r="E412" t="s">
        <v>185</v>
      </c>
      <c r="F412" t="s">
        <v>14</v>
      </c>
      <c r="G412">
        <v>195.77</v>
      </c>
      <c r="H412" t="s">
        <v>15</v>
      </c>
      <c r="I412" t="s">
        <v>22</v>
      </c>
      <c r="J412" t="s">
        <v>61</v>
      </c>
    </row>
    <row r="413" spans="1:10" x14ac:dyDescent="0.35">
      <c r="A413" t="s">
        <v>582</v>
      </c>
      <c r="B413" s="1">
        <v>45734</v>
      </c>
      <c r="C413" t="s">
        <v>168</v>
      </c>
      <c r="D413" t="s">
        <v>59</v>
      </c>
      <c r="E413" t="s">
        <v>60</v>
      </c>
      <c r="F413" t="s">
        <v>14</v>
      </c>
      <c r="G413">
        <v>322.86</v>
      </c>
      <c r="H413" t="s">
        <v>98</v>
      </c>
      <c r="I413" t="s">
        <v>16</v>
      </c>
      <c r="J413" t="s">
        <v>170</v>
      </c>
    </row>
    <row r="414" spans="1:10" x14ac:dyDescent="0.35">
      <c r="A414" t="s">
        <v>583</v>
      </c>
      <c r="B414" s="1">
        <v>45734</v>
      </c>
      <c r="C414" t="s">
        <v>189</v>
      </c>
      <c r="D414" t="s">
        <v>34</v>
      </c>
      <c r="E414" t="s">
        <v>122</v>
      </c>
      <c r="F414" t="s">
        <v>14</v>
      </c>
      <c r="G414">
        <v>97.13</v>
      </c>
      <c r="H414" t="s">
        <v>15</v>
      </c>
      <c r="I414" t="s">
        <v>47</v>
      </c>
      <c r="J414" t="s">
        <v>37</v>
      </c>
    </row>
    <row r="415" spans="1:10" x14ac:dyDescent="0.35">
      <c r="A415" t="s">
        <v>584</v>
      </c>
      <c r="B415" s="1">
        <v>45734</v>
      </c>
      <c r="C415" t="s">
        <v>143</v>
      </c>
      <c r="D415" t="s">
        <v>54</v>
      </c>
      <c r="E415" t="s">
        <v>55</v>
      </c>
      <c r="F415" t="s">
        <v>54</v>
      </c>
      <c r="G415">
        <v>798.69</v>
      </c>
      <c r="H415" t="s">
        <v>15</v>
      </c>
      <c r="I415" t="s">
        <v>47</v>
      </c>
      <c r="J415" t="s">
        <v>89</v>
      </c>
    </row>
    <row r="416" spans="1:10" x14ac:dyDescent="0.35">
      <c r="A416" t="s">
        <v>585</v>
      </c>
      <c r="B416" s="1">
        <v>45734</v>
      </c>
      <c r="C416" t="s">
        <v>100</v>
      </c>
      <c r="D416" t="s">
        <v>101</v>
      </c>
      <c r="E416" t="s">
        <v>102</v>
      </c>
      <c r="F416" t="s">
        <v>14</v>
      </c>
      <c r="G416">
        <v>45.81</v>
      </c>
      <c r="H416" t="s">
        <v>21</v>
      </c>
      <c r="I416" t="s">
        <v>16</v>
      </c>
      <c r="J416" t="s">
        <v>103</v>
      </c>
    </row>
    <row r="417" spans="1:10" x14ac:dyDescent="0.35">
      <c r="A417" t="s">
        <v>586</v>
      </c>
      <c r="B417" s="1">
        <v>45734</v>
      </c>
      <c r="C417" t="s">
        <v>227</v>
      </c>
      <c r="D417" t="s">
        <v>12</v>
      </c>
      <c r="E417" t="s">
        <v>51</v>
      </c>
      <c r="F417" t="s">
        <v>14</v>
      </c>
      <c r="G417">
        <v>76.239999999999995</v>
      </c>
      <c r="H417" t="s">
        <v>15</v>
      </c>
      <c r="I417" t="s">
        <v>47</v>
      </c>
      <c r="J417" t="s">
        <v>17</v>
      </c>
    </row>
    <row r="418" spans="1:10" x14ac:dyDescent="0.35">
      <c r="A418" t="s">
        <v>587</v>
      </c>
      <c r="B418" s="1">
        <v>45734</v>
      </c>
      <c r="C418" t="s">
        <v>19</v>
      </c>
      <c r="D418" t="s">
        <v>12</v>
      </c>
      <c r="E418" t="s">
        <v>13</v>
      </c>
      <c r="F418" t="s">
        <v>14</v>
      </c>
      <c r="G418">
        <v>45.6</v>
      </c>
      <c r="H418" t="s">
        <v>15</v>
      </c>
      <c r="I418" t="s">
        <v>22</v>
      </c>
      <c r="J418" t="s">
        <v>23</v>
      </c>
    </row>
    <row r="419" spans="1:10" x14ac:dyDescent="0.35">
      <c r="A419" t="s">
        <v>588</v>
      </c>
      <c r="B419" s="1">
        <v>45734</v>
      </c>
      <c r="C419" t="s">
        <v>138</v>
      </c>
      <c r="D419" t="s">
        <v>12</v>
      </c>
      <c r="E419" t="s">
        <v>26</v>
      </c>
      <c r="F419" t="s">
        <v>14</v>
      </c>
      <c r="G419">
        <v>60.24</v>
      </c>
      <c r="H419" t="s">
        <v>21</v>
      </c>
      <c r="I419" t="s">
        <v>16</v>
      </c>
      <c r="J419" t="s">
        <v>77</v>
      </c>
    </row>
    <row r="420" spans="1:10" x14ac:dyDescent="0.35">
      <c r="A420" t="s">
        <v>589</v>
      </c>
      <c r="B420" s="1">
        <v>45734</v>
      </c>
      <c r="C420" t="s">
        <v>28</v>
      </c>
      <c r="D420" t="s">
        <v>29</v>
      </c>
      <c r="E420" t="s">
        <v>30</v>
      </c>
      <c r="F420" t="s">
        <v>14</v>
      </c>
      <c r="G420">
        <v>39.840000000000003</v>
      </c>
      <c r="H420" t="s">
        <v>21</v>
      </c>
      <c r="I420" t="s">
        <v>16</v>
      </c>
      <c r="J420" t="s">
        <v>31</v>
      </c>
    </row>
    <row r="421" spans="1:10" x14ac:dyDescent="0.35">
      <c r="A421" t="s">
        <v>590</v>
      </c>
      <c r="B421" s="1">
        <v>45734</v>
      </c>
      <c r="C421" t="s">
        <v>580</v>
      </c>
      <c r="D421" t="s">
        <v>80</v>
      </c>
      <c r="E421" t="s">
        <v>81</v>
      </c>
      <c r="F421" t="s">
        <v>14</v>
      </c>
      <c r="G421">
        <v>53.02</v>
      </c>
      <c r="H421" t="s">
        <v>21</v>
      </c>
      <c r="I421" t="s">
        <v>36</v>
      </c>
      <c r="J421" t="s">
        <v>118</v>
      </c>
    </row>
    <row r="422" spans="1:10" x14ac:dyDescent="0.35">
      <c r="A422" t="s">
        <v>591</v>
      </c>
      <c r="B422" s="1">
        <v>45734</v>
      </c>
      <c r="C422" t="s">
        <v>94</v>
      </c>
      <c r="D422" t="s">
        <v>29</v>
      </c>
      <c r="E422" t="s">
        <v>95</v>
      </c>
      <c r="F422" t="s">
        <v>14</v>
      </c>
      <c r="G422">
        <v>29.88</v>
      </c>
      <c r="H422" t="s">
        <v>15</v>
      </c>
      <c r="I422" t="s">
        <v>22</v>
      </c>
      <c r="J422" t="s">
        <v>96</v>
      </c>
    </row>
    <row r="423" spans="1:10" x14ac:dyDescent="0.35">
      <c r="A423" t="s">
        <v>592</v>
      </c>
      <c r="B423" s="1">
        <v>45735</v>
      </c>
      <c r="C423" t="s">
        <v>76</v>
      </c>
      <c r="D423" t="s">
        <v>12</v>
      </c>
      <c r="E423" t="s">
        <v>13</v>
      </c>
      <c r="F423" t="s">
        <v>14</v>
      </c>
      <c r="G423">
        <v>37.450000000000003</v>
      </c>
      <c r="H423" t="s">
        <v>15</v>
      </c>
      <c r="I423" t="s">
        <v>22</v>
      </c>
      <c r="J423" t="s">
        <v>77</v>
      </c>
    </row>
    <row r="424" spans="1:10" x14ac:dyDescent="0.35">
      <c r="A424" t="s">
        <v>593</v>
      </c>
      <c r="B424" s="1">
        <v>45735</v>
      </c>
      <c r="C424" t="s">
        <v>155</v>
      </c>
      <c r="D424" t="s">
        <v>12</v>
      </c>
      <c r="E424" t="s">
        <v>51</v>
      </c>
      <c r="F424" t="s">
        <v>14</v>
      </c>
      <c r="G424">
        <v>47.54</v>
      </c>
      <c r="H424" t="s">
        <v>15</v>
      </c>
      <c r="I424" t="s">
        <v>16</v>
      </c>
      <c r="J424" t="s">
        <v>48</v>
      </c>
    </row>
    <row r="425" spans="1:10" x14ac:dyDescent="0.35">
      <c r="A425" t="s">
        <v>594</v>
      </c>
      <c r="B425" s="1">
        <v>45735</v>
      </c>
      <c r="C425" t="s">
        <v>411</v>
      </c>
      <c r="D425" t="s">
        <v>29</v>
      </c>
      <c r="E425" t="s">
        <v>151</v>
      </c>
      <c r="F425" t="s">
        <v>14</v>
      </c>
      <c r="G425">
        <v>75.239999999999995</v>
      </c>
      <c r="H425" t="s">
        <v>21</v>
      </c>
      <c r="I425" t="s">
        <v>84</v>
      </c>
      <c r="J425" t="s">
        <v>151</v>
      </c>
    </row>
    <row r="426" spans="1:10" x14ac:dyDescent="0.35">
      <c r="A426" t="s">
        <v>595</v>
      </c>
      <c r="B426" s="1">
        <v>45735</v>
      </c>
      <c r="C426" t="s">
        <v>73</v>
      </c>
      <c r="D426" t="s">
        <v>54</v>
      </c>
      <c r="E426" t="s">
        <v>74</v>
      </c>
      <c r="F426" t="s">
        <v>54</v>
      </c>
      <c r="G426">
        <v>2109.34</v>
      </c>
      <c r="H426" t="s">
        <v>15</v>
      </c>
      <c r="I426" t="s">
        <v>47</v>
      </c>
      <c r="J426" t="s">
        <v>65</v>
      </c>
    </row>
    <row r="427" spans="1:10" x14ac:dyDescent="0.35">
      <c r="A427" t="s">
        <v>596</v>
      </c>
      <c r="B427" s="1">
        <v>45735</v>
      </c>
      <c r="C427" t="s">
        <v>168</v>
      </c>
      <c r="D427" t="s">
        <v>59</v>
      </c>
      <c r="E427" t="s">
        <v>60</v>
      </c>
      <c r="F427" t="s">
        <v>14</v>
      </c>
      <c r="G427">
        <v>142.26</v>
      </c>
      <c r="H427" t="s">
        <v>21</v>
      </c>
      <c r="I427" t="s">
        <v>36</v>
      </c>
      <c r="J427" t="s">
        <v>170</v>
      </c>
    </row>
    <row r="428" spans="1:10" x14ac:dyDescent="0.35">
      <c r="A428" t="s">
        <v>597</v>
      </c>
      <c r="B428" s="1">
        <v>45735</v>
      </c>
      <c r="C428" t="s">
        <v>53</v>
      </c>
      <c r="D428" t="s">
        <v>54</v>
      </c>
      <c r="E428" t="s">
        <v>55</v>
      </c>
      <c r="F428" t="s">
        <v>54</v>
      </c>
      <c r="G428">
        <v>762.38</v>
      </c>
      <c r="H428" t="s">
        <v>15</v>
      </c>
      <c r="I428" t="s">
        <v>22</v>
      </c>
      <c r="J428" t="s">
        <v>56</v>
      </c>
    </row>
    <row r="429" spans="1:10" x14ac:dyDescent="0.35">
      <c r="A429" t="s">
        <v>598</v>
      </c>
      <c r="B429" s="1">
        <v>45736</v>
      </c>
      <c r="C429" t="s">
        <v>153</v>
      </c>
      <c r="D429" t="s">
        <v>34</v>
      </c>
      <c r="E429" t="s">
        <v>122</v>
      </c>
      <c r="F429" t="s">
        <v>14</v>
      </c>
      <c r="G429">
        <v>82.32</v>
      </c>
      <c r="H429" t="s">
        <v>98</v>
      </c>
      <c r="I429" t="s">
        <v>36</v>
      </c>
      <c r="J429" t="s">
        <v>41</v>
      </c>
    </row>
    <row r="430" spans="1:10" x14ac:dyDescent="0.35">
      <c r="A430" t="s">
        <v>599</v>
      </c>
      <c r="B430" s="1">
        <v>45736</v>
      </c>
      <c r="C430" t="s">
        <v>210</v>
      </c>
      <c r="D430" t="s">
        <v>59</v>
      </c>
      <c r="E430" t="s">
        <v>185</v>
      </c>
      <c r="F430" t="s">
        <v>14</v>
      </c>
      <c r="G430">
        <v>181.94</v>
      </c>
      <c r="H430" t="s">
        <v>15</v>
      </c>
      <c r="I430" t="s">
        <v>36</v>
      </c>
      <c r="J430" t="s">
        <v>211</v>
      </c>
    </row>
    <row r="431" spans="1:10" x14ac:dyDescent="0.35">
      <c r="A431" t="s">
        <v>600</v>
      </c>
      <c r="B431" s="1">
        <v>45736</v>
      </c>
      <c r="C431" t="s">
        <v>143</v>
      </c>
      <c r="D431" t="s">
        <v>54</v>
      </c>
      <c r="E431" t="s">
        <v>55</v>
      </c>
      <c r="F431" t="s">
        <v>54</v>
      </c>
      <c r="G431">
        <v>702.44</v>
      </c>
      <c r="H431" t="s">
        <v>21</v>
      </c>
      <c r="I431" t="s">
        <v>22</v>
      </c>
      <c r="J431" t="s">
        <v>89</v>
      </c>
    </row>
    <row r="432" spans="1:10" x14ac:dyDescent="0.35">
      <c r="A432" t="s">
        <v>601</v>
      </c>
      <c r="B432" s="1">
        <v>45736</v>
      </c>
      <c r="C432" t="s">
        <v>63</v>
      </c>
      <c r="D432" t="s">
        <v>54</v>
      </c>
      <c r="E432" t="s">
        <v>64</v>
      </c>
      <c r="F432" t="s">
        <v>54</v>
      </c>
      <c r="G432">
        <v>306.19</v>
      </c>
      <c r="H432" t="s">
        <v>15</v>
      </c>
      <c r="I432" t="s">
        <v>36</v>
      </c>
      <c r="J432" t="s">
        <v>65</v>
      </c>
    </row>
    <row r="433" spans="1:10" x14ac:dyDescent="0.35">
      <c r="A433" t="s">
        <v>602</v>
      </c>
      <c r="B433" s="1">
        <v>45736</v>
      </c>
      <c r="C433" t="s">
        <v>143</v>
      </c>
      <c r="D433" t="s">
        <v>54</v>
      </c>
      <c r="E433" t="s">
        <v>55</v>
      </c>
      <c r="F433" t="s">
        <v>54</v>
      </c>
      <c r="G433">
        <v>566.03</v>
      </c>
      <c r="H433" t="s">
        <v>98</v>
      </c>
      <c r="I433" t="s">
        <v>22</v>
      </c>
      <c r="J433" t="s">
        <v>89</v>
      </c>
    </row>
    <row r="434" spans="1:10" x14ac:dyDescent="0.35">
      <c r="A434" t="s">
        <v>603</v>
      </c>
      <c r="B434" s="1">
        <v>45736</v>
      </c>
      <c r="C434" t="s">
        <v>175</v>
      </c>
      <c r="D434" t="s">
        <v>80</v>
      </c>
      <c r="E434" t="s">
        <v>92</v>
      </c>
      <c r="F434" t="s">
        <v>14</v>
      </c>
      <c r="G434">
        <v>72.239999999999995</v>
      </c>
      <c r="H434" t="s">
        <v>15</v>
      </c>
      <c r="I434" t="s">
        <v>16</v>
      </c>
      <c r="J434" t="s">
        <v>141</v>
      </c>
    </row>
    <row r="435" spans="1:10" x14ac:dyDescent="0.35">
      <c r="A435" t="s">
        <v>604</v>
      </c>
      <c r="B435" s="1">
        <v>45737</v>
      </c>
      <c r="C435" t="s">
        <v>53</v>
      </c>
      <c r="D435" t="s">
        <v>54</v>
      </c>
      <c r="E435" t="s">
        <v>55</v>
      </c>
      <c r="F435" t="s">
        <v>54</v>
      </c>
      <c r="G435">
        <v>802.8</v>
      </c>
      <c r="H435" t="s">
        <v>15</v>
      </c>
      <c r="I435" t="s">
        <v>36</v>
      </c>
      <c r="J435" t="s">
        <v>56</v>
      </c>
    </row>
    <row r="436" spans="1:10" x14ac:dyDescent="0.35">
      <c r="A436" t="s">
        <v>605</v>
      </c>
      <c r="B436" s="1">
        <v>45737</v>
      </c>
      <c r="C436" t="s">
        <v>53</v>
      </c>
      <c r="D436" t="s">
        <v>54</v>
      </c>
      <c r="E436" t="s">
        <v>55</v>
      </c>
      <c r="F436" t="s">
        <v>54</v>
      </c>
      <c r="G436">
        <v>603.79</v>
      </c>
      <c r="H436" t="s">
        <v>15</v>
      </c>
      <c r="I436" t="s">
        <v>16</v>
      </c>
      <c r="J436" t="s">
        <v>56</v>
      </c>
    </row>
    <row r="437" spans="1:10" x14ac:dyDescent="0.35">
      <c r="A437" t="s">
        <v>606</v>
      </c>
      <c r="B437" s="1">
        <v>45737</v>
      </c>
      <c r="C437" t="s">
        <v>28</v>
      </c>
      <c r="D437" t="s">
        <v>29</v>
      </c>
      <c r="E437" t="s">
        <v>30</v>
      </c>
      <c r="F437" t="s">
        <v>14</v>
      </c>
      <c r="G437">
        <v>72.73</v>
      </c>
      <c r="H437" t="s">
        <v>21</v>
      </c>
      <c r="I437" t="s">
        <v>47</v>
      </c>
      <c r="J437" t="s">
        <v>31</v>
      </c>
    </row>
    <row r="438" spans="1:10" x14ac:dyDescent="0.35">
      <c r="A438" t="s">
        <v>607</v>
      </c>
      <c r="B438" s="1">
        <v>45737</v>
      </c>
      <c r="C438" t="s">
        <v>324</v>
      </c>
      <c r="D438" t="s">
        <v>80</v>
      </c>
      <c r="E438" t="s">
        <v>92</v>
      </c>
      <c r="F438" t="s">
        <v>14</v>
      </c>
      <c r="G438">
        <v>68.33</v>
      </c>
      <c r="H438" t="s">
        <v>21</v>
      </c>
      <c r="I438" t="s">
        <v>36</v>
      </c>
      <c r="J438" t="s">
        <v>161</v>
      </c>
    </row>
    <row r="439" spans="1:10" x14ac:dyDescent="0.35">
      <c r="A439" t="s">
        <v>608</v>
      </c>
      <c r="B439" s="1">
        <v>45737</v>
      </c>
      <c r="C439" t="s">
        <v>415</v>
      </c>
      <c r="D439" t="s">
        <v>12</v>
      </c>
      <c r="E439" t="s">
        <v>51</v>
      </c>
      <c r="F439" t="s">
        <v>14</v>
      </c>
      <c r="G439">
        <v>28.1</v>
      </c>
      <c r="H439" t="s">
        <v>21</v>
      </c>
      <c r="I439" t="s">
        <v>36</v>
      </c>
      <c r="J439" t="s">
        <v>77</v>
      </c>
    </row>
    <row r="440" spans="1:10" x14ac:dyDescent="0.35">
      <c r="A440" t="s">
        <v>609</v>
      </c>
      <c r="B440" s="1">
        <v>45738</v>
      </c>
      <c r="C440" t="s">
        <v>217</v>
      </c>
      <c r="D440" t="s">
        <v>80</v>
      </c>
      <c r="E440" t="s">
        <v>81</v>
      </c>
      <c r="F440" t="s">
        <v>14</v>
      </c>
      <c r="G440">
        <v>47.79</v>
      </c>
      <c r="H440" t="s">
        <v>21</v>
      </c>
      <c r="I440" t="s">
        <v>36</v>
      </c>
      <c r="J440" t="s">
        <v>180</v>
      </c>
    </row>
    <row r="441" spans="1:10" x14ac:dyDescent="0.35">
      <c r="A441" t="s">
        <v>610</v>
      </c>
      <c r="B441" s="1">
        <v>45738</v>
      </c>
      <c r="C441" t="s">
        <v>109</v>
      </c>
      <c r="D441" t="s">
        <v>34</v>
      </c>
      <c r="E441" t="s">
        <v>35</v>
      </c>
      <c r="F441" t="s">
        <v>14</v>
      </c>
      <c r="G441">
        <v>100.18</v>
      </c>
      <c r="H441" t="s">
        <v>21</v>
      </c>
      <c r="I441" t="s">
        <v>22</v>
      </c>
      <c r="J441" t="s">
        <v>41</v>
      </c>
    </row>
    <row r="442" spans="1:10" x14ac:dyDescent="0.35">
      <c r="A442" t="s">
        <v>611</v>
      </c>
      <c r="B442" s="1">
        <v>45738</v>
      </c>
      <c r="C442" t="s">
        <v>88</v>
      </c>
      <c r="D442" t="s">
        <v>54</v>
      </c>
      <c r="E442" t="s">
        <v>74</v>
      </c>
      <c r="F442" t="s">
        <v>54</v>
      </c>
      <c r="G442">
        <v>2575.2600000000002</v>
      </c>
      <c r="H442" t="s">
        <v>21</v>
      </c>
      <c r="I442" t="s">
        <v>22</v>
      </c>
      <c r="J442" t="s">
        <v>89</v>
      </c>
    </row>
    <row r="443" spans="1:10" x14ac:dyDescent="0.35">
      <c r="A443" t="s">
        <v>612</v>
      </c>
      <c r="B443" s="1">
        <v>45738</v>
      </c>
      <c r="C443" t="s">
        <v>143</v>
      </c>
      <c r="D443" t="s">
        <v>54</v>
      </c>
      <c r="E443" t="s">
        <v>55</v>
      </c>
      <c r="F443" t="s">
        <v>54</v>
      </c>
      <c r="G443">
        <v>627.34</v>
      </c>
      <c r="H443" t="s">
        <v>15</v>
      </c>
      <c r="I443" t="s">
        <v>16</v>
      </c>
      <c r="J443" t="s">
        <v>89</v>
      </c>
    </row>
    <row r="444" spans="1:10" x14ac:dyDescent="0.35">
      <c r="A444" t="s">
        <v>613</v>
      </c>
      <c r="B444" s="1">
        <v>45738</v>
      </c>
      <c r="C444" t="s">
        <v>347</v>
      </c>
      <c r="D444" t="s">
        <v>29</v>
      </c>
      <c r="E444" t="s">
        <v>151</v>
      </c>
      <c r="F444" t="s">
        <v>14</v>
      </c>
      <c r="G444">
        <v>43.23</v>
      </c>
      <c r="H444" t="s">
        <v>15</v>
      </c>
      <c r="I444" t="s">
        <v>22</v>
      </c>
      <c r="J444" t="s">
        <v>96</v>
      </c>
    </row>
    <row r="445" spans="1:10" x14ac:dyDescent="0.35">
      <c r="A445" t="s">
        <v>614</v>
      </c>
      <c r="B445" s="1">
        <v>45739</v>
      </c>
      <c r="C445" t="s">
        <v>177</v>
      </c>
      <c r="D445" t="s">
        <v>54</v>
      </c>
      <c r="E445" t="s">
        <v>74</v>
      </c>
      <c r="F445" t="s">
        <v>54</v>
      </c>
      <c r="G445">
        <v>2409.02</v>
      </c>
      <c r="H445" t="s">
        <v>21</v>
      </c>
      <c r="I445" t="s">
        <v>47</v>
      </c>
      <c r="J445" t="s">
        <v>56</v>
      </c>
    </row>
    <row r="446" spans="1:10" x14ac:dyDescent="0.35">
      <c r="A446" t="s">
        <v>615</v>
      </c>
      <c r="B446" s="1">
        <v>45739</v>
      </c>
      <c r="C446" t="s">
        <v>376</v>
      </c>
      <c r="D446" t="s">
        <v>80</v>
      </c>
      <c r="E446" t="s">
        <v>117</v>
      </c>
      <c r="F446" t="s">
        <v>14</v>
      </c>
      <c r="G446">
        <v>100.9</v>
      </c>
      <c r="H446" t="s">
        <v>15</v>
      </c>
      <c r="I446" t="s">
        <v>36</v>
      </c>
      <c r="J446" t="s">
        <v>82</v>
      </c>
    </row>
    <row r="447" spans="1:10" x14ac:dyDescent="0.35">
      <c r="A447" t="s">
        <v>616</v>
      </c>
      <c r="B447" s="1">
        <v>45739</v>
      </c>
      <c r="C447" t="s">
        <v>198</v>
      </c>
      <c r="D447" t="s">
        <v>59</v>
      </c>
      <c r="E447" t="s">
        <v>199</v>
      </c>
      <c r="F447" t="s">
        <v>14</v>
      </c>
      <c r="G447">
        <v>289.64999999999998</v>
      </c>
      <c r="H447" t="s">
        <v>15</v>
      </c>
      <c r="I447" t="s">
        <v>36</v>
      </c>
      <c r="J447" t="s">
        <v>61</v>
      </c>
    </row>
    <row r="448" spans="1:10" x14ac:dyDescent="0.35">
      <c r="A448" t="s">
        <v>617</v>
      </c>
      <c r="B448" s="1">
        <v>45739</v>
      </c>
      <c r="C448" t="s">
        <v>445</v>
      </c>
      <c r="D448" t="s">
        <v>101</v>
      </c>
      <c r="E448" t="s">
        <v>244</v>
      </c>
      <c r="F448" t="s">
        <v>14</v>
      </c>
      <c r="G448">
        <v>52.85</v>
      </c>
      <c r="H448" t="s">
        <v>98</v>
      </c>
      <c r="I448" t="s">
        <v>22</v>
      </c>
      <c r="J448" t="s">
        <v>103</v>
      </c>
    </row>
    <row r="449" spans="1:10" x14ac:dyDescent="0.35">
      <c r="A449" t="s">
        <v>618</v>
      </c>
      <c r="B449" s="1">
        <v>45739</v>
      </c>
      <c r="C449" t="s">
        <v>411</v>
      </c>
      <c r="D449" t="s">
        <v>29</v>
      </c>
      <c r="E449" t="s">
        <v>151</v>
      </c>
      <c r="F449" t="s">
        <v>14</v>
      </c>
      <c r="G449">
        <v>21.72</v>
      </c>
      <c r="H449" t="s">
        <v>21</v>
      </c>
      <c r="I449" t="s">
        <v>36</v>
      </c>
      <c r="J449" t="s">
        <v>151</v>
      </c>
    </row>
    <row r="450" spans="1:10" x14ac:dyDescent="0.35">
      <c r="A450" t="s">
        <v>619</v>
      </c>
      <c r="B450" s="1">
        <v>45739</v>
      </c>
      <c r="C450" t="s">
        <v>206</v>
      </c>
      <c r="D450" t="s">
        <v>29</v>
      </c>
      <c r="E450" t="s">
        <v>95</v>
      </c>
      <c r="F450" t="s">
        <v>14</v>
      </c>
      <c r="G450">
        <v>61.09</v>
      </c>
      <c r="H450" t="s">
        <v>15</v>
      </c>
      <c r="I450" t="s">
        <v>36</v>
      </c>
      <c r="J450" t="s">
        <v>31</v>
      </c>
    </row>
    <row r="451" spans="1:10" x14ac:dyDescent="0.35">
      <c r="A451" t="s">
        <v>620</v>
      </c>
      <c r="B451" s="1">
        <v>45740</v>
      </c>
      <c r="C451" t="s">
        <v>251</v>
      </c>
      <c r="D451" t="s">
        <v>29</v>
      </c>
      <c r="E451" t="s">
        <v>151</v>
      </c>
      <c r="F451" t="s">
        <v>14</v>
      </c>
      <c r="G451">
        <v>29.41</v>
      </c>
      <c r="H451" t="s">
        <v>15</v>
      </c>
      <c r="I451" t="s">
        <v>16</v>
      </c>
      <c r="J451" t="s">
        <v>31</v>
      </c>
    </row>
    <row r="452" spans="1:10" x14ac:dyDescent="0.35">
      <c r="A452" t="s">
        <v>621</v>
      </c>
      <c r="B452" s="1">
        <v>45740</v>
      </c>
      <c r="C452" t="s">
        <v>331</v>
      </c>
      <c r="D452" t="s">
        <v>29</v>
      </c>
      <c r="E452" t="s">
        <v>95</v>
      </c>
      <c r="F452" t="s">
        <v>14</v>
      </c>
      <c r="G452">
        <v>36.409999999999997</v>
      </c>
      <c r="H452" t="s">
        <v>15</v>
      </c>
      <c r="I452" t="s">
        <v>36</v>
      </c>
      <c r="J452" t="s">
        <v>151</v>
      </c>
    </row>
    <row r="453" spans="1:10" x14ac:dyDescent="0.35">
      <c r="A453" t="s">
        <v>622</v>
      </c>
      <c r="B453" s="1">
        <v>45740</v>
      </c>
      <c r="C453" t="s">
        <v>53</v>
      </c>
      <c r="D453" t="s">
        <v>54</v>
      </c>
      <c r="E453" t="s">
        <v>55</v>
      </c>
      <c r="F453" t="s">
        <v>54</v>
      </c>
      <c r="G453">
        <v>817.29</v>
      </c>
      <c r="H453" t="s">
        <v>15</v>
      </c>
      <c r="I453" t="s">
        <v>22</v>
      </c>
      <c r="J453" t="s">
        <v>56</v>
      </c>
    </row>
    <row r="454" spans="1:10" x14ac:dyDescent="0.35">
      <c r="A454" t="s">
        <v>623</v>
      </c>
      <c r="B454" s="1">
        <v>45740</v>
      </c>
      <c r="C454" t="s">
        <v>308</v>
      </c>
      <c r="D454" t="s">
        <v>54</v>
      </c>
      <c r="E454" t="s">
        <v>64</v>
      </c>
      <c r="F454" t="s">
        <v>54</v>
      </c>
      <c r="G454">
        <v>327.27</v>
      </c>
      <c r="H454" t="s">
        <v>15</v>
      </c>
      <c r="I454" t="s">
        <v>22</v>
      </c>
      <c r="J454" t="s">
        <v>89</v>
      </c>
    </row>
    <row r="455" spans="1:10" x14ac:dyDescent="0.35">
      <c r="A455" t="s">
        <v>624</v>
      </c>
      <c r="B455" s="1">
        <v>45741</v>
      </c>
      <c r="C455" t="s">
        <v>130</v>
      </c>
      <c r="D455" t="s">
        <v>12</v>
      </c>
      <c r="E455" t="s">
        <v>26</v>
      </c>
      <c r="F455" t="s">
        <v>14</v>
      </c>
      <c r="G455">
        <v>43.48</v>
      </c>
      <c r="H455" t="s">
        <v>21</v>
      </c>
      <c r="I455" t="s">
        <v>47</v>
      </c>
      <c r="J455" t="s">
        <v>48</v>
      </c>
    </row>
    <row r="456" spans="1:10" x14ac:dyDescent="0.35">
      <c r="A456" t="s">
        <v>625</v>
      </c>
      <c r="B456" s="1">
        <v>45742</v>
      </c>
      <c r="C456" t="s">
        <v>79</v>
      </c>
      <c r="D456" t="s">
        <v>80</v>
      </c>
      <c r="E456" t="s">
        <v>81</v>
      </c>
      <c r="F456" t="s">
        <v>14</v>
      </c>
      <c r="G456">
        <v>40.26</v>
      </c>
      <c r="H456" t="s">
        <v>15</v>
      </c>
      <c r="I456" t="s">
        <v>22</v>
      </c>
      <c r="J456" t="s">
        <v>82</v>
      </c>
    </row>
    <row r="457" spans="1:10" x14ac:dyDescent="0.35">
      <c r="A457" t="s">
        <v>626</v>
      </c>
      <c r="B457" s="1">
        <v>45742</v>
      </c>
      <c r="C457" t="s">
        <v>111</v>
      </c>
      <c r="D457" t="s">
        <v>12</v>
      </c>
      <c r="E457" t="s">
        <v>26</v>
      </c>
      <c r="F457" t="s">
        <v>14</v>
      </c>
      <c r="G457">
        <v>89.81</v>
      </c>
      <c r="H457" t="s">
        <v>21</v>
      </c>
      <c r="I457" t="s">
        <v>47</v>
      </c>
      <c r="J457" t="s">
        <v>23</v>
      </c>
    </row>
    <row r="458" spans="1:10" x14ac:dyDescent="0.35">
      <c r="A458" t="s">
        <v>627</v>
      </c>
      <c r="B458" s="1">
        <v>45742</v>
      </c>
      <c r="C458" t="s">
        <v>76</v>
      </c>
      <c r="D458" t="s">
        <v>12</v>
      </c>
      <c r="E458" t="s">
        <v>13</v>
      </c>
      <c r="F458" t="s">
        <v>14</v>
      </c>
      <c r="G458">
        <v>92.2</v>
      </c>
      <c r="H458" t="s">
        <v>15</v>
      </c>
      <c r="I458" t="s">
        <v>84</v>
      </c>
      <c r="J458" t="s">
        <v>77</v>
      </c>
    </row>
    <row r="459" spans="1:10" x14ac:dyDescent="0.35">
      <c r="A459" t="s">
        <v>628</v>
      </c>
      <c r="B459" s="1">
        <v>45742</v>
      </c>
      <c r="C459" t="s">
        <v>580</v>
      </c>
      <c r="D459" t="s">
        <v>80</v>
      </c>
      <c r="E459" t="s">
        <v>81</v>
      </c>
      <c r="F459" t="s">
        <v>14</v>
      </c>
      <c r="G459">
        <v>56.41</v>
      </c>
      <c r="H459" t="s">
        <v>98</v>
      </c>
      <c r="I459" t="s">
        <v>22</v>
      </c>
      <c r="J459" t="s">
        <v>118</v>
      </c>
    </row>
    <row r="460" spans="1:10" x14ac:dyDescent="0.35">
      <c r="A460" t="s">
        <v>629</v>
      </c>
      <c r="B460" s="1">
        <v>45743</v>
      </c>
      <c r="C460" t="s">
        <v>177</v>
      </c>
      <c r="D460" t="s">
        <v>54</v>
      </c>
      <c r="E460" t="s">
        <v>74</v>
      </c>
      <c r="F460" t="s">
        <v>54</v>
      </c>
      <c r="G460">
        <v>2192.88</v>
      </c>
      <c r="H460" t="s">
        <v>21</v>
      </c>
      <c r="I460" t="s">
        <v>22</v>
      </c>
      <c r="J460" t="s">
        <v>56</v>
      </c>
    </row>
    <row r="461" spans="1:10" x14ac:dyDescent="0.35">
      <c r="A461" t="s">
        <v>630</v>
      </c>
      <c r="B461" s="1">
        <v>45743</v>
      </c>
      <c r="C461" t="s">
        <v>121</v>
      </c>
      <c r="D461" t="s">
        <v>34</v>
      </c>
      <c r="E461" t="s">
        <v>122</v>
      </c>
      <c r="F461" t="s">
        <v>14</v>
      </c>
      <c r="G461">
        <v>116.04</v>
      </c>
      <c r="H461" t="s">
        <v>21</v>
      </c>
      <c r="I461" t="s">
        <v>22</v>
      </c>
      <c r="J461" t="s">
        <v>123</v>
      </c>
    </row>
    <row r="462" spans="1:10" x14ac:dyDescent="0.35">
      <c r="A462" t="s">
        <v>631</v>
      </c>
      <c r="B462" s="1">
        <v>45743</v>
      </c>
      <c r="C462" t="s">
        <v>138</v>
      </c>
      <c r="D462" t="s">
        <v>12</v>
      </c>
      <c r="E462" t="s">
        <v>26</v>
      </c>
      <c r="F462" t="s">
        <v>14</v>
      </c>
      <c r="G462">
        <v>12.77</v>
      </c>
      <c r="H462" t="s">
        <v>21</v>
      </c>
      <c r="I462" t="s">
        <v>22</v>
      </c>
      <c r="J462" t="s">
        <v>77</v>
      </c>
    </row>
    <row r="463" spans="1:10" x14ac:dyDescent="0.35">
      <c r="A463" t="s">
        <v>632</v>
      </c>
      <c r="B463" s="1">
        <v>45743</v>
      </c>
      <c r="C463" t="s">
        <v>143</v>
      </c>
      <c r="D463" t="s">
        <v>54</v>
      </c>
      <c r="E463" t="s">
        <v>55</v>
      </c>
      <c r="F463" t="s">
        <v>54</v>
      </c>
      <c r="G463">
        <v>621.12</v>
      </c>
      <c r="H463" t="s">
        <v>21</v>
      </c>
      <c r="I463" t="s">
        <v>22</v>
      </c>
      <c r="J463" t="s">
        <v>89</v>
      </c>
    </row>
    <row r="464" spans="1:10" x14ac:dyDescent="0.35">
      <c r="A464" t="s">
        <v>633</v>
      </c>
      <c r="B464" s="1">
        <v>45743</v>
      </c>
      <c r="C464" t="s">
        <v>138</v>
      </c>
      <c r="D464" t="s">
        <v>12</v>
      </c>
      <c r="E464" t="s">
        <v>26</v>
      </c>
      <c r="F464" t="s">
        <v>14</v>
      </c>
      <c r="G464">
        <v>14.69</v>
      </c>
      <c r="H464" t="s">
        <v>21</v>
      </c>
      <c r="I464" t="s">
        <v>84</v>
      </c>
      <c r="J464" t="s">
        <v>77</v>
      </c>
    </row>
    <row r="465" spans="1:10" x14ac:dyDescent="0.35">
      <c r="A465" t="s">
        <v>634</v>
      </c>
      <c r="B465" s="1">
        <v>45743</v>
      </c>
      <c r="C465" t="s">
        <v>88</v>
      </c>
      <c r="D465" t="s">
        <v>54</v>
      </c>
      <c r="E465" t="s">
        <v>74</v>
      </c>
      <c r="F465" t="s">
        <v>54</v>
      </c>
      <c r="G465">
        <v>2523.0300000000002</v>
      </c>
      <c r="H465" t="s">
        <v>15</v>
      </c>
      <c r="I465" t="s">
        <v>16</v>
      </c>
      <c r="J465" t="s">
        <v>89</v>
      </c>
    </row>
    <row r="466" spans="1:10" x14ac:dyDescent="0.35">
      <c r="A466" t="s">
        <v>635</v>
      </c>
      <c r="B466" s="1">
        <v>45744</v>
      </c>
      <c r="C466" t="s">
        <v>376</v>
      </c>
      <c r="D466" t="s">
        <v>80</v>
      </c>
      <c r="E466" t="s">
        <v>117</v>
      </c>
      <c r="F466" t="s">
        <v>14</v>
      </c>
      <c r="G466">
        <v>180.33</v>
      </c>
      <c r="H466" t="s">
        <v>15</v>
      </c>
      <c r="I466" t="s">
        <v>22</v>
      </c>
      <c r="J466" t="s">
        <v>82</v>
      </c>
    </row>
    <row r="467" spans="1:10" x14ac:dyDescent="0.35">
      <c r="A467" t="s">
        <v>636</v>
      </c>
      <c r="B467" s="1">
        <v>45744</v>
      </c>
      <c r="C467" t="s">
        <v>269</v>
      </c>
      <c r="D467" t="s">
        <v>34</v>
      </c>
      <c r="E467" t="s">
        <v>35</v>
      </c>
      <c r="F467" t="s">
        <v>14</v>
      </c>
      <c r="G467">
        <v>175.31</v>
      </c>
      <c r="H467" t="s">
        <v>15</v>
      </c>
      <c r="I467" t="s">
        <v>47</v>
      </c>
      <c r="J467" t="s">
        <v>123</v>
      </c>
    </row>
    <row r="468" spans="1:10" x14ac:dyDescent="0.35">
      <c r="A468" t="s">
        <v>637</v>
      </c>
      <c r="B468" s="1">
        <v>45744</v>
      </c>
      <c r="C468" t="s">
        <v>251</v>
      </c>
      <c r="D468" t="s">
        <v>29</v>
      </c>
      <c r="E468" t="s">
        <v>151</v>
      </c>
      <c r="F468" t="s">
        <v>14</v>
      </c>
      <c r="G468">
        <v>39.5</v>
      </c>
      <c r="H468" t="s">
        <v>21</v>
      </c>
      <c r="I468" t="s">
        <v>22</v>
      </c>
      <c r="J468" t="s">
        <v>31</v>
      </c>
    </row>
    <row r="469" spans="1:10" x14ac:dyDescent="0.35">
      <c r="A469" t="s">
        <v>638</v>
      </c>
      <c r="B469" s="1">
        <v>45744</v>
      </c>
      <c r="C469" t="s">
        <v>217</v>
      </c>
      <c r="D469" t="s">
        <v>80</v>
      </c>
      <c r="E469" t="s">
        <v>81</v>
      </c>
      <c r="F469" t="s">
        <v>14</v>
      </c>
      <c r="G469">
        <v>41.45</v>
      </c>
      <c r="H469" t="s">
        <v>15</v>
      </c>
      <c r="I469" t="s">
        <v>22</v>
      </c>
      <c r="J469" t="s">
        <v>180</v>
      </c>
    </row>
    <row r="470" spans="1:10" x14ac:dyDescent="0.35">
      <c r="A470" t="s">
        <v>639</v>
      </c>
      <c r="B470" s="1">
        <v>45744</v>
      </c>
      <c r="C470" t="s">
        <v>63</v>
      </c>
      <c r="D470" t="s">
        <v>54</v>
      </c>
      <c r="E470" t="s">
        <v>64</v>
      </c>
      <c r="F470" t="s">
        <v>54</v>
      </c>
      <c r="G470">
        <v>398.71</v>
      </c>
      <c r="H470" t="s">
        <v>15</v>
      </c>
      <c r="I470" t="s">
        <v>22</v>
      </c>
      <c r="J470" t="s">
        <v>65</v>
      </c>
    </row>
    <row r="471" spans="1:10" x14ac:dyDescent="0.35">
      <c r="A471" t="s">
        <v>640</v>
      </c>
      <c r="B471" s="1">
        <v>45745</v>
      </c>
      <c r="C471" t="s">
        <v>73</v>
      </c>
      <c r="D471" t="s">
        <v>54</v>
      </c>
      <c r="E471" t="s">
        <v>74</v>
      </c>
      <c r="F471" t="s">
        <v>54</v>
      </c>
      <c r="G471">
        <v>2745.3</v>
      </c>
      <c r="H471" t="s">
        <v>21</v>
      </c>
      <c r="I471" t="s">
        <v>36</v>
      </c>
      <c r="J471" t="s">
        <v>65</v>
      </c>
    </row>
    <row r="472" spans="1:10" x14ac:dyDescent="0.35">
      <c r="A472" t="s">
        <v>641</v>
      </c>
      <c r="B472" s="1">
        <v>45745</v>
      </c>
      <c r="C472" t="s">
        <v>150</v>
      </c>
      <c r="D472" t="s">
        <v>29</v>
      </c>
      <c r="E472" t="s">
        <v>30</v>
      </c>
      <c r="F472" t="s">
        <v>14</v>
      </c>
      <c r="G472">
        <v>59.39</v>
      </c>
      <c r="H472" t="s">
        <v>15</v>
      </c>
      <c r="I472" t="s">
        <v>22</v>
      </c>
      <c r="J472" t="s">
        <v>151</v>
      </c>
    </row>
    <row r="473" spans="1:10" x14ac:dyDescent="0.35">
      <c r="A473" t="s">
        <v>642</v>
      </c>
      <c r="B473" s="1">
        <v>45745</v>
      </c>
      <c r="C473" t="s">
        <v>111</v>
      </c>
      <c r="D473" t="s">
        <v>12</v>
      </c>
      <c r="E473" t="s">
        <v>26</v>
      </c>
      <c r="F473" t="s">
        <v>14</v>
      </c>
      <c r="G473">
        <v>125.58</v>
      </c>
      <c r="H473" t="s">
        <v>15</v>
      </c>
      <c r="I473" t="s">
        <v>16</v>
      </c>
      <c r="J473" t="s">
        <v>23</v>
      </c>
    </row>
    <row r="474" spans="1:10" x14ac:dyDescent="0.35">
      <c r="A474" t="s">
        <v>643</v>
      </c>
      <c r="B474" s="1">
        <v>45745</v>
      </c>
      <c r="C474" t="s">
        <v>220</v>
      </c>
      <c r="D474" t="s">
        <v>59</v>
      </c>
      <c r="E474" t="s">
        <v>199</v>
      </c>
      <c r="F474" t="s">
        <v>14</v>
      </c>
      <c r="G474">
        <v>317.12</v>
      </c>
      <c r="H474" t="s">
        <v>21</v>
      </c>
      <c r="I474" t="s">
        <v>16</v>
      </c>
      <c r="J474" t="s">
        <v>211</v>
      </c>
    </row>
    <row r="475" spans="1:10" x14ac:dyDescent="0.35">
      <c r="A475" t="s">
        <v>644</v>
      </c>
      <c r="B475" s="1">
        <v>45745</v>
      </c>
      <c r="C475" t="s">
        <v>350</v>
      </c>
      <c r="D475" t="s">
        <v>29</v>
      </c>
      <c r="E475" t="s">
        <v>151</v>
      </c>
      <c r="F475" t="s">
        <v>14</v>
      </c>
      <c r="G475">
        <v>23.47</v>
      </c>
      <c r="H475" t="s">
        <v>15</v>
      </c>
      <c r="I475" t="s">
        <v>22</v>
      </c>
      <c r="J475" t="s">
        <v>158</v>
      </c>
    </row>
    <row r="476" spans="1:10" x14ac:dyDescent="0.35">
      <c r="A476" t="s">
        <v>645</v>
      </c>
      <c r="B476" s="1">
        <v>45745</v>
      </c>
      <c r="C476" t="s">
        <v>464</v>
      </c>
      <c r="D476" t="s">
        <v>34</v>
      </c>
      <c r="E476" t="s">
        <v>122</v>
      </c>
      <c r="F476" t="s">
        <v>14</v>
      </c>
      <c r="G476">
        <v>75.2</v>
      </c>
      <c r="H476" t="s">
        <v>98</v>
      </c>
      <c r="I476" t="s">
        <v>36</v>
      </c>
      <c r="J476" t="s">
        <v>239</v>
      </c>
    </row>
    <row r="477" spans="1:10" x14ac:dyDescent="0.35">
      <c r="A477" t="s">
        <v>646</v>
      </c>
      <c r="B477" s="1">
        <v>45745</v>
      </c>
      <c r="C477" t="s">
        <v>376</v>
      </c>
      <c r="D477" t="s">
        <v>80</v>
      </c>
      <c r="E477" t="s">
        <v>117</v>
      </c>
      <c r="F477" t="s">
        <v>14</v>
      </c>
      <c r="G477">
        <v>222.01</v>
      </c>
      <c r="H477" t="s">
        <v>15</v>
      </c>
      <c r="I477" t="s">
        <v>47</v>
      </c>
      <c r="J477" t="s">
        <v>82</v>
      </c>
    </row>
    <row r="478" spans="1:10" x14ac:dyDescent="0.35">
      <c r="A478" t="s">
        <v>647</v>
      </c>
      <c r="B478" s="1">
        <v>45745</v>
      </c>
      <c r="C478" t="s">
        <v>243</v>
      </c>
      <c r="D478" t="s">
        <v>101</v>
      </c>
      <c r="E478" t="s">
        <v>244</v>
      </c>
      <c r="F478" t="s">
        <v>14</v>
      </c>
      <c r="G478">
        <v>39.380000000000003</v>
      </c>
      <c r="H478" t="s">
        <v>21</v>
      </c>
      <c r="I478" t="s">
        <v>36</v>
      </c>
      <c r="J478" t="s">
        <v>102</v>
      </c>
    </row>
    <row r="479" spans="1:10" x14ac:dyDescent="0.35">
      <c r="A479" t="s">
        <v>648</v>
      </c>
      <c r="B479" s="1">
        <v>45746</v>
      </c>
      <c r="C479" t="s">
        <v>350</v>
      </c>
      <c r="D479" t="s">
        <v>29</v>
      </c>
      <c r="E479" t="s">
        <v>151</v>
      </c>
      <c r="F479" t="s">
        <v>14</v>
      </c>
      <c r="G479">
        <v>48.04</v>
      </c>
      <c r="H479" t="s">
        <v>98</v>
      </c>
      <c r="I479" t="s">
        <v>16</v>
      </c>
      <c r="J479" t="s">
        <v>158</v>
      </c>
    </row>
    <row r="480" spans="1:10" x14ac:dyDescent="0.35">
      <c r="A480" t="s">
        <v>649</v>
      </c>
      <c r="B480" s="1">
        <v>45746</v>
      </c>
      <c r="C480" t="s">
        <v>100</v>
      </c>
      <c r="D480" t="s">
        <v>101</v>
      </c>
      <c r="E480" t="s">
        <v>102</v>
      </c>
      <c r="F480" t="s">
        <v>14</v>
      </c>
      <c r="G480">
        <v>43.51</v>
      </c>
      <c r="H480" t="s">
        <v>21</v>
      </c>
      <c r="I480" t="s">
        <v>47</v>
      </c>
      <c r="J480" t="s">
        <v>103</v>
      </c>
    </row>
    <row r="481" spans="1:10" x14ac:dyDescent="0.35">
      <c r="A481" t="s">
        <v>650</v>
      </c>
      <c r="B481" s="1">
        <v>45746</v>
      </c>
      <c r="C481" t="s">
        <v>63</v>
      </c>
      <c r="D481" t="s">
        <v>54</v>
      </c>
      <c r="E481" t="s">
        <v>64</v>
      </c>
      <c r="F481" t="s">
        <v>54</v>
      </c>
      <c r="G481">
        <v>342.97</v>
      </c>
      <c r="H481" t="s">
        <v>15</v>
      </c>
      <c r="I481" t="s">
        <v>84</v>
      </c>
      <c r="J481" t="s">
        <v>65</v>
      </c>
    </row>
    <row r="482" spans="1:10" x14ac:dyDescent="0.35">
      <c r="A482" t="s">
        <v>651</v>
      </c>
      <c r="B482" s="1">
        <v>45746</v>
      </c>
      <c r="C482" t="s">
        <v>198</v>
      </c>
      <c r="D482" t="s">
        <v>59</v>
      </c>
      <c r="E482" t="s">
        <v>199</v>
      </c>
      <c r="F482" t="s">
        <v>14</v>
      </c>
      <c r="G482">
        <v>180.41</v>
      </c>
      <c r="H482" t="s">
        <v>21</v>
      </c>
      <c r="I482" t="s">
        <v>22</v>
      </c>
      <c r="J482" t="s">
        <v>61</v>
      </c>
    </row>
    <row r="483" spans="1:10" x14ac:dyDescent="0.35">
      <c r="A483" t="s">
        <v>652</v>
      </c>
      <c r="B483" s="1">
        <v>45746</v>
      </c>
      <c r="C483" t="s">
        <v>194</v>
      </c>
      <c r="D483" t="s">
        <v>101</v>
      </c>
      <c r="E483" t="s">
        <v>136</v>
      </c>
      <c r="F483" t="s">
        <v>14</v>
      </c>
      <c r="G483">
        <v>101.45</v>
      </c>
      <c r="H483" t="s">
        <v>15</v>
      </c>
      <c r="I483" t="s">
        <v>22</v>
      </c>
      <c r="J483" t="s">
        <v>103</v>
      </c>
    </row>
    <row r="484" spans="1:10" x14ac:dyDescent="0.35">
      <c r="A484" t="s">
        <v>653</v>
      </c>
      <c r="B484" s="1">
        <v>45746</v>
      </c>
      <c r="C484" t="s">
        <v>177</v>
      </c>
      <c r="D484" t="s">
        <v>54</v>
      </c>
      <c r="E484" t="s">
        <v>74</v>
      </c>
      <c r="F484" t="s">
        <v>54</v>
      </c>
      <c r="G484">
        <v>2466.85</v>
      </c>
      <c r="H484" t="s">
        <v>15</v>
      </c>
      <c r="I484" t="s">
        <v>36</v>
      </c>
      <c r="J484" t="s">
        <v>56</v>
      </c>
    </row>
    <row r="485" spans="1:10" x14ac:dyDescent="0.35">
      <c r="A485" t="s">
        <v>654</v>
      </c>
      <c r="B485" s="1">
        <v>45746</v>
      </c>
      <c r="C485" t="s">
        <v>308</v>
      </c>
      <c r="D485" t="s">
        <v>54</v>
      </c>
      <c r="E485" t="s">
        <v>64</v>
      </c>
      <c r="F485" t="s">
        <v>54</v>
      </c>
      <c r="G485">
        <v>333.23</v>
      </c>
      <c r="H485" t="s">
        <v>15</v>
      </c>
      <c r="I485" t="s">
        <v>22</v>
      </c>
      <c r="J485" t="s">
        <v>89</v>
      </c>
    </row>
    <row r="486" spans="1:10" x14ac:dyDescent="0.35">
      <c r="A486" t="s">
        <v>655</v>
      </c>
      <c r="B486" s="1">
        <v>45746</v>
      </c>
      <c r="C486" t="s">
        <v>177</v>
      </c>
      <c r="D486" t="s">
        <v>54</v>
      </c>
      <c r="E486" t="s">
        <v>74</v>
      </c>
      <c r="F486" t="s">
        <v>54</v>
      </c>
      <c r="G486">
        <v>2253.17</v>
      </c>
      <c r="H486" t="s">
        <v>15</v>
      </c>
      <c r="I486" t="s">
        <v>36</v>
      </c>
      <c r="J486" t="s">
        <v>56</v>
      </c>
    </row>
    <row r="487" spans="1:10" x14ac:dyDescent="0.35">
      <c r="A487" t="s">
        <v>656</v>
      </c>
      <c r="B487" s="1">
        <v>45746</v>
      </c>
      <c r="C487" t="s">
        <v>113</v>
      </c>
      <c r="D487" t="s">
        <v>34</v>
      </c>
      <c r="E487" t="s">
        <v>40</v>
      </c>
      <c r="F487" t="s">
        <v>14</v>
      </c>
      <c r="G487">
        <v>203.75</v>
      </c>
      <c r="H487" t="s">
        <v>15</v>
      </c>
      <c r="I487" t="s">
        <v>22</v>
      </c>
      <c r="J487" t="s">
        <v>37</v>
      </c>
    </row>
    <row r="488" spans="1:10" x14ac:dyDescent="0.35">
      <c r="A488" t="s">
        <v>657</v>
      </c>
      <c r="B488" s="1">
        <v>45746</v>
      </c>
      <c r="C488" t="s">
        <v>153</v>
      </c>
      <c r="D488" t="s">
        <v>34</v>
      </c>
      <c r="E488" t="s">
        <v>122</v>
      </c>
      <c r="F488" t="s">
        <v>14</v>
      </c>
      <c r="G488">
        <v>158.34</v>
      </c>
      <c r="H488" t="s">
        <v>98</v>
      </c>
      <c r="I488" t="s">
        <v>22</v>
      </c>
      <c r="J488" t="s">
        <v>41</v>
      </c>
    </row>
    <row r="489" spans="1:10" x14ac:dyDescent="0.35">
      <c r="A489" t="s">
        <v>658</v>
      </c>
      <c r="B489" s="1">
        <v>45747</v>
      </c>
      <c r="C489" t="s">
        <v>259</v>
      </c>
      <c r="D489" t="s">
        <v>59</v>
      </c>
      <c r="E489" t="s">
        <v>199</v>
      </c>
      <c r="F489" t="s">
        <v>14</v>
      </c>
      <c r="G489">
        <v>197.71</v>
      </c>
      <c r="H489" t="s">
        <v>15</v>
      </c>
      <c r="I489" t="s">
        <v>22</v>
      </c>
      <c r="J489" t="s">
        <v>170</v>
      </c>
    </row>
    <row r="490" spans="1:10" x14ac:dyDescent="0.35">
      <c r="A490" t="s">
        <v>659</v>
      </c>
      <c r="B490" s="1">
        <v>45747</v>
      </c>
      <c r="C490" t="s">
        <v>229</v>
      </c>
      <c r="D490" t="s">
        <v>54</v>
      </c>
      <c r="E490" t="s">
        <v>64</v>
      </c>
      <c r="F490" t="s">
        <v>54</v>
      </c>
      <c r="G490">
        <v>329.09</v>
      </c>
      <c r="H490" t="s">
        <v>15</v>
      </c>
      <c r="I490" t="s">
        <v>36</v>
      </c>
      <c r="J490" t="s">
        <v>56</v>
      </c>
    </row>
    <row r="491" spans="1:10" x14ac:dyDescent="0.35">
      <c r="A491" t="s">
        <v>660</v>
      </c>
      <c r="B491" s="1">
        <v>45747</v>
      </c>
      <c r="C491" t="s">
        <v>272</v>
      </c>
      <c r="D491" t="s">
        <v>54</v>
      </c>
      <c r="E491" t="s">
        <v>55</v>
      </c>
      <c r="F491" t="s">
        <v>54</v>
      </c>
      <c r="G491">
        <v>746.83</v>
      </c>
      <c r="H491" t="s">
        <v>15</v>
      </c>
      <c r="I491" t="s">
        <v>36</v>
      </c>
      <c r="J491" t="s">
        <v>65</v>
      </c>
    </row>
    <row r="492" spans="1:10" x14ac:dyDescent="0.35">
      <c r="A492" t="s">
        <v>661</v>
      </c>
      <c r="B492" s="1">
        <v>45747</v>
      </c>
      <c r="C492" t="s">
        <v>324</v>
      </c>
      <c r="D492" t="s">
        <v>80</v>
      </c>
      <c r="E492" t="s">
        <v>92</v>
      </c>
      <c r="F492" t="s">
        <v>14</v>
      </c>
      <c r="G492">
        <v>57.63</v>
      </c>
      <c r="H492" t="s">
        <v>15</v>
      </c>
      <c r="I492" t="s">
        <v>84</v>
      </c>
      <c r="J492" t="s">
        <v>161</v>
      </c>
    </row>
    <row r="493" spans="1:10" x14ac:dyDescent="0.35">
      <c r="A493" t="s">
        <v>662</v>
      </c>
      <c r="B493" s="1">
        <v>45748</v>
      </c>
      <c r="C493" t="s">
        <v>445</v>
      </c>
      <c r="D493" t="s">
        <v>101</v>
      </c>
      <c r="E493" t="s">
        <v>244</v>
      </c>
      <c r="F493" t="s">
        <v>14</v>
      </c>
      <c r="G493">
        <v>32.54</v>
      </c>
      <c r="H493" t="s">
        <v>15</v>
      </c>
      <c r="I493" t="s">
        <v>36</v>
      </c>
      <c r="J493" t="s">
        <v>103</v>
      </c>
    </row>
    <row r="494" spans="1:10" x14ac:dyDescent="0.35">
      <c r="A494" t="s">
        <v>663</v>
      </c>
      <c r="B494" s="1">
        <v>45748</v>
      </c>
      <c r="C494" t="s">
        <v>63</v>
      </c>
      <c r="D494" t="s">
        <v>54</v>
      </c>
      <c r="E494" t="s">
        <v>64</v>
      </c>
      <c r="F494" t="s">
        <v>54</v>
      </c>
      <c r="G494">
        <v>329.47</v>
      </c>
      <c r="H494" t="s">
        <v>15</v>
      </c>
      <c r="I494" t="s">
        <v>22</v>
      </c>
      <c r="J494" t="s">
        <v>65</v>
      </c>
    </row>
    <row r="495" spans="1:10" x14ac:dyDescent="0.35">
      <c r="A495" t="s">
        <v>664</v>
      </c>
      <c r="B495" s="1">
        <v>45748</v>
      </c>
      <c r="C495" t="s">
        <v>259</v>
      </c>
      <c r="D495" t="s">
        <v>59</v>
      </c>
      <c r="E495" t="s">
        <v>199</v>
      </c>
      <c r="F495" t="s">
        <v>14</v>
      </c>
      <c r="G495">
        <v>339.91</v>
      </c>
      <c r="H495" t="s">
        <v>21</v>
      </c>
      <c r="I495" t="s">
        <v>36</v>
      </c>
      <c r="J495" t="s">
        <v>170</v>
      </c>
    </row>
    <row r="496" spans="1:10" x14ac:dyDescent="0.35">
      <c r="A496" t="s">
        <v>665</v>
      </c>
      <c r="B496" s="1">
        <v>45748</v>
      </c>
      <c r="C496" t="s">
        <v>88</v>
      </c>
      <c r="D496" t="s">
        <v>54</v>
      </c>
      <c r="E496" t="s">
        <v>74</v>
      </c>
      <c r="F496" t="s">
        <v>54</v>
      </c>
      <c r="G496">
        <v>2434.41</v>
      </c>
      <c r="H496" t="s">
        <v>21</v>
      </c>
      <c r="I496" t="s">
        <v>22</v>
      </c>
      <c r="J496" t="s">
        <v>89</v>
      </c>
    </row>
    <row r="497" spans="1:10" x14ac:dyDescent="0.35">
      <c r="A497" t="s">
        <v>666</v>
      </c>
      <c r="B497" s="1">
        <v>45749</v>
      </c>
      <c r="C497" t="s">
        <v>267</v>
      </c>
      <c r="D497" t="s">
        <v>29</v>
      </c>
      <c r="E497" t="s">
        <v>30</v>
      </c>
      <c r="F497" t="s">
        <v>14</v>
      </c>
      <c r="G497">
        <v>23.73</v>
      </c>
      <c r="H497" t="s">
        <v>15</v>
      </c>
      <c r="I497" t="s">
        <v>22</v>
      </c>
      <c r="J497" t="s">
        <v>96</v>
      </c>
    </row>
    <row r="498" spans="1:10" x14ac:dyDescent="0.35">
      <c r="A498" t="s">
        <v>667</v>
      </c>
      <c r="B498" s="1">
        <v>45749</v>
      </c>
      <c r="C498" t="s">
        <v>272</v>
      </c>
      <c r="D498" t="s">
        <v>54</v>
      </c>
      <c r="E498" t="s">
        <v>55</v>
      </c>
      <c r="F498" t="s">
        <v>54</v>
      </c>
      <c r="G498">
        <v>717.33</v>
      </c>
      <c r="H498" t="s">
        <v>15</v>
      </c>
      <c r="I498" t="s">
        <v>47</v>
      </c>
      <c r="J498" t="s">
        <v>65</v>
      </c>
    </row>
    <row r="499" spans="1:10" x14ac:dyDescent="0.35">
      <c r="A499" t="s">
        <v>668</v>
      </c>
      <c r="B499" s="1">
        <v>45749</v>
      </c>
      <c r="C499" t="s">
        <v>308</v>
      </c>
      <c r="D499" t="s">
        <v>54</v>
      </c>
      <c r="E499" t="s">
        <v>64</v>
      </c>
      <c r="F499" t="s">
        <v>54</v>
      </c>
      <c r="G499">
        <v>326.83999999999997</v>
      </c>
      <c r="H499" t="s">
        <v>15</v>
      </c>
      <c r="I499" t="s">
        <v>22</v>
      </c>
      <c r="J499" t="s">
        <v>89</v>
      </c>
    </row>
    <row r="500" spans="1:10" x14ac:dyDescent="0.35">
      <c r="A500" t="s">
        <v>669</v>
      </c>
      <c r="B500" s="1">
        <v>45750</v>
      </c>
      <c r="C500" t="s">
        <v>130</v>
      </c>
      <c r="D500" t="s">
        <v>12</v>
      </c>
      <c r="E500" t="s">
        <v>26</v>
      </c>
      <c r="F500" t="s">
        <v>14</v>
      </c>
      <c r="G500">
        <v>34.03</v>
      </c>
      <c r="H500" t="s">
        <v>15</v>
      </c>
      <c r="I500" t="s">
        <v>22</v>
      </c>
      <c r="J500" t="s">
        <v>48</v>
      </c>
    </row>
    <row r="501" spans="1:10" x14ac:dyDescent="0.35">
      <c r="A501" t="s">
        <v>670</v>
      </c>
      <c r="B501" s="1">
        <v>45750</v>
      </c>
      <c r="C501" t="s">
        <v>298</v>
      </c>
      <c r="D501" t="s">
        <v>59</v>
      </c>
      <c r="E501" t="s">
        <v>185</v>
      </c>
      <c r="F501" t="s">
        <v>14</v>
      </c>
      <c r="G501">
        <v>251.14</v>
      </c>
      <c r="H501" t="s">
        <v>21</v>
      </c>
      <c r="I501" t="s">
        <v>36</v>
      </c>
      <c r="J501" t="s">
        <v>170</v>
      </c>
    </row>
    <row r="502" spans="1:10" x14ac:dyDescent="0.35">
      <c r="A502" t="s">
        <v>671</v>
      </c>
      <c r="B502" s="1">
        <v>45750</v>
      </c>
      <c r="C502" t="s">
        <v>248</v>
      </c>
      <c r="D502" t="s">
        <v>80</v>
      </c>
      <c r="E502" t="s">
        <v>81</v>
      </c>
      <c r="F502" t="s">
        <v>14</v>
      </c>
      <c r="G502">
        <v>18.100000000000001</v>
      </c>
      <c r="H502" t="s">
        <v>15</v>
      </c>
      <c r="I502" t="s">
        <v>22</v>
      </c>
      <c r="J502" t="s">
        <v>161</v>
      </c>
    </row>
    <row r="503" spans="1:10" x14ac:dyDescent="0.35">
      <c r="A503" t="s">
        <v>672</v>
      </c>
      <c r="B503" s="1">
        <v>45751</v>
      </c>
      <c r="C503" t="s">
        <v>76</v>
      </c>
      <c r="D503" t="s">
        <v>12</v>
      </c>
      <c r="E503" t="s">
        <v>13</v>
      </c>
      <c r="F503" t="s">
        <v>14</v>
      </c>
      <c r="G503">
        <v>20.52</v>
      </c>
      <c r="H503" t="s">
        <v>21</v>
      </c>
      <c r="I503" t="s">
        <v>36</v>
      </c>
      <c r="J503" t="s">
        <v>77</v>
      </c>
    </row>
    <row r="504" spans="1:10" x14ac:dyDescent="0.35">
      <c r="A504" t="s">
        <v>673</v>
      </c>
      <c r="B504" s="1">
        <v>45752</v>
      </c>
      <c r="C504" t="s">
        <v>229</v>
      </c>
      <c r="D504" t="s">
        <v>54</v>
      </c>
      <c r="E504" t="s">
        <v>64</v>
      </c>
      <c r="F504" t="s">
        <v>54</v>
      </c>
      <c r="G504">
        <v>332.87</v>
      </c>
      <c r="H504" t="s">
        <v>98</v>
      </c>
      <c r="I504" t="s">
        <v>22</v>
      </c>
      <c r="J504" t="s">
        <v>56</v>
      </c>
    </row>
    <row r="505" spans="1:10" x14ac:dyDescent="0.35">
      <c r="A505" t="s">
        <v>674</v>
      </c>
      <c r="B505" s="1">
        <v>45752</v>
      </c>
      <c r="C505" t="s">
        <v>155</v>
      </c>
      <c r="D505" t="s">
        <v>12</v>
      </c>
      <c r="E505" t="s">
        <v>51</v>
      </c>
      <c r="F505" t="s">
        <v>14</v>
      </c>
      <c r="G505">
        <v>44.42</v>
      </c>
      <c r="H505" t="s">
        <v>98</v>
      </c>
      <c r="I505" t="s">
        <v>16</v>
      </c>
      <c r="J505" t="s">
        <v>48</v>
      </c>
    </row>
    <row r="506" spans="1:10" x14ac:dyDescent="0.35">
      <c r="A506" t="s">
        <v>675</v>
      </c>
      <c r="B506" s="1">
        <v>45753</v>
      </c>
      <c r="C506" t="s">
        <v>113</v>
      </c>
      <c r="D506" t="s">
        <v>34</v>
      </c>
      <c r="E506" t="s">
        <v>40</v>
      </c>
      <c r="F506" t="s">
        <v>14</v>
      </c>
      <c r="G506">
        <v>47.75</v>
      </c>
      <c r="H506" t="s">
        <v>15</v>
      </c>
      <c r="I506" t="s">
        <v>16</v>
      </c>
      <c r="J506" t="s">
        <v>37</v>
      </c>
    </row>
    <row r="507" spans="1:10" x14ac:dyDescent="0.35">
      <c r="A507" t="s">
        <v>676</v>
      </c>
      <c r="B507" s="1">
        <v>45753</v>
      </c>
      <c r="C507" t="s">
        <v>308</v>
      </c>
      <c r="D507" t="s">
        <v>54</v>
      </c>
      <c r="E507" t="s">
        <v>64</v>
      </c>
      <c r="F507" t="s">
        <v>54</v>
      </c>
      <c r="G507">
        <v>336.36</v>
      </c>
      <c r="H507" t="s">
        <v>15</v>
      </c>
      <c r="I507" t="s">
        <v>22</v>
      </c>
      <c r="J507" t="s">
        <v>89</v>
      </c>
    </row>
    <row r="508" spans="1:10" x14ac:dyDescent="0.35">
      <c r="A508" t="s">
        <v>677</v>
      </c>
      <c r="B508" s="1">
        <v>45753</v>
      </c>
      <c r="C508" t="s">
        <v>168</v>
      </c>
      <c r="D508" t="s">
        <v>59</v>
      </c>
      <c r="E508" t="s">
        <v>60</v>
      </c>
      <c r="F508" t="s">
        <v>14</v>
      </c>
      <c r="G508">
        <v>272.29000000000002</v>
      </c>
      <c r="H508" t="s">
        <v>15</v>
      </c>
      <c r="I508" t="s">
        <v>84</v>
      </c>
      <c r="J508" t="s">
        <v>170</v>
      </c>
    </row>
    <row r="509" spans="1:10" x14ac:dyDescent="0.35">
      <c r="A509" t="s">
        <v>678</v>
      </c>
      <c r="B509" s="1">
        <v>45753</v>
      </c>
      <c r="C509" t="s">
        <v>259</v>
      </c>
      <c r="D509" t="s">
        <v>59</v>
      </c>
      <c r="E509" t="s">
        <v>199</v>
      </c>
      <c r="F509" t="s">
        <v>14</v>
      </c>
      <c r="G509">
        <v>386.65</v>
      </c>
      <c r="H509" t="s">
        <v>15</v>
      </c>
      <c r="I509" t="s">
        <v>36</v>
      </c>
      <c r="J509" t="s">
        <v>170</v>
      </c>
    </row>
    <row r="510" spans="1:10" x14ac:dyDescent="0.35">
      <c r="A510" t="s">
        <v>679</v>
      </c>
      <c r="B510" s="1">
        <v>45754</v>
      </c>
      <c r="C510" t="s">
        <v>53</v>
      </c>
      <c r="D510" t="s">
        <v>54</v>
      </c>
      <c r="E510" t="s">
        <v>55</v>
      </c>
      <c r="F510" t="s">
        <v>54</v>
      </c>
      <c r="G510">
        <v>787.55</v>
      </c>
      <c r="H510" t="s">
        <v>15</v>
      </c>
      <c r="I510" t="s">
        <v>36</v>
      </c>
      <c r="J510" t="s">
        <v>56</v>
      </c>
    </row>
    <row r="511" spans="1:10" x14ac:dyDescent="0.35">
      <c r="A511" t="s">
        <v>680</v>
      </c>
      <c r="B511" s="1">
        <v>45754</v>
      </c>
      <c r="C511" t="s">
        <v>179</v>
      </c>
      <c r="D511" t="s">
        <v>80</v>
      </c>
      <c r="E511" t="s">
        <v>117</v>
      </c>
      <c r="F511" t="s">
        <v>14</v>
      </c>
      <c r="G511">
        <v>23.75</v>
      </c>
      <c r="H511" t="s">
        <v>98</v>
      </c>
      <c r="I511" t="s">
        <v>16</v>
      </c>
      <c r="J511" t="s">
        <v>180</v>
      </c>
    </row>
    <row r="512" spans="1:10" x14ac:dyDescent="0.35">
      <c r="A512" t="s">
        <v>681</v>
      </c>
      <c r="B512" s="1">
        <v>45754</v>
      </c>
      <c r="C512" t="s">
        <v>281</v>
      </c>
      <c r="D512" t="s">
        <v>34</v>
      </c>
      <c r="E512" t="s">
        <v>40</v>
      </c>
      <c r="F512" t="s">
        <v>14</v>
      </c>
      <c r="G512">
        <v>177.16</v>
      </c>
      <c r="H512" t="s">
        <v>21</v>
      </c>
      <c r="I512" t="s">
        <v>36</v>
      </c>
      <c r="J512" t="s">
        <v>123</v>
      </c>
    </row>
    <row r="513" spans="1:10" x14ac:dyDescent="0.35">
      <c r="A513" t="s">
        <v>682</v>
      </c>
      <c r="B513" s="1">
        <v>45754</v>
      </c>
      <c r="C513" t="s">
        <v>189</v>
      </c>
      <c r="D513" t="s">
        <v>34</v>
      </c>
      <c r="E513" t="s">
        <v>122</v>
      </c>
      <c r="F513" t="s">
        <v>14</v>
      </c>
      <c r="G513">
        <v>207.6</v>
      </c>
      <c r="H513" t="s">
        <v>21</v>
      </c>
      <c r="I513" t="s">
        <v>36</v>
      </c>
      <c r="J513" t="s">
        <v>37</v>
      </c>
    </row>
    <row r="514" spans="1:10" x14ac:dyDescent="0.35">
      <c r="A514" t="s">
        <v>683</v>
      </c>
      <c r="B514" s="1">
        <v>45754</v>
      </c>
      <c r="C514" t="s">
        <v>184</v>
      </c>
      <c r="D514" t="s">
        <v>59</v>
      </c>
      <c r="E514" t="s">
        <v>185</v>
      </c>
      <c r="F514" t="s">
        <v>14</v>
      </c>
      <c r="G514">
        <v>162.85</v>
      </c>
      <c r="H514" t="s">
        <v>15</v>
      </c>
      <c r="I514" t="s">
        <v>36</v>
      </c>
      <c r="J514" t="s">
        <v>61</v>
      </c>
    </row>
    <row r="515" spans="1:10" x14ac:dyDescent="0.35">
      <c r="A515" t="s">
        <v>684</v>
      </c>
      <c r="B515" s="1">
        <v>45754</v>
      </c>
      <c r="C515" t="s">
        <v>198</v>
      </c>
      <c r="D515" t="s">
        <v>59</v>
      </c>
      <c r="E515" t="s">
        <v>199</v>
      </c>
      <c r="F515" t="s">
        <v>14</v>
      </c>
      <c r="G515">
        <v>202.93</v>
      </c>
      <c r="H515" t="s">
        <v>15</v>
      </c>
      <c r="I515" t="s">
        <v>36</v>
      </c>
      <c r="J515" t="s">
        <v>61</v>
      </c>
    </row>
    <row r="516" spans="1:10" x14ac:dyDescent="0.35">
      <c r="A516" t="s">
        <v>685</v>
      </c>
      <c r="B516" s="1">
        <v>45754</v>
      </c>
      <c r="C516" t="s">
        <v>424</v>
      </c>
      <c r="D516" t="s">
        <v>101</v>
      </c>
      <c r="E516" t="s">
        <v>136</v>
      </c>
      <c r="F516" t="s">
        <v>14</v>
      </c>
      <c r="G516">
        <v>92.99</v>
      </c>
      <c r="H516" t="s">
        <v>15</v>
      </c>
      <c r="I516" t="s">
        <v>22</v>
      </c>
      <c r="J516" t="s">
        <v>102</v>
      </c>
    </row>
    <row r="517" spans="1:10" x14ac:dyDescent="0.35">
      <c r="A517" t="s">
        <v>686</v>
      </c>
      <c r="B517" s="1">
        <v>45754</v>
      </c>
      <c r="C517" t="s">
        <v>177</v>
      </c>
      <c r="D517" t="s">
        <v>54</v>
      </c>
      <c r="E517" t="s">
        <v>74</v>
      </c>
      <c r="F517" t="s">
        <v>54</v>
      </c>
      <c r="G517">
        <v>2676.19</v>
      </c>
      <c r="H517" t="s">
        <v>21</v>
      </c>
      <c r="I517" t="s">
        <v>22</v>
      </c>
      <c r="J517" t="s">
        <v>56</v>
      </c>
    </row>
    <row r="518" spans="1:10" x14ac:dyDescent="0.35">
      <c r="A518" t="s">
        <v>687</v>
      </c>
      <c r="B518" s="1">
        <v>45754</v>
      </c>
      <c r="C518" t="s">
        <v>63</v>
      </c>
      <c r="D518" t="s">
        <v>54</v>
      </c>
      <c r="E518" t="s">
        <v>64</v>
      </c>
      <c r="F518" t="s">
        <v>54</v>
      </c>
      <c r="G518">
        <v>359.76</v>
      </c>
      <c r="H518" t="s">
        <v>21</v>
      </c>
      <c r="I518" t="s">
        <v>16</v>
      </c>
      <c r="J518" t="s">
        <v>65</v>
      </c>
    </row>
    <row r="519" spans="1:10" x14ac:dyDescent="0.35">
      <c r="A519" t="s">
        <v>688</v>
      </c>
      <c r="B519" s="1">
        <v>45754</v>
      </c>
      <c r="C519" t="s">
        <v>58</v>
      </c>
      <c r="D519" t="s">
        <v>59</v>
      </c>
      <c r="E519" t="s">
        <v>60</v>
      </c>
      <c r="F519" t="s">
        <v>14</v>
      </c>
      <c r="G519">
        <v>142.30000000000001</v>
      </c>
      <c r="H519" t="s">
        <v>21</v>
      </c>
      <c r="I519" t="s">
        <v>36</v>
      </c>
      <c r="J519" t="s">
        <v>61</v>
      </c>
    </row>
    <row r="520" spans="1:10" x14ac:dyDescent="0.35">
      <c r="A520" t="s">
        <v>689</v>
      </c>
      <c r="B520" s="1">
        <v>45755</v>
      </c>
      <c r="C520" t="s">
        <v>464</v>
      </c>
      <c r="D520" t="s">
        <v>34</v>
      </c>
      <c r="E520" t="s">
        <v>122</v>
      </c>
      <c r="F520" t="s">
        <v>14</v>
      </c>
      <c r="G520">
        <v>136.63999999999999</v>
      </c>
      <c r="H520" t="s">
        <v>98</v>
      </c>
      <c r="I520" t="s">
        <v>22</v>
      </c>
      <c r="J520" t="s">
        <v>239</v>
      </c>
    </row>
    <row r="521" spans="1:10" x14ac:dyDescent="0.35">
      <c r="A521" t="s">
        <v>690</v>
      </c>
      <c r="B521" s="1">
        <v>45755</v>
      </c>
      <c r="C521" t="s">
        <v>46</v>
      </c>
      <c r="D521" t="s">
        <v>12</v>
      </c>
      <c r="E521" t="s">
        <v>13</v>
      </c>
      <c r="F521" t="s">
        <v>14</v>
      </c>
      <c r="G521">
        <v>44.47</v>
      </c>
      <c r="H521" t="s">
        <v>15</v>
      </c>
      <c r="I521" t="s">
        <v>22</v>
      </c>
      <c r="J521" t="s">
        <v>48</v>
      </c>
    </row>
    <row r="522" spans="1:10" x14ac:dyDescent="0.35">
      <c r="A522" t="s">
        <v>691</v>
      </c>
      <c r="B522" s="1">
        <v>45755</v>
      </c>
      <c r="C522" t="s">
        <v>189</v>
      </c>
      <c r="D522" t="s">
        <v>34</v>
      </c>
      <c r="E522" t="s">
        <v>122</v>
      </c>
      <c r="F522" t="s">
        <v>14</v>
      </c>
      <c r="G522">
        <v>182.82</v>
      </c>
      <c r="H522" t="s">
        <v>98</v>
      </c>
      <c r="I522" t="s">
        <v>47</v>
      </c>
      <c r="J522" t="s">
        <v>37</v>
      </c>
    </row>
    <row r="523" spans="1:10" x14ac:dyDescent="0.35">
      <c r="A523" t="s">
        <v>692</v>
      </c>
      <c r="B523" s="1">
        <v>45755</v>
      </c>
      <c r="C523" t="s">
        <v>130</v>
      </c>
      <c r="D523" t="s">
        <v>12</v>
      </c>
      <c r="E523" t="s">
        <v>26</v>
      </c>
      <c r="F523" t="s">
        <v>14</v>
      </c>
      <c r="G523">
        <v>63.61</v>
      </c>
      <c r="H523" t="s">
        <v>21</v>
      </c>
      <c r="I523" t="s">
        <v>16</v>
      </c>
      <c r="J523" t="s">
        <v>693</v>
      </c>
    </row>
    <row r="524" spans="1:10" x14ac:dyDescent="0.35">
      <c r="A524" t="s">
        <v>694</v>
      </c>
      <c r="B524" s="1">
        <v>45755</v>
      </c>
      <c r="C524" t="s">
        <v>179</v>
      </c>
      <c r="D524" t="s">
        <v>80</v>
      </c>
      <c r="E524" t="s">
        <v>117</v>
      </c>
      <c r="F524" t="s">
        <v>14</v>
      </c>
      <c r="G524">
        <v>33.06</v>
      </c>
      <c r="H524" t="s">
        <v>15</v>
      </c>
      <c r="I524" t="s">
        <v>22</v>
      </c>
      <c r="J524" t="s">
        <v>180</v>
      </c>
    </row>
    <row r="525" spans="1:10" x14ac:dyDescent="0.35">
      <c r="A525" t="s">
        <v>695</v>
      </c>
      <c r="B525" s="1">
        <v>45755</v>
      </c>
      <c r="C525" t="s">
        <v>125</v>
      </c>
      <c r="D525" t="s">
        <v>12</v>
      </c>
      <c r="E525" t="s">
        <v>13</v>
      </c>
      <c r="F525" t="s">
        <v>14</v>
      </c>
      <c r="G525">
        <v>42.56</v>
      </c>
      <c r="H525" t="s">
        <v>21</v>
      </c>
      <c r="I525" t="s">
        <v>47</v>
      </c>
      <c r="J525" t="s">
        <v>44</v>
      </c>
    </row>
    <row r="526" spans="1:10" x14ac:dyDescent="0.35">
      <c r="A526" t="s">
        <v>696</v>
      </c>
      <c r="B526" s="1">
        <v>45755</v>
      </c>
      <c r="C526" t="s">
        <v>220</v>
      </c>
      <c r="D526" t="s">
        <v>59</v>
      </c>
      <c r="E526" t="s">
        <v>199</v>
      </c>
      <c r="F526" t="s">
        <v>14</v>
      </c>
      <c r="G526">
        <v>108.67</v>
      </c>
      <c r="H526" t="s">
        <v>15</v>
      </c>
      <c r="I526" t="s">
        <v>22</v>
      </c>
      <c r="J526" t="s">
        <v>211</v>
      </c>
    </row>
    <row r="527" spans="1:10" x14ac:dyDescent="0.35">
      <c r="A527" t="s">
        <v>697</v>
      </c>
      <c r="B527" s="1">
        <v>45755</v>
      </c>
      <c r="C527" t="s">
        <v>298</v>
      </c>
      <c r="D527" t="s">
        <v>59</v>
      </c>
      <c r="E527" t="s">
        <v>185</v>
      </c>
      <c r="F527" t="s">
        <v>14</v>
      </c>
      <c r="G527">
        <v>167.72</v>
      </c>
      <c r="H527" t="s">
        <v>21</v>
      </c>
      <c r="I527" t="s">
        <v>47</v>
      </c>
      <c r="J527" t="s">
        <v>170</v>
      </c>
    </row>
    <row r="528" spans="1:10" x14ac:dyDescent="0.35">
      <c r="A528" t="s">
        <v>698</v>
      </c>
      <c r="B528" s="1">
        <v>45755</v>
      </c>
      <c r="C528" t="s">
        <v>94</v>
      </c>
      <c r="D528" t="s">
        <v>29</v>
      </c>
      <c r="E528" t="s">
        <v>95</v>
      </c>
      <c r="F528" t="s">
        <v>14</v>
      </c>
      <c r="G528">
        <v>39.51</v>
      </c>
      <c r="H528" t="s">
        <v>21</v>
      </c>
      <c r="I528" t="s">
        <v>36</v>
      </c>
      <c r="J528" t="s">
        <v>96</v>
      </c>
    </row>
    <row r="529" spans="1:10" x14ac:dyDescent="0.35">
      <c r="A529" t="s">
        <v>699</v>
      </c>
      <c r="B529" s="1">
        <v>45756</v>
      </c>
      <c r="C529" t="s">
        <v>140</v>
      </c>
      <c r="D529" t="s">
        <v>80</v>
      </c>
      <c r="E529" t="s">
        <v>81</v>
      </c>
      <c r="F529" t="s">
        <v>14</v>
      </c>
      <c r="G529">
        <v>175.67</v>
      </c>
      <c r="H529" t="s">
        <v>21</v>
      </c>
      <c r="I529" t="s">
        <v>84</v>
      </c>
      <c r="J529" t="s">
        <v>141</v>
      </c>
    </row>
    <row r="530" spans="1:10" x14ac:dyDescent="0.35">
      <c r="A530" t="s">
        <v>700</v>
      </c>
      <c r="B530" s="1">
        <v>45756</v>
      </c>
      <c r="C530" t="s">
        <v>415</v>
      </c>
      <c r="D530" t="s">
        <v>12</v>
      </c>
      <c r="E530" t="s">
        <v>51</v>
      </c>
      <c r="F530" t="s">
        <v>14</v>
      </c>
      <c r="G530">
        <v>98.92</v>
      </c>
      <c r="H530" t="s">
        <v>21</v>
      </c>
      <c r="I530" t="s">
        <v>22</v>
      </c>
      <c r="J530" t="s">
        <v>77</v>
      </c>
    </row>
    <row r="531" spans="1:10" x14ac:dyDescent="0.35">
      <c r="A531" t="s">
        <v>701</v>
      </c>
      <c r="B531" s="1">
        <v>45756</v>
      </c>
      <c r="C531" t="s">
        <v>345</v>
      </c>
      <c r="D531" t="s">
        <v>59</v>
      </c>
      <c r="E531" t="s">
        <v>60</v>
      </c>
      <c r="F531" t="s">
        <v>14</v>
      </c>
      <c r="G531">
        <v>458.01</v>
      </c>
      <c r="H531" t="s">
        <v>15</v>
      </c>
      <c r="I531" t="s">
        <v>22</v>
      </c>
      <c r="J531" t="s">
        <v>211</v>
      </c>
    </row>
    <row r="532" spans="1:10" x14ac:dyDescent="0.35">
      <c r="A532" t="s">
        <v>702</v>
      </c>
      <c r="B532" s="1">
        <v>45756</v>
      </c>
      <c r="C532" t="s">
        <v>308</v>
      </c>
      <c r="D532" t="s">
        <v>54</v>
      </c>
      <c r="E532" t="s">
        <v>64</v>
      </c>
      <c r="F532" t="s">
        <v>54</v>
      </c>
      <c r="G532">
        <v>299.19</v>
      </c>
      <c r="H532" t="s">
        <v>15</v>
      </c>
      <c r="I532" t="s">
        <v>22</v>
      </c>
      <c r="J532" t="s">
        <v>89</v>
      </c>
    </row>
    <row r="533" spans="1:10" x14ac:dyDescent="0.35">
      <c r="A533" t="s">
        <v>703</v>
      </c>
      <c r="B533" s="1">
        <v>45757</v>
      </c>
      <c r="C533" t="s">
        <v>25</v>
      </c>
      <c r="D533" t="s">
        <v>12</v>
      </c>
      <c r="E533" t="s">
        <v>26</v>
      </c>
      <c r="F533" t="s">
        <v>14</v>
      </c>
      <c r="G533">
        <v>76.88</v>
      </c>
      <c r="H533" t="s">
        <v>15</v>
      </c>
      <c r="I533" t="s">
        <v>22</v>
      </c>
      <c r="J533" t="s">
        <v>17</v>
      </c>
    </row>
    <row r="534" spans="1:10" x14ac:dyDescent="0.35">
      <c r="A534" t="s">
        <v>704</v>
      </c>
      <c r="B534" s="1">
        <v>45757</v>
      </c>
      <c r="C534" t="s">
        <v>220</v>
      </c>
      <c r="D534" t="s">
        <v>59</v>
      </c>
      <c r="E534" t="s">
        <v>199</v>
      </c>
      <c r="F534" t="s">
        <v>14</v>
      </c>
      <c r="G534">
        <v>219.77</v>
      </c>
      <c r="H534" t="s">
        <v>15</v>
      </c>
      <c r="I534" t="s">
        <v>22</v>
      </c>
      <c r="J534" t="s">
        <v>211</v>
      </c>
    </row>
    <row r="535" spans="1:10" x14ac:dyDescent="0.35">
      <c r="A535" t="s">
        <v>705</v>
      </c>
      <c r="B535" s="1">
        <v>45757</v>
      </c>
      <c r="C535" t="s">
        <v>140</v>
      </c>
      <c r="D535" t="s">
        <v>80</v>
      </c>
      <c r="E535" t="s">
        <v>81</v>
      </c>
      <c r="F535" t="s">
        <v>14</v>
      </c>
      <c r="G535">
        <v>86.76</v>
      </c>
      <c r="H535" t="s">
        <v>15</v>
      </c>
      <c r="I535" t="s">
        <v>22</v>
      </c>
      <c r="J535" t="s">
        <v>141</v>
      </c>
    </row>
    <row r="536" spans="1:10" x14ac:dyDescent="0.35">
      <c r="A536" t="s">
        <v>706</v>
      </c>
      <c r="B536" s="1">
        <v>45757</v>
      </c>
      <c r="C536" t="s">
        <v>229</v>
      </c>
      <c r="D536" t="s">
        <v>54</v>
      </c>
      <c r="E536" t="s">
        <v>64</v>
      </c>
      <c r="F536" t="s">
        <v>54</v>
      </c>
      <c r="G536">
        <v>336.9</v>
      </c>
      <c r="H536" t="s">
        <v>15</v>
      </c>
      <c r="I536" t="s">
        <v>16</v>
      </c>
      <c r="J536" t="s">
        <v>56</v>
      </c>
    </row>
    <row r="537" spans="1:10" x14ac:dyDescent="0.35">
      <c r="A537" t="s">
        <v>707</v>
      </c>
      <c r="B537" s="1">
        <v>45757</v>
      </c>
      <c r="C537" t="s">
        <v>308</v>
      </c>
      <c r="D537" t="s">
        <v>54</v>
      </c>
      <c r="E537" t="s">
        <v>64</v>
      </c>
      <c r="F537" t="s">
        <v>54</v>
      </c>
      <c r="G537">
        <v>382.77</v>
      </c>
      <c r="H537" t="s">
        <v>15</v>
      </c>
      <c r="I537" t="s">
        <v>16</v>
      </c>
      <c r="J537" t="s">
        <v>89</v>
      </c>
    </row>
    <row r="538" spans="1:10" x14ac:dyDescent="0.35">
      <c r="A538" t="s">
        <v>708</v>
      </c>
      <c r="B538" s="1">
        <v>45758</v>
      </c>
      <c r="C538" t="s">
        <v>33</v>
      </c>
      <c r="D538" t="s">
        <v>34</v>
      </c>
      <c r="E538" t="s">
        <v>35</v>
      </c>
      <c r="F538" t="s">
        <v>14</v>
      </c>
      <c r="G538">
        <v>441.99</v>
      </c>
      <c r="H538" t="s">
        <v>15</v>
      </c>
      <c r="I538" t="s">
        <v>36</v>
      </c>
      <c r="J538" t="s">
        <v>37</v>
      </c>
    </row>
    <row r="539" spans="1:10" x14ac:dyDescent="0.35">
      <c r="A539" t="s">
        <v>709</v>
      </c>
      <c r="B539" s="1">
        <v>45759</v>
      </c>
      <c r="C539" t="s">
        <v>175</v>
      </c>
      <c r="D539" t="s">
        <v>80</v>
      </c>
      <c r="E539" t="s">
        <v>92</v>
      </c>
      <c r="F539" t="s">
        <v>14</v>
      </c>
      <c r="G539">
        <v>86.07</v>
      </c>
      <c r="H539" t="s">
        <v>21</v>
      </c>
      <c r="I539" t="s">
        <v>36</v>
      </c>
      <c r="J539" t="s">
        <v>141</v>
      </c>
    </row>
    <row r="540" spans="1:10" x14ac:dyDescent="0.35">
      <c r="A540" t="s">
        <v>710</v>
      </c>
      <c r="B540" s="1">
        <v>45759</v>
      </c>
      <c r="C540" t="s">
        <v>68</v>
      </c>
      <c r="D540" t="s">
        <v>69</v>
      </c>
      <c r="E540" t="s">
        <v>70</v>
      </c>
      <c r="F540" t="s">
        <v>14</v>
      </c>
      <c r="G540">
        <v>583.03</v>
      </c>
      <c r="H540" t="s">
        <v>15</v>
      </c>
      <c r="I540" t="s">
        <v>36</v>
      </c>
      <c r="J540" t="s">
        <v>71</v>
      </c>
    </row>
    <row r="541" spans="1:10" x14ac:dyDescent="0.35">
      <c r="A541" t="s">
        <v>711</v>
      </c>
      <c r="B541" s="1">
        <v>45759</v>
      </c>
      <c r="C541" t="s">
        <v>331</v>
      </c>
      <c r="D541" t="s">
        <v>29</v>
      </c>
      <c r="E541" t="s">
        <v>95</v>
      </c>
      <c r="F541" t="s">
        <v>14</v>
      </c>
      <c r="G541">
        <v>70.64</v>
      </c>
      <c r="H541" t="s">
        <v>98</v>
      </c>
      <c r="I541" t="s">
        <v>22</v>
      </c>
      <c r="J541" t="s">
        <v>151</v>
      </c>
    </row>
    <row r="542" spans="1:10" x14ac:dyDescent="0.35">
      <c r="A542" t="s">
        <v>712</v>
      </c>
      <c r="B542" s="1">
        <v>45759</v>
      </c>
      <c r="C542" t="s">
        <v>28</v>
      </c>
      <c r="D542" t="s">
        <v>29</v>
      </c>
      <c r="E542" t="s">
        <v>30</v>
      </c>
      <c r="F542" t="s">
        <v>14</v>
      </c>
      <c r="G542">
        <v>21.62</v>
      </c>
      <c r="H542" t="s">
        <v>15</v>
      </c>
      <c r="I542" t="s">
        <v>36</v>
      </c>
      <c r="J542" t="s">
        <v>31</v>
      </c>
    </row>
    <row r="543" spans="1:10" x14ac:dyDescent="0.35">
      <c r="A543" t="s">
        <v>713</v>
      </c>
      <c r="B543" s="1">
        <v>45759</v>
      </c>
      <c r="C543" t="s">
        <v>76</v>
      </c>
      <c r="D543" t="s">
        <v>12</v>
      </c>
      <c r="E543" t="s">
        <v>13</v>
      </c>
      <c r="F543" t="s">
        <v>14</v>
      </c>
      <c r="G543">
        <v>54.68</v>
      </c>
      <c r="H543" t="s">
        <v>15</v>
      </c>
      <c r="I543" t="s">
        <v>22</v>
      </c>
      <c r="J543" t="s">
        <v>77</v>
      </c>
    </row>
    <row r="544" spans="1:10" x14ac:dyDescent="0.35">
      <c r="A544" t="s">
        <v>714</v>
      </c>
      <c r="B544" s="1">
        <v>45759</v>
      </c>
      <c r="C544" t="s">
        <v>150</v>
      </c>
      <c r="D544" t="s">
        <v>29</v>
      </c>
      <c r="E544" t="s">
        <v>30</v>
      </c>
      <c r="F544" t="s">
        <v>14</v>
      </c>
      <c r="G544">
        <v>40.21</v>
      </c>
      <c r="H544" t="s">
        <v>21</v>
      </c>
      <c r="I544" t="s">
        <v>22</v>
      </c>
      <c r="J544" t="s">
        <v>151</v>
      </c>
    </row>
    <row r="545" spans="1:10" x14ac:dyDescent="0.35">
      <c r="A545" t="s">
        <v>715</v>
      </c>
      <c r="B545" s="1">
        <v>45760</v>
      </c>
      <c r="C545" t="s">
        <v>296</v>
      </c>
      <c r="D545" t="s">
        <v>101</v>
      </c>
      <c r="E545" t="s">
        <v>136</v>
      </c>
      <c r="F545" t="s">
        <v>14</v>
      </c>
      <c r="G545">
        <v>34.22</v>
      </c>
      <c r="H545" t="s">
        <v>15</v>
      </c>
      <c r="I545" t="s">
        <v>22</v>
      </c>
      <c r="J545" t="s">
        <v>136</v>
      </c>
    </row>
    <row r="546" spans="1:10" x14ac:dyDescent="0.35">
      <c r="A546" t="s">
        <v>716</v>
      </c>
      <c r="B546" s="1">
        <v>45760</v>
      </c>
      <c r="C546" t="s">
        <v>76</v>
      </c>
      <c r="D546" t="s">
        <v>12</v>
      </c>
      <c r="E546" t="s">
        <v>13</v>
      </c>
      <c r="F546" t="s">
        <v>14</v>
      </c>
      <c r="G546">
        <v>23.47</v>
      </c>
      <c r="H546" t="s">
        <v>21</v>
      </c>
      <c r="I546" t="s">
        <v>36</v>
      </c>
      <c r="J546" t="s">
        <v>77</v>
      </c>
    </row>
    <row r="547" spans="1:10" x14ac:dyDescent="0.35">
      <c r="A547" t="s">
        <v>717</v>
      </c>
      <c r="B547" s="1">
        <v>45760</v>
      </c>
      <c r="C547" t="s">
        <v>243</v>
      </c>
      <c r="D547" t="s">
        <v>101</v>
      </c>
      <c r="E547" t="s">
        <v>244</v>
      </c>
      <c r="F547" t="s">
        <v>14</v>
      </c>
      <c r="G547">
        <v>144.96</v>
      </c>
      <c r="H547" t="s">
        <v>15</v>
      </c>
      <c r="I547" t="s">
        <v>36</v>
      </c>
      <c r="J547" t="s">
        <v>102</v>
      </c>
    </row>
    <row r="548" spans="1:10" x14ac:dyDescent="0.35">
      <c r="A548" t="s">
        <v>718</v>
      </c>
      <c r="B548" s="1">
        <v>45760</v>
      </c>
      <c r="C548" t="s">
        <v>281</v>
      </c>
      <c r="D548" t="s">
        <v>34</v>
      </c>
      <c r="E548" t="s">
        <v>40</v>
      </c>
      <c r="F548" t="s">
        <v>14</v>
      </c>
      <c r="G548">
        <v>243.16</v>
      </c>
      <c r="H548" t="s">
        <v>15</v>
      </c>
      <c r="I548" t="s">
        <v>22</v>
      </c>
      <c r="J548" t="s">
        <v>123</v>
      </c>
    </row>
    <row r="549" spans="1:10" x14ac:dyDescent="0.35">
      <c r="A549" t="s">
        <v>719</v>
      </c>
      <c r="B549" s="1">
        <v>45760</v>
      </c>
      <c r="C549" t="s">
        <v>229</v>
      </c>
      <c r="D549" t="s">
        <v>54</v>
      </c>
      <c r="E549" t="s">
        <v>64</v>
      </c>
      <c r="F549" t="s">
        <v>54</v>
      </c>
      <c r="G549">
        <v>334.87</v>
      </c>
      <c r="H549" t="s">
        <v>21</v>
      </c>
      <c r="I549" t="s">
        <v>36</v>
      </c>
      <c r="J549" t="s">
        <v>56</v>
      </c>
    </row>
    <row r="550" spans="1:10" x14ac:dyDescent="0.35">
      <c r="A550" t="s">
        <v>720</v>
      </c>
      <c r="B550" s="1">
        <v>45760</v>
      </c>
      <c r="C550" t="s">
        <v>153</v>
      </c>
      <c r="D550" t="s">
        <v>34</v>
      </c>
      <c r="E550" t="s">
        <v>122</v>
      </c>
      <c r="F550" t="s">
        <v>14</v>
      </c>
      <c r="G550">
        <v>96.21</v>
      </c>
      <c r="H550" t="s">
        <v>21</v>
      </c>
      <c r="I550" t="s">
        <v>36</v>
      </c>
      <c r="J550" t="s">
        <v>41</v>
      </c>
    </row>
    <row r="551" spans="1:10" x14ac:dyDescent="0.35">
      <c r="A551" t="s">
        <v>721</v>
      </c>
      <c r="B551" s="1">
        <v>45760</v>
      </c>
      <c r="C551" t="s">
        <v>116</v>
      </c>
      <c r="D551" t="s">
        <v>80</v>
      </c>
      <c r="E551" t="s">
        <v>117</v>
      </c>
      <c r="F551" t="s">
        <v>14</v>
      </c>
      <c r="G551">
        <v>38.270000000000003</v>
      </c>
      <c r="H551" t="s">
        <v>15</v>
      </c>
      <c r="I551" t="s">
        <v>36</v>
      </c>
      <c r="J551" t="s">
        <v>118</v>
      </c>
    </row>
    <row r="552" spans="1:10" x14ac:dyDescent="0.35">
      <c r="A552" t="s">
        <v>722</v>
      </c>
      <c r="B552" s="1">
        <v>45760</v>
      </c>
      <c r="C552" t="s">
        <v>198</v>
      </c>
      <c r="D552" t="s">
        <v>59</v>
      </c>
      <c r="E552" t="s">
        <v>199</v>
      </c>
      <c r="F552" t="s">
        <v>14</v>
      </c>
      <c r="G552">
        <v>177.47</v>
      </c>
      <c r="H552" t="s">
        <v>15</v>
      </c>
      <c r="I552" t="s">
        <v>22</v>
      </c>
      <c r="J552" t="s">
        <v>61</v>
      </c>
    </row>
    <row r="553" spans="1:10" x14ac:dyDescent="0.35">
      <c r="A553" t="s">
        <v>723</v>
      </c>
      <c r="B553" s="1">
        <v>45761</v>
      </c>
      <c r="C553" t="s">
        <v>177</v>
      </c>
      <c r="D553" t="s">
        <v>54</v>
      </c>
      <c r="E553" t="s">
        <v>74</v>
      </c>
      <c r="F553" t="s">
        <v>54</v>
      </c>
      <c r="G553">
        <v>1486.49</v>
      </c>
      <c r="H553" t="s">
        <v>21</v>
      </c>
      <c r="I553" t="s">
        <v>22</v>
      </c>
      <c r="J553" t="s">
        <v>56</v>
      </c>
    </row>
    <row r="554" spans="1:10" x14ac:dyDescent="0.35">
      <c r="A554" t="s">
        <v>724</v>
      </c>
      <c r="B554" s="1">
        <v>45761</v>
      </c>
      <c r="C554" t="s">
        <v>138</v>
      </c>
      <c r="D554" t="s">
        <v>12</v>
      </c>
      <c r="E554" t="s">
        <v>26</v>
      </c>
      <c r="F554" t="s">
        <v>14</v>
      </c>
      <c r="G554">
        <v>24.95</v>
      </c>
      <c r="H554" t="s">
        <v>21</v>
      </c>
      <c r="I554" t="s">
        <v>22</v>
      </c>
      <c r="J554" t="s">
        <v>77</v>
      </c>
    </row>
    <row r="555" spans="1:10" x14ac:dyDescent="0.35">
      <c r="A555" t="s">
        <v>725</v>
      </c>
      <c r="B555" s="1">
        <v>45762</v>
      </c>
      <c r="C555" t="s">
        <v>572</v>
      </c>
      <c r="D555" t="s">
        <v>69</v>
      </c>
      <c r="E555" t="s">
        <v>233</v>
      </c>
      <c r="F555" t="s">
        <v>14</v>
      </c>
      <c r="G555">
        <v>403.01</v>
      </c>
      <c r="H555" t="s">
        <v>15</v>
      </c>
      <c r="I555" t="s">
        <v>47</v>
      </c>
      <c r="J555" t="s">
        <v>292</v>
      </c>
    </row>
    <row r="556" spans="1:10" x14ac:dyDescent="0.35">
      <c r="A556" t="s">
        <v>726</v>
      </c>
      <c r="B556" s="1">
        <v>45762</v>
      </c>
      <c r="C556" t="s">
        <v>281</v>
      </c>
      <c r="D556" t="s">
        <v>34</v>
      </c>
      <c r="E556" t="s">
        <v>40</v>
      </c>
      <c r="F556" t="s">
        <v>14</v>
      </c>
      <c r="G556">
        <v>183.11</v>
      </c>
      <c r="H556" t="s">
        <v>15</v>
      </c>
      <c r="I556" t="s">
        <v>47</v>
      </c>
      <c r="J556" t="s">
        <v>123</v>
      </c>
    </row>
    <row r="557" spans="1:10" x14ac:dyDescent="0.35">
      <c r="A557" t="s">
        <v>727</v>
      </c>
      <c r="B557" s="1">
        <v>45763</v>
      </c>
      <c r="C557" t="s">
        <v>243</v>
      </c>
      <c r="D557" t="s">
        <v>101</v>
      </c>
      <c r="E557" t="s">
        <v>244</v>
      </c>
      <c r="F557" t="s">
        <v>14</v>
      </c>
      <c r="G557">
        <v>250</v>
      </c>
      <c r="H557" t="s">
        <v>15</v>
      </c>
      <c r="I557" t="s">
        <v>36</v>
      </c>
      <c r="J557" t="s">
        <v>102</v>
      </c>
    </row>
    <row r="558" spans="1:10" x14ac:dyDescent="0.35">
      <c r="A558" t="s">
        <v>728</v>
      </c>
      <c r="B558" s="1">
        <v>45763</v>
      </c>
      <c r="C558" t="s">
        <v>229</v>
      </c>
      <c r="D558" t="s">
        <v>54</v>
      </c>
      <c r="E558" t="s">
        <v>64</v>
      </c>
      <c r="F558" t="s">
        <v>54</v>
      </c>
      <c r="G558">
        <v>409.99</v>
      </c>
      <c r="H558" t="s">
        <v>15</v>
      </c>
      <c r="I558" t="s">
        <v>47</v>
      </c>
      <c r="J558" t="s">
        <v>56</v>
      </c>
    </row>
    <row r="559" spans="1:10" x14ac:dyDescent="0.35">
      <c r="A559" t="s">
        <v>729</v>
      </c>
      <c r="B559" s="1">
        <v>45763</v>
      </c>
      <c r="C559" t="s">
        <v>116</v>
      </c>
      <c r="D559" t="s">
        <v>80</v>
      </c>
      <c r="E559" t="s">
        <v>117</v>
      </c>
      <c r="F559" t="s">
        <v>14</v>
      </c>
      <c r="G559">
        <v>38.07</v>
      </c>
      <c r="H559" t="s">
        <v>15</v>
      </c>
      <c r="I559" t="s">
        <v>47</v>
      </c>
      <c r="J559" t="s">
        <v>118</v>
      </c>
    </row>
    <row r="560" spans="1:10" x14ac:dyDescent="0.35">
      <c r="A560" t="s">
        <v>730</v>
      </c>
      <c r="B560" s="1">
        <v>45763</v>
      </c>
      <c r="C560" t="s">
        <v>168</v>
      </c>
      <c r="D560" t="s">
        <v>59</v>
      </c>
      <c r="E560" t="s">
        <v>60</v>
      </c>
      <c r="F560" t="s">
        <v>14</v>
      </c>
      <c r="G560">
        <v>298.41000000000003</v>
      </c>
      <c r="H560" t="s">
        <v>98</v>
      </c>
      <c r="I560" t="s">
        <v>36</v>
      </c>
      <c r="J560" t="s">
        <v>170</v>
      </c>
    </row>
    <row r="561" spans="1:10" x14ac:dyDescent="0.35">
      <c r="A561" t="s">
        <v>731</v>
      </c>
      <c r="B561" s="1">
        <v>45763</v>
      </c>
      <c r="C561" t="s">
        <v>76</v>
      </c>
      <c r="D561" t="s">
        <v>12</v>
      </c>
      <c r="E561" t="s">
        <v>13</v>
      </c>
      <c r="F561" t="s">
        <v>14</v>
      </c>
      <c r="G561">
        <v>25.69</v>
      </c>
      <c r="H561" t="s">
        <v>21</v>
      </c>
      <c r="I561" t="s">
        <v>36</v>
      </c>
      <c r="J561" t="s">
        <v>77</v>
      </c>
    </row>
    <row r="562" spans="1:10" x14ac:dyDescent="0.35">
      <c r="A562" t="s">
        <v>732</v>
      </c>
      <c r="B562" s="1">
        <v>45764</v>
      </c>
      <c r="C562" t="s">
        <v>33</v>
      </c>
      <c r="D562" t="s">
        <v>34</v>
      </c>
      <c r="E562" t="s">
        <v>35</v>
      </c>
      <c r="F562" t="s">
        <v>14</v>
      </c>
      <c r="G562">
        <v>189.81</v>
      </c>
      <c r="H562" t="s">
        <v>15</v>
      </c>
      <c r="I562" t="s">
        <v>47</v>
      </c>
      <c r="J562" t="s">
        <v>37</v>
      </c>
    </row>
    <row r="563" spans="1:10" x14ac:dyDescent="0.35">
      <c r="A563" t="s">
        <v>733</v>
      </c>
      <c r="B563" s="1">
        <v>45764</v>
      </c>
      <c r="C563" t="s">
        <v>734</v>
      </c>
      <c r="D563" t="s">
        <v>69</v>
      </c>
      <c r="E563" t="s">
        <v>291</v>
      </c>
      <c r="F563" t="s">
        <v>14</v>
      </c>
      <c r="G563">
        <v>653.19000000000005</v>
      </c>
      <c r="H563" t="s">
        <v>15</v>
      </c>
      <c r="I563" t="s">
        <v>84</v>
      </c>
      <c r="J563" t="s">
        <v>71</v>
      </c>
    </row>
    <row r="564" spans="1:10" x14ac:dyDescent="0.35">
      <c r="A564" t="s">
        <v>735</v>
      </c>
      <c r="B564" s="1">
        <v>45764</v>
      </c>
      <c r="C564" t="s">
        <v>43</v>
      </c>
      <c r="D564" t="s">
        <v>12</v>
      </c>
      <c r="E564" t="s">
        <v>26</v>
      </c>
      <c r="F564" t="s">
        <v>14</v>
      </c>
      <c r="G564">
        <v>105.46</v>
      </c>
      <c r="H564" t="s">
        <v>15</v>
      </c>
      <c r="I564" t="s">
        <v>36</v>
      </c>
      <c r="J564" t="s">
        <v>44</v>
      </c>
    </row>
    <row r="565" spans="1:10" x14ac:dyDescent="0.35">
      <c r="A565" t="s">
        <v>736</v>
      </c>
      <c r="B565" s="1">
        <v>45764</v>
      </c>
      <c r="C565" t="s">
        <v>175</v>
      </c>
      <c r="D565" t="s">
        <v>80</v>
      </c>
      <c r="E565" t="s">
        <v>92</v>
      </c>
      <c r="F565" t="s">
        <v>14</v>
      </c>
      <c r="G565">
        <v>25.59</v>
      </c>
      <c r="H565" t="s">
        <v>15</v>
      </c>
      <c r="I565" t="s">
        <v>22</v>
      </c>
      <c r="J565" t="s">
        <v>141</v>
      </c>
    </row>
    <row r="566" spans="1:10" x14ac:dyDescent="0.35">
      <c r="A566" t="s">
        <v>737</v>
      </c>
      <c r="B566" s="1">
        <v>45764</v>
      </c>
      <c r="C566" t="s">
        <v>153</v>
      </c>
      <c r="D566" t="s">
        <v>34</v>
      </c>
      <c r="E566" t="s">
        <v>122</v>
      </c>
      <c r="F566" t="s">
        <v>14</v>
      </c>
      <c r="G566">
        <v>69.45</v>
      </c>
      <c r="H566" t="s">
        <v>21</v>
      </c>
      <c r="I566" t="s">
        <v>47</v>
      </c>
      <c r="J566" t="s">
        <v>41</v>
      </c>
    </row>
    <row r="567" spans="1:10" x14ac:dyDescent="0.35">
      <c r="A567" t="s">
        <v>738</v>
      </c>
      <c r="B567" s="1">
        <v>45764</v>
      </c>
      <c r="C567" t="s">
        <v>206</v>
      </c>
      <c r="D567" t="s">
        <v>29</v>
      </c>
      <c r="E567" t="s">
        <v>95</v>
      </c>
      <c r="F567" t="s">
        <v>14</v>
      </c>
      <c r="G567">
        <v>10.73</v>
      </c>
      <c r="H567" t="s">
        <v>21</v>
      </c>
      <c r="I567" t="s">
        <v>22</v>
      </c>
      <c r="J567" t="s">
        <v>31</v>
      </c>
    </row>
    <row r="568" spans="1:10" x14ac:dyDescent="0.35">
      <c r="A568" t="s">
        <v>739</v>
      </c>
      <c r="B568" s="1">
        <v>45764</v>
      </c>
      <c r="C568" t="s">
        <v>259</v>
      </c>
      <c r="D568" t="s">
        <v>59</v>
      </c>
      <c r="E568" t="s">
        <v>199</v>
      </c>
      <c r="F568" t="s">
        <v>14</v>
      </c>
      <c r="G568">
        <v>75.290000000000006</v>
      </c>
      <c r="H568" t="s">
        <v>21</v>
      </c>
      <c r="I568" t="s">
        <v>36</v>
      </c>
      <c r="J568" t="s">
        <v>170</v>
      </c>
    </row>
    <row r="569" spans="1:10" x14ac:dyDescent="0.35">
      <c r="A569" t="s">
        <v>740</v>
      </c>
      <c r="B569" s="1">
        <v>45764</v>
      </c>
      <c r="C569" t="s">
        <v>160</v>
      </c>
      <c r="D569" t="s">
        <v>80</v>
      </c>
      <c r="E569" t="s">
        <v>117</v>
      </c>
      <c r="F569" t="s">
        <v>14</v>
      </c>
      <c r="G569">
        <v>18.170000000000002</v>
      </c>
      <c r="H569" t="s">
        <v>15</v>
      </c>
      <c r="I569" t="s">
        <v>22</v>
      </c>
      <c r="J569" t="s">
        <v>161</v>
      </c>
    </row>
    <row r="570" spans="1:10" x14ac:dyDescent="0.35">
      <c r="A570" t="s">
        <v>741</v>
      </c>
      <c r="B570" s="1">
        <v>45764</v>
      </c>
      <c r="C570" t="s">
        <v>125</v>
      </c>
      <c r="D570" t="s">
        <v>12</v>
      </c>
      <c r="E570" t="s">
        <v>13</v>
      </c>
      <c r="F570" t="s">
        <v>14</v>
      </c>
      <c r="G570">
        <v>57.26</v>
      </c>
      <c r="H570" t="s">
        <v>15</v>
      </c>
      <c r="I570" t="s">
        <v>36</v>
      </c>
      <c r="J570" t="s">
        <v>44</v>
      </c>
    </row>
    <row r="571" spans="1:10" x14ac:dyDescent="0.35">
      <c r="A571" t="s">
        <v>742</v>
      </c>
      <c r="B571" s="1">
        <v>45764</v>
      </c>
      <c r="C571" t="s">
        <v>227</v>
      </c>
      <c r="D571" t="s">
        <v>12</v>
      </c>
      <c r="E571" t="s">
        <v>51</v>
      </c>
      <c r="F571" t="s">
        <v>14</v>
      </c>
      <c r="G571">
        <v>47.13</v>
      </c>
      <c r="H571" t="s">
        <v>15</v>
      </c>
      <c r="I571" t="s">
        <v>22</v>
      </c>
      <c r="J571" t="s">
        <v>17</v>
      </c>
    </row>
    <row r="572" spans="1:10" x14ac:dyDescent="0.35">
      <c r="A572" t="s">
        <v>743</v>
      </c>
      <c r="B572" s="1">
        <v>45764</v>
      </c>
      <c r="C572" t="s">
        <v>262</v>
      </c>
      <c r="D572" t="s">
        <v>101</v>
      </c>
      <c r="E572" t="s">
        <v>244</v>
      </c>
      <c r="F572" t="s">
        <v>14</v>
      </c>
      <c r="G572">
        <v>47.37</v>
      </c>
      <c r="H572" t="s">
        <v>21</v>
      </c>
      <c r="I572" t="s">
        <v>22</v>
      </c>
      <c r="J572" t="s">
        <v>136</v>
      </c>
    </row>
    <row r="573" spans="1:10" x14ac:dyDescent="0.35">
      <c r="A573" t="s">
        <v>744</v>
      </c>
      <c r="B573" s="1">
        <v>45765</v>
      </c>
      <c r="C573" t="s">
        <v>229</v>
      </c>
      <c r="D573" t="s">
        <v>54</v>
      </c>
      <c r="E573" t="s">
        <v>64</v>
      </c>
      <c r="F573" t="s">
        <v>54</v>
      </c>
      <c r="G573">
        <v>375.32</v>
      </c>
      <c r="H573" t="s">
        <v>15</v>
      </c>
      <c r="I573" t="s">
        <v>47</v>
      </c>
      <c r="J573" t="s">
        <v>56</v>
      </c>
    </row>
    <row r="574" spans="1:10" x14ac:dyDescent="0.35">
      <c r="A574" t="s">
        <v>745</v>
      </c>
      <c r="B574" s="1">
        <v>45765</v>
      </c>
      <c r="C574" t="s">
        <v>28</v>
      </c>
      <c r="D574" t="s">
        <v>29</v>
      </c>
      <c r="E574" t="s">
        <v>30</v>
      </c>
      <c r="F574" t="s">
        <v>14</v>
      </c>
      <c r="G574">
        <v>42.59</v>
      </c>
      <c r="H574" t="s">
        <v>21</v>
      </c>
      <c r="I574" t="s">
        <v>22</v>
      </c>
      <c r="J574" t="s">
        <v>31</v>
      </c>
    </row>
    <row r="575" spans="1:10" x14ac:dyDescent="0.35">
      <c r="A575" t="s">
        <v>746</v>
      </c>
      <c r="B575" s="1">
        <v>45765</v>
      </c>
      <c r="C575" t="s">
        <v>73</v>
      </c>
      <c r="D575" t="s">
        <v>54</v>
      </c>
      <c r="E575" t="s">
        <v>74</v>
      </c>
      <c r="F575" t="s">
        <v>54</v>
      </c>
      <c r="G575">
        <v>2721.66</v>
      </c>
      <c r="H575" t="s">
        <v>15</v>
      </c>
      <c r="I575" t="s">
        <v>47</v>
      </c>
      <c r="J575" t="s">
        <v>65</v>
      </c>
    </row>
    <row r="576" spans="1:10" x14ac:dyDescent="0.35">
      <c r="A576" t="s">
        <v>747</v>
      </c>
      <c r="B576" s="1">
        <v>45766</v>
      </c>
      <c r="C576" t="s">
        <v>113</v>
      </c>
      <c r="D576" t="s">
        <v>34</v>
      </c>
      <c r="E576" t="s">
        <v>40</v>
      </c>
      <c r="F576" t="s">
        <v>14</v>
      </c>
      <c r="G576">
        <v>46.72</v>
      </c>
      <c r="H576" t="s">
        <v>15</v>
      </c>
      <c r="I576" t="s">
        <v>16</v>
      </c>
      <c r="J576" t="s">
        <v>37</v>
      </c>
    </row>
    <row r="577" spans="1:10" x14ac:dyDescent="0.35">
      <c r="A577" t="s">
        <v>748</v>
      </c>
      <c r="B577" s="1">
        <v>45766</v>
      </c>
      <c r="C577" t="s">
        <v>189</v>
      </c>
      <c r="D577" t="s">
        <v>34</v>
      </c>
      <c r="E577" t="s">
        <v>122</v>
      </c>
      <c r="F577" t="s">
        <v>14</v>
      </c>
      <c r="G577">
        <v>89.63</v>
      </c>
      <c r="H577" t="s">
        <v>15</v>
      </c>
      <c r="I577" t="s">
        <v>22</v>
      </c>
      <c r="J577" t="s">
        <v>37</v>
      </c>
    </row>
    <row r="578" spans="1:10" x14ac:dyDescent="0.35">
      <c r="A578" t="s">
        <v>749</v>
      </c>
      <c r="B578" s="1">
        <v>45766</v>
      </c>
      <c r="C578" t="s">
        <v>198</v>
      </c>
      <c r="D578" t="s">
        <v>59</v>
      </c>
      <c r="E578" t="s">
        <v>199</v>
      </c>
      <c r="F578" t="s">
        <v>14</v>
      </c>
      <c r="G578">
        <v>280.97000000000003</v>
      </c>
      <c r="H578" t="s">
        <v>15</v>
      </c>
      <c r="I578" t="s">
        <v>22</v>
      </c>
      <c r="J578" t="s">
        <v>61</v>
      </c>
    </row>
    <row r="579" spans="1:10" x14ac:dyDescent="0.35">
      <c r="A579" t="s">
        <v>750</v>
      </c>
      <c r="B579" s="1">
        <v>45767</v>
      </c>
      <c r="C579" t="s">
        <v>113</v>
      </c>
      <c r="D579" t="s">
        <v>34</v>
      </c>
      <c r="E579" t="s">
        <v>40</v>
      </c>
      <c r="F579" t="s">
        <v>14</v>
      </c>
      <c r="G579">
        <v>111.56</v>
      </c>
      <c r="H579" t="s">
        <v>15</v>
      </c>
      <c r="I579" t="s">
        <v>16</v>
      </c>
      <c r="J579" t="s">
        <v>37</v>
      </c>
    </row>
    <row r="580" spans="1:10" x14ac:dyDescent="0.35">
      <c r="A580" t="s">
        <v>751</v>
      </c>
      <c r="B580" s="1">
        <v>45767</v>
      </c>
      <c r="C580" t="s">
        <v>143</v>
      </c>
      <c r="D580" t="s">
        <v>54</v>
      </c>
      <c r="E580" t="s">
        <v>55</v>
      </c>
      <c r="F580" t="s">
        <v>54</v>
      </c>
      <c r="G580">
        <v>722.25</v>
      </c>
      <c r="H580" t="s">
        <v>21</v>
      </c>
      <c r="I580" t="s">
        <v>84</v>
      </c>
      <c r="J580" t="s">
        <v>89</v>
      </c>
    </row>
    <row r="581" spans="1:10" x14ac:dyDescent="0.35">
      <c r="A581" t="s">
        <v>752</v>
      </c>
      <c r="B581" s="1">
        <v>45767</v>
      </c>
      <c r="C581" t="s">
        <v>73</v>
      </c>
      <c r="D581" t="s">
        <v>54</v>
      </c>
      <c r="E581" t="s">
        <v>74</v>
      </c>
      <c r="F581" t="s">
        <v>54</v>
      </c>
      <c r="G581">
        <v>2579.77</v>
      </c>
      <c r="H581" t="s">
        <v>21</v>
      </c>
      <c r="I581" t="s">
        <v>36</v>
      </c>
      <c r="J581" t="s">
        <v>65</v>
      </c>
    </row>
    <row r="582" spans="1:10" x14ac:dyDescent="0.35">
      <c r="A582" t="s">
        <v>753</v>
      </c>
      <c r="B582" s="1">
        <v>45767</v>
      </c>
      <c r="C582" t="s">
        <v>308</v>
      </c>
      <c r="D582" t="s">
        <v>54</v>
      </c>
      <c r="E582" t="s">
        <v>64</v>
      </c>
      <c r="F582" t="s">
        <v>54</v>
      </c>
      <c r="G582">
        <v>357.07</v>
      </c>
      <c r="H582" t="s">
        <v>15</v>
      </c>
      <c r="I582" t="s">
        <v>22</v>
      </c>
      <c r="J582" t="s">
        <v>89</v>
      </c>
    </row>
    <row r="583" spans="1:10" x14ac:dyDescent="0.35">
      <c r="A583" t="s">
        <v>754</v>
      </c>
      <c r="B583" s="1">
        <v>45767</v>
      </c>
      <c r="C583" t="s">
        <v>324</v>
      </c>
      <c r="D583" t="s">
        <v>80</v>
      </c>
      <c r="E583" t="s">
        <v>92</v>
      </c>
      <c r="F583" t="s">
        <v>14</v>
      </c>
      <c r="G583">
        <v>143.38999999999999</v>
      </c>
      <c r="H583" t="s">
        <v>98</v>
      </c>
      <c r="I583" t="s">
        <v>22</v>
      </c>
      <c r="J583" t="s">
        <v>161</v>
      </c>
    </row>
    <row r="584" spans="1:10" x14ac:dyDescent="0.35">
      <c r="A584" t="s">
        <v>755</v>
      </c>
      <c r="B584" s="1">
        <v>45767</v>
      </c>
      <c r="C584" t="s">
        <v>150</v>
      </c>
      <c r="D584" t="s">
        <v>29</v>
      </c>
      <c r="E584" t="s">
        <v>30</v>
      </c>
      <c r="F584" t="s">
        <v>14</v>
      </c>
      <c r="G584">
        <v>23.9</v>
      </c>
      <c r="H584" t="s">
        <v>98</v>
      </c>
      <c r="I584" t="s">
        <v>22</v>
      </c>
      <c r="J584" t="s">
        <v>151</v>
      </c>
    </row>
    <row r="585" spans="1:10" x14ac:dyDescent="0.35">
      <c r="A585" t="s">
        <v>756</v>
      </c>
      <c r="B585" s="1">
        <v>45767</v>
      </c>
      <c r="C585" t="s">
        <v>426</v>
      </c>
      <c r="D585" t="s">
        <v>69</v>
      </c>
      <c r="E585" t="s">
        <v>70</v>
      </c>
      <c r="F585" t="s">
        <v>14</v>
      </c>
      <c r="G585">
        <v>347.35</v>
      </c>
      <c r="H585" t="s">
        <v>15</v>
      </c>
      <c r="I585" t="s">
        <v>84</v>
      </c>
      <c r="J585" t="s">
        <v>396</v>
      </c>
    </row>
    <row r="586" spans="1:10" x14ac:dyDescent="0.35">
      <c r="A586" t="s">
        <v>757</v>
      </c>
      <c r="B586" s="1">
        <v>45768</v>
      </c>
      <c r="C586" t="s">
        <v>63</v>
      </c>
      <c r="D586" t="s">
        <v>54</v>
      </c>
      <c r="E586" t="s">
        <v>64</v>
      </c>
      <c r="F586" t="s">
        <v>54</v>
      </c>
      <c r="G586">
        <v>306.26</v>
      </c>
      <c r="H586" t="s">
        <v>15</v>
      </c>
      <c r="I586" t="s">
        <v>36</v>
      </c>
      <c r="J586" t="s">
        <v>65</v>
      </c>
    </row>
    <row r="587" spans="1:10" x14ac:dyDescent="0.35">
      <c r="A587" t="s">
        <v>758</v>
      </c>
      <c r="B587" s="1">
        <v>45768</v>
      </c>
      <c r="C587" t="s">
        <v>445</v>
      </c>
      <c r="D587" t="s">
        <v>101</v>
      </c>
      <c r="E587" t="s">
        <v>244</v>
      </c>
      <c r="F587" t="s">
        <v>14</v>
      </c>
      <c r="G587">
        <v>55.13</v>
      </c>
      <c r="H587" t="s">
        <v>15</v>
      </c>
      <c r="I587" t="s">
        <v>36</v>
      </c>
      <c r="J587" t="s">
        <v>103</v>
      </c>
    </row>
    <row r="588" spans="1:10" x14ac:dyDescent="0.35">
      <c r="A588" t="s">
        <v>759</v>
      </c>
      <c r="B588" s="1">
        <v>45768</v>
      </c>
      <c r="C588" t="s">
        <v>28</v>
      </c>
      <c r="D588" t="s">
        <v>29</v>
      </c>
      <c r="E588" t="s">
        <v>30</v>
      </c>
      <c r="F588" t="s">
        <v>14</v>
      </c>
      <c r="G588">
        <v>14.23</v>
      </c>
      <c r="H588" t="s">
        <v>15</v>
      </c>
      <c r="I588" t="s">
        <v>84</v>
      </c>
      <c r="J588" t="s">
        <v>31</v>
      </c>
    </row>
    <row r="589" spans="1:10" x14ac:dyDescent="0.35">
      <c r="A589" t="s">
        <v>760</v>
      </c>
      <c r="B589" s="1">
        <v>45768</v>
      </c>
      <c r="C589" t="s">
        <v>33</v>
      </c>
      <c r="D589" t="s">
        <v>34</v>
      </c>
      <c r="E589" t="s">
        <v>35</v>
      </c>
      <c r="F589" t="s">
        <v>14</v>
      </c>
      <c r="G589">
        <v>44.59</v>
      </c>
      <c r="H589" t="s">
        <v>15</v>
      </c>
      <c r="I589" t="s">
        <v>84</v>
      </c>
      <c r="J589" t="s">
        <v>37</v>
      </c>
    </row>
    <row r="590" spans="1:10" x14ac:dyDescent="0.35">
      <c r="A590" t="s">
        <v>761</v>
      </c>
      <c r="B590" s="1">
        <v>45768</v>
      </c>
      <c r="C590" t="s">
        <v>256</v>
      </c>
      <c r="D590" t="s">
        <v>34</v>
      </c>
      <c r="E590" t="s">
        <v>40</v>
      </c>
      <c r="F590" t="s">
        <v>14</v>
      </c>
      <c r="G590">
        <v>87.91</v>
      </c>
      <c r="H590" t="s">
        <v>15</v>
      </c>
      <c r="I590" t="s">
        <v>47</v>
      </c>
      <c r="J590" t="s">
        <v>239</v>
      </c>
    </row>
    <row r="591" spans="1:10" x14ac:dyDescent="0.35">
      <c r="A591" t="s">
        <v>762</v>
      </c>
      <c r="B591" s="1">
        <v>45768</v>
      </c>
      <c r="C591" t="s">
        <v>227</v>
      </c>
      <c r="D591" t="s">
        <v>12</v>
      </c>
      <c r="E591" t="s">
        <v>51</v>
      </c>
      <c r="F591" t="s">
        <v>14</v>
      </c>
      <c r="G591">
        <v>41.03</v>
      </c>
      <c r="H591" t="s">
        <v>15</v>
      </c>
      <c r="I591" t="s">
        <v>47</v>
      </c>
      <c r="J591" t="s">
        <v>17</v>
      </c>
    </row>
    <row r="592" spans="1:10" x14ac:dyDescent="0.35">
      <c r="A592" t="s">
        <v>763</v>
      </c>
      <c r="B592" s="1">
        <v>45768</v>
      </c>
      <c r="C592" t="s">
        <v>111</v>
      </c>
      <c r="D592" t="s">
        <v>12</v>
      </c>
      <c r="E592" t="s">
        <v>26</v>
      </c>
      <c r="F592" t="s">
        <v>14</v>
      </c>
      <c r="G592">
        <v>19.05</v>
      </c>
      <c r="H592" t="s">
        <v>98</v>
      </c>
      <c r="I592" t="s">
        <v>84</v>
      </c>
      <c r="J592" t="s">
        <v>23</v>
      </c>
    </row>
    <row r="593" spans="1:10" x14ac:dyDescent="0.35">
      <c r="A593" t="s">
        <v>764</v>
      </c>
      <c r="B593" s="1">
        <v>45768</v>
      </c>
      <c r="C593" t="s">
        <v>243</v>
      </c>
      <c r="D593" t="s">
        <v>101</v>
      </c>
      <c r="E593" t="s">
        <v>244</v>
      </c>
      <c r="F593" t="s">
        <v>14</v>
      </c>
      <c r="G593">
        <v>21.62</v>
      </c>
      <c r="H593" t="s">
        <v>21</v>
      </c>
      <c r="I593" t="s">
        <v>22</v>
      </c>
      <c r="J593" t="s">
        <v>102</v>
      </c>
    </row>
    <row r="594" spans="1:10" x14ac:dyDescent="0.35">
      <c r="A594" t="s">
        <v>765</v>
      </c>
      <c r="B594" s="1">
        <v>45768</v>
      </c>
      <c r="C594" t="s">
        <v>116</v>
      </c>
      <c r="D594" t="s">
        <v>80</v>
      </c>
      <c r="E594" t="s">
        <v>117</v>
      </c>
      <c r="F594" t="s">
        <v>14</v>
      </c>
      <c r="G594">
        <v>181.01</v>
      </c>
      <c r="H594" t="s">
        <v>21</v>
      </c>
      <c r="I594" t="s">
        <v>84</v>
      </c>
      <c r="J594" t="s">
        <v>118</v>
      </c>
    </row>
    <row r="595" spans="1:10" x14ac:dyDescent="0.35">
      <c r="A595" t="s">
        <v>766</v>
      </c>
      <c r="B595" s="1">
        <v>45769</v>
      </c>
      <c r="C595" t="s">
        <v>324</v>
      </c>
      <c r="D595" t="s">
        <v>80</v>
      </c>
      <c r="E595" t="s">
        <v>92</v>
      </c>
      <c r="F595" t="s">
        <v>14</v>
      </c>
      <c r="G595">
        <v>69.78</v>
      </c>
      <c r="H595" t="s">
        <v>98</v>
      </c>
      <c r="I595" t="s">
        <v>47</v>
      </c>
      <c r="J595" t="s">
        <v>161</v>
      </c>
    </row>
    <row r="596" spans="1:10" x14ac:dyDescent="0.35">
      <c r="A596" t="s">
        <v>767</v>
      </c>
      <c r="B596" s="1">
        <v>45769</v>
      </c>
      <c r="C596" t="s">
        <v>63</v>
      </c>
      <c r="D596" t="s">
        <v>54</v>
      </c>
      <c r="E596" t="s">
        <v>64</v>
      </c>
      <c r="F596" t="s">
        <v>54</v>
      </c>
      <c r="G596">
        <v>344.85</v>
      </c>
      <c r="H596" t="s">
        <v>15</v>
      </c>
      <c r="I596" t="s">
        <v>22</v>
      </c>
      <c r="J596" t="s">
        <v>65</v>
      </c>
    </row>
    <row r="597" spans="1:10" x14ac:dyDescent="0.35">
      <c r="A597" t="s">
        <v>768</v>
      </c>
      <c r="B597" s="1">
        <v>45769</v>
      </c>
      <c r="C597" t="s">
        <v>734</v>
      </c>
      <c r="D597" t="s">
        <v>69</v>
      </c>
      <c r="E597" t="s">
        <v>291</v>
      </c>
      <c r="F597" t="s">
        <v>14</v>
      </c>
      <c r="G597">
        <v>211.55</v>
      </c>
      <c r="H597" t="s">
        <v>15</v>
      </c>
      <c r="I597" t="s">
        <v>22</v>
      </c>
      <c r="J597" t="s">
        <v>71</v>
      </c>
    </row>
    <row r="598" spans="1:10" x14ac:dyDescent="0.35">
      <c r="A598" t="s">
        <v>769</v>
      </c>
      <c r="B598" s="1">
        <v>45769</v>
      </c>
      <c r="C598" t="s">
        <v>308</v>
      </c>
      <c r="D598" t="s">
        <v>54</v>
      </c>
      <c r="E598" t="s">
        <v>64</v>
      </c>
      <c r="F598" t="s">
        <v>54</v>
      </c>
      <c r="G598">
        <v>344.02</v>
      </c>
      <c r="H598" t="s">
        <v>98</v>
      </c>
      <c r="I598" t="s">
        <v>22</v>
      </c>
      <c r="J598" t="s">
        <v>89</v>
      </c>
    </row>
    <row r="599" spans="1:10" x14ac:dyDescent="0.35">
      <c r="A599" t="s">
        <v>770</v>
      </c>
      <c r="B599" s="1">
        <v>45769</v>
      </c>
      <c r="C599" t="s">
        <v>580</v>
      </c>
      <c r="D599" t="s">
        <v>80</v>
      </c>
      <c r="E599" t="s">
        <v>81</v>
      </c>
      <c r="F599" t="s">
        <v>14</v>
      </c>
      <c r="G599">
        <v>250</v>
      </c>
      <c r="H599" t="s">
        <v>15</v>
      </c>
      <c r="I599" t="s">
        <v>22</v>
      </c>
      <c r="J599" t="s">
        <v>118</v>
      </c>
    </row>
    <row r="600" spans="1:10" x14ac:dyDescent="0.35">
      <c r="A600" t="s">
        <v>771</v>
      </c>
      <c r="B600" s="1">
        <v>45769</v>
      </c>
      <c r="C600" t="s">
        <v>43</v>
      </c>
      <c r="D600" t="s">
        <v>12</v>
      </c>
      <c r="E600" t="s">
        <v>26</v>
      </c>
      <c r="F600" t="s">
        <v>14</v>
      </c>
      <c r="G600">
        <v>102.7</v>
      </c>
      <c r="H600" t="s">
        <v>15</v>
      </c>
      <c r="I600" t="s">
        <v>84</v>
      </c>
      <c r="J600" t="s">
        <v>44</v>
      </c>
    </row>
    <row r="601" spans="1:10" x14ac:dyDescent="0.35">
      <c r="A601" t="s">
        <v>772</v>
      </c>
      <c r="B601" s="1">
        <v>45769</v>
      </c>
      <c r="C601" t="s">
        <v>229</v>
      </c>
      <c r="D601" t="s">
        <v>54</v>
      </c>
      <c r="E601" t="s">
        <v>64</v>
      </c>
      <c r="F601" t="s">
        <v>54</v>
      </c>
      <c r="G601">
        <v>350.63</v>
      </c>
      <c r="H601" t="s">
        <v>15</v>
      </c>
      <c r="I601" t="s">
        <v>36</v>
      </c>
      <c r="J601" t="s">
        <v>56</v>
      </c>
    </row>
    <row r="602" spans="1:10" x14ac:dyDescent="0.35">
      <c r="A602" t="s">
        <v>773</v>
      </c>
      <c r="B602" s="1">
        <v>45769</v>
      </c>
      <c r="C602" t="s">
        <v>88</v>
      </c>
      <c r="D602" t="s">
        <v>54</v>
      </c>
      <c r="E602" t="s">
        <v>74</v>
      </c>
      <c r="F602" t="s">
        <v>54</v>
      </c>
      <c r="G602">
        <v>2569.38</v>
      </c>
      <c r="H602" t="s">
        <v>15</v>
      </c>
      <c r="I602" t="s">
        <v>22</v>
      </c>
      <c r="J602" t="s">
        <v>89</v>
      </c>
    </row>
    <row r="603" spans="1:10" x14ac:dyDescent="0.35">
      <c r="A603" t="s">
        <v>774</v>
      </c>
      <c r="B603" s="1">
        <v>45769</v>
      </c>
      <c r="C603" t="s">
        <v>259</v>
      </c>
      <c r="D603" t="s">
        <v>59</v>
      </c>
      <c r="E603" t="s">
        <v>199</v>
      </c>
      <c r="F603" t="s">
        <v>14</v>
      </c>
      <c r="G603">
        <v>187.05</v>
      </c>
      <c r="H603" t="s">
        <v>21</v>
      </c>
      <c r="I603" t="s">
        <v>36</v>
      </c>
      <c r="J603" t="s">
        <v>170</v>
      </c>
    </row>
    <row r="604" spans="1:10" x14ac:dyDescent="0.35">
      <c r="A604" t="s">
        <v>775</v>
      </c>
      <c r="B604" s="1">
        <v>45769</v>
      </c>
      <c r="C604" t="s">
        <v>734</v>
      </c>
      <c r="D604" t="s">
        <v>69</v>
      </c>
      <c r="E604" t="s">
        <v>291</v>
      </c>
      <c r="F604" t="s">
        <v>14</v>
      </c>
      <c r="G604">
        <v>408.29</v>
      </c>
      <c r="H604" t="s">
        <v>21</v>
      </c>
      <c r="I604" t="s">
        <v>16</v>
      </c>
      <c r="J604" t="s">
        <v>71</v>
      </c>
    </row>
    <row r="605" spans="1:10" x14ac:dyDescent="0.35">
      <c r="A605" t="s">
        <v>776</v>
      </c>
      <c r="B605" s="1">
        <v>45769</v>
      </c>
      <c r="C605" t="s">
        <v>189</v>
      </c>
      <c r="D605" t="s">
        <v>34</v>
      </c>
      <c r="E605" t="s">
        <v>122</v>
      </c>
      <c r="F605" t="s">
        <v>14</v>
      </c>
      <c r="G605">
        <v>70.33</v>
      </c>
      <c r="H605" t="s">
        <v>15</v>
      </c>
      <c r="I605" t="s">
        <v>36</v>
      </c>
      <c r="J605" t="s">
        <v>37</v>
      </c>
    </row>
    <row r="606" spans="1:10" x14ac:dyDescent="0.35">
      <c r="A606" t="s">
        <v>777</v>
      </c>
      <c r="B606" s="1">
        <v>45769</v>
      </c>
      <c r="C606" t="s">
        <v>46</v>
      </c>
      <c r="D606" t="s">
        <v>12</v>
      </c>
      <c r="E606" t="s">
        <v>13</v>
      </c>
      <c r="F606" t="s">
        <v>14</v>
      </c>
      <c r="G606">
        <v>26.33</v>
      </c>
      <c r="H606" t="s">
        <v>21</v>
      </c>
      <c r="I606" t="s">
        <v>22</v>
      </c>
      <c r="J606" t="s">
        <v>48</v>
      </c>
    </row>
    <row r="607" spans="1:10" x14ac:dyDescent="0.35">
      <c r="A607" t="s">
        <v>778</v>
      </c>
      <c r="B607" s="1">
        <v>45769</v>
      </c>
      <c r="C607" t="s">
        <v>125</v>
      </c>
      <c r="D607" t="s">
        <v>12</v>
      </c>
      <c r="E607" t="s">
        <v>13</v>
      </c>
      <c r="F607" t="s">
        <v>14</v>
      </c>
      <c r="G607">
        <v>35.75</v>
      </c>
      <c r="H607" t="s">
        <v>15</v>
      </c>
      <c r="I607" t="s">
        <v>47</v>
      </c>
      <c r="J607" t="s">
        <v>44</v>
      </c>
    </row>
    <row r="608" spans="1:10" x14ac:dyDescent="0.35">
      <c r="A608" t="s">
        <v>779</v>
      </c>
      <c r="B608" s="1">
        <v>45770</v>
      </c>
      <c r="C608" t="s">
        <v>281</v>
      </c>
      <c r="D608" t="s">
        <v>34</v>
      </c>
      <c r="E608" t="s">
        <v>40</v>
      </c>
      <c r="F608" t="s">
        <v>14</v>
      </c>
      <c r="G608">
        <v>153.99</v>
      </c>
      <c r="H608" t="s">
        <v>15</v>
      </c>
      <c r="I608" t="s">
        <v>22</v>
      </c>
      <c r="J608" t="s">
        <v>123</v>
      </c>
    </row>
    <row r="609" spans="1:10" x14ac:dyDescent="0.35">
      <c r="A609" t="s">
        <v>780</v>
      </c>
      <c r="B609" s="1">
        <v>45770</v>
      </c>
      <c r="C609" t="s">
        <v>113</v>
      </c>
      <c r="D609" t="s">
        <v>34</v>
      </c>
      <c r="E609" t="s">
        <v>40</v>
      </c>
      <c r="F609" t="s">
        <v>14</v>
      </c>
      <c r="G609">
        <v>89.36</v>
      </c>
      <c r="H609" t="s">
        <v>21</v>
      </c>
      <c r="I609" t="s">
        <v>47</v>
      </c>
      <c r="J609" t="s">
        <v>37</v>
      </c>
    </row>
    <row r="610" spans="1:10" x14ac:dyDescent="0.35">
      <c r="A610" t="s">
        <v>781</v>
      </c>
      <c r="B610" s="1">
        <v>45770</v>
      </c>
      <c r="C610" t="s">
        <v>243</v>
      </c>
      <c r="D610" t="s">
        <v>101</v>
      </c>
      <c r="E610" t="s">
        <v>244</v>
      </c>
      <c r="F610" t="s">
        <v>14</v>
      </c>
      <c r="G610">
        <v>34</v>
      </c>
      <c r="H610" t="s">
        <v>15</v>
      </c>
      <c r="I610" t="s">
        <v>22</v>
      </c>
      <c r="J610" t="s">
        <v>102</v>
      </c>
    </row>
    <row r="611" spans="1:10" x14ac:dyDescent="0.35">
      <c r="A611" t="s">
        <v>782</v>
      </c>
      <c r="B611" s="1">
        <v>45770</v>
      </c>
      <c r="C611" t="s">
        <v>88</v>
      </c>
      <c r="D611" t="s">
        <v>54</v>
      </c>
      <c r="E611" t="s">
        <v>74</v>
      </c>
      <c r="F611" t="s">
        <v>54</v>
      </c>
      <c r="G611">
        <v>2699.76</v>
      </c>
      <c r="H611" t="s">
        <v>21</v>
      </c>
      <c r="I611" t="s">
        <v>36</v>
      </c>
      <c r="J611" t="s">
        <v>89</v>
      </c>
    </row>
    <row r="612" spans="1:10" x14ac:dyDescent="0.35">
      <c r="A612" t="s">
        <v>783</v>
      </c>
      <c r="B612" s="1">
        <v>45770</v>
      </c>
      <c r="C612" t="s">
        <v>296</v>
      </c>
      <c r="D612" t="s">
        <v>101</v>
      </c>
      <c r="E612" t="s">
        <v>136</v>
      </c>
      <c r="F612" t="s">
        <v>14</v>
      </c>
      <c r="G612">
        <v>130.38</v>
      </c>
      <c r="H612" t="s">
        <v>15</v>
      </c>
      <c r="I612" t="s">
        <v>47</v>
      </c>
      <c r="J612" t="s">
        <v>136</v>
      </c>
    </row>
    <row r="613" spans="1:10" x14ac:dyDescent="0.35">
      <c r="A613" t="s">
        <v>784</v>
      </c>
      <c r="B613" s="1">
        <v>45770</v>
      </c>
      <c r="C613" t="s">
        <v>172</v>
      </c>
      <c r="D613" t="s">
        <v>101</v>
      </c>
      <c r="E613" t="s">
        <v>102</v>
      </c>
      <c r="F613" t="s">
        <v>14</v>
      </c>
      <c r="G613">
        <v>145.04</v>
      </c>
      <c r="H613" t="s">
        <v>21</v>
      </c>
      <c r="I613" t="s">
        <v>47</v>
      </c>
      <c r="J613" t="s">
        <v>102</v>
      </c>
    </row>
    <row r="614" spans="1:10" x14ac:dyDescent="0.35">
      <c r="A614" t="s">
        <v>785</v>
      </c>
      <c r="B614" s="1">
        <v>45771</v>
      </c>
      <c r="C614" t="s">
        <v>206</v>
      </c>
      <c r="D614" t="s">
        <v>29</v>
      </c>
      <c r="E614" t="s">
        <v>95</v>
      </c>
      <c r="F614" t="s">
        <v>14</v>
      </c>
      <c r="G614">
        <v>9.4499999999999993</v>
      </c>
      <c r="H614" t="s">
        <v>15</v>
      </c>
      <c r="I614" t="s">
        <v>47</v>
      </c>
      <c r="J614" t="s">
        <v>31</v>
      </c>
    </row>
    <row r="615" spans="1:10" x14ac:dyDescent="0.35">
      <c r="A615" t="s">
        <v>786</v>
      </c>
      <c r="B615" s="1">
        <v>45771</v>
      </c>
      <c r="C615" t="s">
        <v>229</v>
      </c>
      <c r="D615" t="s">
        <v>54</v>
      </c>
      <c r="E615" t="s">
        <v>64</v>
      </c>
      <c r="F615" t="s">
        <v>54</v>
      </c>
      <c r="G615">
        <v>369.69</v>
      </c>
      <c r="H615" t="s">
        <v>21</v>
      </c>
      <c r="I615" t="s">
        <v>36</v>
      </c>
      <c r="J615" t="s">
        <v>56</v>
      </c>
    </row>
    <row r="616" spans="1:10" x14ac:dyDescent="0.35">
      <c r="A616" t="s">
        <v>787</v>
      </c>
      <c r="B616" s="1">
        <v>45771</v>
      </c>
      <c r="C616" t="s">
        <v>580</v>
      </c>
      <c r="D616" t="s">
        <v>80</v>
      </c>
      <c r="E616" t="s">
        <v>81</v>
      </c>
      <c r="F616" t="s">
        <v>14</v>
      </c>
      <c r="G616">
        <v>75.36</v>
      </c>
      <c r="H616" t="s">
        <v>15</v>
      </c>
      <c r="I616" t="s">
        <v>36</v>
      </c>
      <c r="J616" t="s">
        <v>118</v>
      </c>
    </row>
    <row r="617" spans="1:10" x14ac:dyDescent="0.35">
      <c r="A617" t="s">
        <v>788</v>
      </c>
      <c r="B617" s="1">
        <v>45771</v>
      </c>
      <c r="C617" t="s">
        <v>63</v>
      </c>
      <c r="D617" t="s">
        <v>54</v>
      </c>
      <c r="E617" t="s">
        <v>64</v>
      </c>
      <c r="F617" t="s">
        <v>54</v>
      </c>
      <c r="G617">
        <v>352.34</v>
      </c>
      <c r="H617" t="s">
        <v>21</v>
      </c>
      <c r="I617" t="s">
        <v>16</v>
      </c>
      <c r="J617" t="s">
        <v>65</v>
      </c>
    </row>
    <row r="618" spans="1:10" x14ac:dyDescent="0.35">
      <c r="A618" t="s">
        <v>789</v>
      </c>
      <c r="B618" s="1">
        <v>45771</v>
      </c>
      <c r="C618" t="s">
        <v>198</v>
      </c>
      <c r="D618" t="s">
        <v>59</v>
      </c>
      <c r="E618" t="s">
        <v>199</v>
      </c>
      <c r="F618" t="s">
        <v>14</v>
      </c>
      <c r="G618">
        <v>444.59</v>
      </c>
      <c r="H618" t="s">
        <v>21</v>
      </c>
      <c r="I618" t="s">
        <v>22</v>
      </c>
      <c r="J618" t="s">
        <v>61</v>
      </c>
    </row>
    <row r="619" spans="1:10" x14ac:dyDescent="0.35">
      <c r="A619" t="s">
        <v>790</v>
      </c>
      <c r="B619" s="1">
        <v>45771</v>
      </c>
      <c r="C619" t="s">
        <v>33</v>
      </c>
      <c r="D619" t="s">
        <v>34</v>
      </c>
      <c r="E619" t="s">
        <v>35</v>
      </c>
      <c r="F619" t="s">
        <v>14</v>
      </c>
      <c r="G619">
        <v>98.5</v>
      </c>
      <c r="H619" t="s">
        <v>21</v>
      </c>
      <c r="I619" t="s">
        <v>84</v>
      </c>
      <c r="J619" t="s">
        <v>37</v>
      </c>
    </row>
    <row r="620" spans="1:10" x14ac:dyDescent="0.35">
      <c r="A620" t="s">
        <v>791</v>
      </c>
      <c r="B620" s="1">
        <v>45772</v>
      </c>
      <c r="C620" t="s">
        <v>259</v>
      </c>
      <c r="D620" t="s">
        <v>59</v>
      </c>
      <c r="E620" t="s">
        <v>199</v>
      </c>
      <c r="F620" t="s">
        <v>14</v>
      </c>
      <c r="G620">
        <v>211.81</v>
      </c>
      <c r="H620" t="s">
        <v>21</v>
      </c>
      <c r="I620" t="s">
        <v>22</v>
      </c>
      <c r="J620" t="s">
        <v>170</v>
      </c>
    </row>
    <row r="621" spans="1:10" x14ac:dyDescent="0.35">
      <c r="A621" t="s">
        <v>792</v>
      </c>
      <c r="B621" s="1">
        <v>45772</v>
      </c>
      <c r="C621" t="s">
        <v>262</v>
      </c>
      <c r="D621" t="s">
        <v>101</v>
      </c>
      <c r="E621" t="s">
        <v>244</v>
      </c>
      <c r="F621" t="s">
        <v>14</v>
      </c>
      <c r="G621">
        <v>27.78</v>
      </c>
      <c r="H621" t="s">
        <v>15</v>
      </c>
      <c r="I621" t="s">
        <v>22</v>
      </c>
      <c r="J621" t="s">
        <v>136</v>
      </c>
    </row>
    <row r="622" spans="1:10" x14ac:dyDescent="0.35">
      <c r="A622" t="s">
        <v>793</v>
      </c>
      <c r="B622" s="1">
        <v>45772</v>
      </c>
      <c r="C622" t="s">
        <v>251</v>
      </c>
      <c r="D622" t="s">
        <v>29</v>
      </c>
      <c r="E622" t="s">
        <v>151</v>
      </c>
      <c r="F622" t="s">
        <v>14</v>
      </c>
      <c r="G622">
        <v>58.65</v>
      </c>
      <c r="H622" t="s">
        <v>15</v>
      </c>
      <c r="I622" t="s">
        <v>36</v>
      </c>
      <c r="J622" t="s">
        <v>31</v>
      </c>
    </row>
    <row r="623" spans="1:10" x14ac:dyDescent="0.35">
      <c r="A623" t="s">
        <v>794</v>
      </c>
      <c r="B623" s="1">
        <v>45772</v>
      </c>
      <c r="C623" t="s">
        <v>19</v>
      </c>
      <c r="D623" t="s">
        <v>12</v>
      </c>
      <c r="E623" t="s">
        <v>13</v>
      </c>
      <c r="F623" t="s">
        <v>14</v>
      </c>
      <c r="G623">
        <v>13.2</v>
      </c>
      <c r="H623" t="s">
        <v>15</v>
      </c>
      <c r="I623" t="s">
        <v>47</v>
      </c>
      <c r="J623" t="s">
        <v>23</v>
      </c>
    </row>
    <row r="624" spans="1:10" x14ac:dyDescent="0.35">
      <c r="A624" t="s">
        <v>795</v>
      </c>
      <c r="B624" s="1">
        <v>45772</v>
      </c>
      <c r="C624" t="s">
        <v>88</v>
      </c>
      <c r="D624" t="s">
        <v>54</v>
      </c>
      <c r="E624" t="s">
        <v>74</v>
      </c>
      <c r="F624" t="s">
        <v>54</v>
      </c>
      <c r="G624">
        <v>2298.5500000000002</v>
      </c>
      <c r="H624" t="s">
        <v>15</v>
      </c>
      <c r="I624" t="s">
        <v>47</v>
      </c>
      <c r="J624" t="s">
        <v>89</v>
      </c>
    </row>
    <row r="625" spans="1:10" x14ac:dyDescent="0.35">
      <c r="A625" t="s">
        <v>796</v>
      </c>
      <c r="B625" s="1">
        <v>45772</v>
      </c>
      <c r="C625" t="s">
        <v>125</v>
      </c>
      <c r="D625" t="s">
        <v>12</v>
      </c>
      <c r="E625" t="s">
        <v>13</v>
      </c>
      <c r="F625" t="s">
        <v>14</v>
      </c>
      <c r="G625">
        <v>115.1</v>
      </c>
      <c r="H625" t="s">
        <v>15</v>
      </c>
      <c r="I625" t="s">
        <v>22</v>
      </c>
      <c r="J625" t="s">
        <v>44</v>
      </c>
    </row>
    <row r="626" spans="1:10" x14ac:dyDescent="0.35">
      <c r="A626" t="s">
        <v>797</v>
      </c>
      <c r="B626" s="1">
        <v>45772</v>
      </c>
      <c r="C626" t="s">
        <v>262</v>
      </c>
      <c r="D626" t="s">
        <v>101</v>
      </c>
      <c r="E626" t="s">
        <v>244</v>
      </c>
      <c r="F626" t="s">
        <v>14</v>
      </c>
      <c r="G626">
        <v>101.9</v>
      </c>
      <c r="H626" t="s">
        <v>15</v>
      </c>
      <c r="I626" t="s">
        <v>36</v>
      </c>
      <c r="J626" t="s">
        <v>136</v>
      </c>
    </row>
    <row r="627" spans="1:10" x14ac:dyDescent="0.35">
      <c r="A627" t="s">
        <v>798</v>
      </c>
      <c r="B627" s="1">
        <v>45773</v>
      </c>
      <c r="C627" t="s">
        <v>46</v>
      </c>
      <c r="D627" t="s">
        <v>12</v>
      </c>
      <c r="E627" t="s">
        <v>13</v>
      </c>
      <c r="F627" t="s">
        <v>14</v>
      </c>
      <c r="G627">
        <v>113.47</v>
      </c>
      <c r="H627" t="s">
        <v>15</v>
      </c>
      <c r="I627" t="s">
        <v>36</v>
      </c>
      <c r="J627" t="s">
        <v>48</v>
      </c>
    </row>
    <row r="628" spans="1:10" x14ac:dyDescent="0.35">
      <c r="A628" t="s">
        <v>799</v>
      </c>
      <c r="B628" s="1">
        <v>45773</v>
      </c>
      <c r="C628" t="s">
        <v>121</v>
      </c>
      <c r="D628" t="s">
        <v>34</v>
      </c>
      <c r="E628" t="s">
        <v>122</v>
      </c>
      <c r="F628" t="s">
        <v>14</v>
      </c>
      <c r="G628">
        <v>156.77000000000001</v>
      </c>
      <c r="H628" t="s">
        <v>21</v>
      </c>
      <c r="I628" t="s">
        <v>16</v>
      </c>
      <c r="J628" t="s">
        <v>123</v>
      </c>
    </row>
    <row r="629" spans="1:10" x14ac:dyDescent="0.35">
      <c r="A629" t="s">
        <v>800</v>
      </c>
      <c r="B629" s="1">
        <v>45773</v>
      </c>
      <c r="C629" t="s">
        <v>253</v>
      </c>
      <c r="D629" t="s">
        <v>29</v>
      </c>
      <c r="E629" t="s">
        <v>30</v>
      </c>
      <c r="F629" t="s">
        <v>14</v>
      </c>
      <c r="G629">
        <v>40.590000000000003</v>
      </c>
      <c r="H629" t="s">
        <v>15</v>
      </c>
      <c r="I629" t="s">
        <v>47</v>
      </c>
      <c r="J629" t="s">
        <v>158</v>
      </c>
    </row>
    <row r="630" spans="1:10" x14ac:dyDescent="0.35">
      <c r="A630" t="s">
        <v>801</v>
      </c>
      <c r="B630" s="1">
        <v>45773</v>
      </c>
      <c r="C630" t="s">
        <v>281</v>
      </c>
      <c r="D630" t="s">
        <v>34</v>
      </c>
      <c r="E630" t="s">
        <v>40</v>
      </c>
      <c r="F630" t="s">
        <v>14</v>
      </c>
      <c r="G630">
        <v>258.17</v>
      </c>
      <c r="H630" t="s">
        <v>15</v>
      </c>
      <c r="I630" t="s">
        <v>22</v>
      </c>
      <c r="J630" t="s">
        <v>123</v>
      </c>
    </row>
    <row r="631" spans="1:10" x14ac:dyDescent="0.35">
      <c r="A631" t="s">
        <v>802</v>
      </c>
      <c r="B631" s="1">
        <v>45774</v>
      </c>
      <c r="C631" t="s">
        <v>168</v>
      </c>
      <c r="D631" t="s">
        <v>59</v>
      </c>
      <c r="E631" t="s">
        <v>60</v>
      </c>
      <c r="F631" t="s">
        <v>14</v>
      </c>
      <c r="G631">
        <v>330.62</v>
      </c>
      <c r="H631" t="s">
        <v>21</v>
      </c>
      <c r="I631" t="s">
        <v>16</v>
      </c>
      <c r="J631" t="s">
        <v>170</v>
      </c>
    </row>
    <row r="632" spans="1:10" x14ac:dyDescent="0.35">
      <c r="A632" t="s">
        <v>803</v>
      </c>
      <c r="B632" s="1">
        <v>45774</v>
      </c>
      <c r="C632" t="s">
        <v>259</v>
      </c>
      <c r="D632" t="s">
        <v>59</v>
      </c>
      <c r="E632" t="s">
        <v>199</v>
      </c>
      <c r="F632" t="s">
        <v>14</v>
      </c>
      <c r="G632">
        <v>299.79000000000002</v>
      </c>
      <c r="H632" t="s">
        <v>15</v>
      </c>
      <c r="I632" t="s">
        <v>22</v>
      </c>
      <c r="J632" t="s">
        <v>170</v>
      </c>
    </row>
    <row r="633" spans="1:10" x14ac:dyDescent="0.35">
      <c r="A633" t="s">
        <v>804</v>
      </c>
      <c r="B633" s="1">
        <v>45774</v>
      </c>
      <c r="C633" t="s">
        <v>734</v>
      </c>
      <c r="D633" t="s">
        <v>69</v>
      </c>
      <c r="E633" t="s">
        <v>291</v>
      </c>
      <c r="F633" t="s">
        <v>14</v>
      </c>
      <c r="G633">
        <v>223.08</v>
      </c>
      <c r="H633" t="s">
        <v>15</v>
      </c>
      <c r="I633" t="s">
        <v>22</v>
      </c>
      <c r="J633" t="s">
        <v>71</v>
      </c>
    </row>
    <row r="634" spans="1:10" x14ac:dyDescent="0.35">
      <c r="A634" t="s">
        <v>805</v>
      </c>
      <c r="B634" s="1">
        <v>45774</v>
      </c>
      <c r="C634" t="s">
        <v>160</v>
      </c>
      <c r="D634" t="s">
        <v>80</v>
      </c>
      <c r="E634" t="s">
        <v>117</v>
      </c>
      <c r="F634" t="s">
        <v>14</v>
      </c>
      <c r="G634">
        <v>46.91</v>
      </c>
      <c r="H634" t="s">
        <v>15</v>
      </c>
      <c r="I634" t="s">
        <v>22</v>
      </c>
      <c r="J634" t="s">
        <v>161</v>
      </c>
    </row>
    <row r="635" spans="1:10" x14ac:dyDescent="0.35">
      <c r="A635" t="s">
        <v>806</v>
      </c>
      <c r="B635" s="1">
        <v>45774</v>
      </c>
      <c r="C635" t="s">
        <v>160</v>
      </c>
      <c r="D635" t="s">
        <v>80</v>
      </c>
      <c r="E635" t="s">
        <v>117</v>
      </c>
      <c r="F635" t="s">
        <v>14</v>
      </c>
      <c r="G635">
        <v>56.62</v>
      </c>
      <c r="H635" t="s">
        <v>21</v>
      </c>
      <c r="I635" t="s">
        <v>22</v>
      </c>
      <c r="J635" t="s">
        <v>161</v>
      </c>
    </row>
    <row r="636" spans="1:10" x14ac:dyDescent="0.35">
      <c r="A636" t="s">
        <v>807</v>
      </c>
      <c r="B636" s="1">
        <v>45775</v>
      </c>
      <c r="C636" t="s">
        <v>227</v>
      </c>
      <c r="D636" t="s">
        <v>12</v>
      </c>
      <c r="E636" t="s">
        <v>51</v>
      </c>
      <c r="F636" t="s">
        <v>14</v>
      </c>
      <c r="G636">
        <v>142.96</v>
      </c>
      <c r="H636" t="s">
        <v>15</v>
      </c>
      <c r="I636" t="s">
        <v>36</v>
      </c>
      <c r="J636" t="s">
        <v>17</v>
      </c>
    </row>
    <row r="637" spans="1:10" x14ac:dyDescent="0.35">
      <c r="A637" t="s">
        <v>808</v>
      </c>
      <c r="B637" s="1">
        <v>45775</v>
      </c>
      <c r="C637" t="s">
        <v>153</v>
      </c>
      <c r="D637" t="s">
        <v>34</v>
      </c>
      <c r="E637" t="s">
        <v>122</v>
      </c>
      <c r="F637" t="s">
        <v>14</v>
      </c>
      <c r="G637">
        <v>73.52</v>
      </c>
      <c r="H637" t="s">
        <v>15</v>
      </c>
      <c r="I637" t="s">
        <v>47</v>
      </c>
      <c r="J637" t="s">
        <v>41</v>
      </c>
    </row>
    <row r="638" spans="1:10" x14ac:dyDescent="0.35">
      <c r="A638" t="s">
        <v>809</v>
      </c>
      <c r="B638" s="1">
        <v>45775</v>
      </c>
      <c r="C638" t="s">
        <v>210</v>
      </c>
      <c r="D638" t="s">
        <v>59</v>
      </c>
      <c r="E638" t="s">
        <v>185</v>
      </c>
      <c r="F638" t="s">
        <v>14</v>
      </c>
      <c r="G638">
        <v>385.41</v>
      </c>
      <c r="H638" t="s">
        <v>21</v>
      </c>
      <c r="I638" t="s">
        <v>16</v>
      </c>
      <c r="J638" t="s">
        <v>211</v>
      </c>
    </row>
    <row r="639" spans="1:10" x14ac:dyDescent="0.35">
      <c r="A639" t="s">
        <v>810</v>
      </c>
      <c r="B639" s="1">
        <v>45775</v>
      </c>
      <c r="C639" t="s">
        <v>272</v>
      </c>
      <c r="D639" t="s">
        <v>54</v>
      </c>
      <c r="E639" t="s">
        <v>55</v>
      </c>
      <c r="F639" t="s">
        <v>54</v>
      </c>
      <c r="G639">
        <v>785.77</v>
      </c>
      <c r="H639" t="s">
        <v>15</v>
      </c>
      <c r="I639" t="s">
        <v>36</v>
      </c>
      <c r="J639" t="s">
        <v>65</v>
      </c>
    </row>
    <row r="640" spans="1:10" x14ac:dyDescent="0.35">
      <c r="A640" t="s">
        <v>811</v>
      </c>
      <c r="B640" s="1">
        <v>45775</v>
      </c>
      <c r="C640" t="s">
        <v>28</v>
      </c>
      <c r="D640" t="s">
        <v>29</v>
      </c>
      <c r="E640" t="s">
        <v>30</v>
      </c>
      <c r="F640" t="s">
        <v>14</v>
      </c>
      <c r="G640">
        <v>23.93</v>
      </c>
      <c r="H640" t="s">
        <v>15</v>
      </c>
      <c r="I640" t="s">
        <v>47</v>
      </c>
      <c r="J640" t="s">
        <v>31</v>
      </c>
    </row>
    <row r="641" spans="1:10" x14ac:dyDescent="0.35">
      <c r="A641" t="s">
        <v>812</v>
      </c>
      <c r="B641" s="1">
        <v>45775</v>
      </c>
      <c r="C641" t="s">
        <v>43</v>
      </c>
      <c r="D641" t="s">
        <v>12</v>
      </c>
      <c r="E641" t="s">
        <v>26</v>
      </c>
      <c r="F641" t="s">
        <v>14</v>
      </c>
      <c r="G641">
        <v>113.78</v>
      </c>
      <c r="H641" t="s">
        <v>98</v>
      </c>
      <c r="I641" t="s">
        <v>22</v>
      </c>
      <c r="J641" t="s">
        <v>44</v>
      </c>
    </row>
    <row r="642" spans="1:10" x14ac:dyDescent="0.35">
      <c r="A642" t="s">
        <v>813</v>
      </c>
      <c r="B642" s="1">
        <v>45775</v>
      </c>
      <c r="C642" t="s">
        <v>135</v>
      </c>
      <c r="D642" t="s">
        <v>101</v>
      </c>
      <c r="E642" t="s">
        <v>102</v>
      </c>
      <c r="F642" t="s">
        <v>14</v>
      </c>
      <c r="G642">
        <v>28.3</v>
      </c>
      <c r="H642" t="s">
        <v>21</v>
      </c>
      <c r="I642" t="s">
        <v>84</v>
      </c>
      <c r="J642" t="s">
        <v>136</v>
      </c>
    </row>
    <row r="643" spans="1:10" x14ac:dyDescent="0.35">
      <c r="A643" t="s">
        <v>814</v>
      </c>
      <c r="B643" s="1">
        <v>45776</v>
      </c>
      <c r="C643" t="s">
        <v>184</v>
      </c>
      <c r="D643" t="s">
        <v>59</v>
      </c>
      <c r="E643" t="s">
        <v>185</v>
      </c>
      <c r="F643" t="s">
        <v>14</v>
      </c>
      <c r="G643">
        <v>275.64999999999998</v>
      </c>
      <c r="H643" t="s">
        <v>15</v>
      </c>
      <c r="I643" t="s">
        <v>22</v>
      </c>
      <c r="J643" t="s">
        <v>61</v>
      </c>
    </row>
    <row r="644" spans="1:10" x14ac:dyDescent="0.35">
      <c r="A644" t="s">
        <v>815</v>
      </c>
      <c r="B644" s="1">
        <v>45776</v>
      </c>
      <c r="C644" t="s">
        <v>179</v>
      </c>
      <c r="D644" t="s">
        <v>80</v>
      </c>
      <c r="E644" t="s">
        <v>117</v>
      </c>
      <c r="F644" t="s">
        <v>14</v>
      </c>
      <c r="G644">
        <v>98.5</v>
      </c>
      <c r="H644" t="s">
        <v>98</v>
      </c>
      <c r="I644" t="s">
        <v>22</v>
      </c>
      <c r="J644" t="s">
        <v>180</v>
      </c>
    </row>
    <row r="645" spans="1:10" x14ac:dyDescent="0.35">
      <c r="A645" t="s">
        <v>816</v>
      </c>
      <c r="B645" s="1">
        <v>45776</v>
      </c>
      <c r="C645" t="s">
        <v>331</v>
      </c>
      <c r="D645" t="s">
        <v>29</v>
      </c>
      <c r="E645" t="s">
        <v>95</v>
      </c>
      <c r="F645" t="s">
        <v>14</v>
      </c>
      <c r="G645">
        <v>33.119999999999997</v>
      </c>
      <c r="H645" t="s">
        <v>15</v>
      </c>
      <c r="I645" t="s">
        <v>36</v>
      </c>
      <c r="J645" t="s">
        <v>151</v>
      </c>
    </row>
    <row r="646" spans="1:10" x14ac:dyDescent="0.35">
      <c r="A646" t="s">
        <v>817</v>
      </c>
      <c r="B646" s="1">
        <v>45776</v>
      </c>
      <c r="C646" t="s">
        <v>109</v>
      </c>
      <c r="D646" t="s">
        <v>34</v>
      </c>
      <c r="E646" t="s">
        <v>35</v>
      </c>
      <c r="F646" t="s">
        <v>14</v>
      </c>
      <c r="G646">
        <v>61.44</v>
      </c>
      <c r="H646" t="s">
        <v>15</v>
      </c>
      <c r="I646" t="s">
        <v>22</v>
      </c>
      <c r="J646" t="s">
        <v>41</v>
      </c>
    </row>
    <row r="647" spans="1:10" x14ac:dyDescent="0.35">
      <c r="A647" t="s">
        <v>818</v>
      </c>
      <c r="B647" s="1">
        <v>45776</v>
      </c>
      <c r="C647" t="s">
        <v>135</v>
      </c>
      <c r="D647" t="s">
        <v>101</v>
      </c>
      <c r="E647" t="s">
        <v>102</v>
      </c>
      <c r="F647" t="s">
        <v>14</v>
      </c>
      <c r="G647">
        <v>56.76</v>
      </c>
      <c r="H647" t="s">
        <v>21</v>
      </c>
      <c r="I647" t="s">
        <v>22</v>
      </c>
      <c r="J647" t="s">
        <v>136</v>
      </c>
    </row>
    <row r="648" spans="1:10" x14ac:dyDescent="0.35">
      <c r="A648" t="s">
        <v>819</v>
      </c>
      <c r="B648" s="1">
        <v>45777</v>
      </c>
      <c r="C648" t="s">
        <v>163</v>
      </c>
      <c r="D648" t="s">
        <v>80</v>
      </c>
      <c r="E648" t="s">
        <v>92</v>
      </c>
      <c r="F648" t="s">
        <v>14</v>
      </c>
      <c r="G648">
        <v>28.93</v>
      </c>
      <c r="H648" t="s">
        <v>21</v>
      </c>
      <c r="I648" t="s">
        <v>22</v>
      </c>
      <c r="J648" t="s">
        <v>118</v>
      </c>
    </row>
    <row r="649" spans="1:10" x14ac:dyDescent="0.35">
      <c r="A649" t="s">
        <v>820</v>
      </c>
      <c r="B649" s="1">
        <v>45777</v>
      </c>
      <c r="C649" t="s">
        <v>43</v>
      </c>
      <c r="D649" t="s">
        <v>12</v>
      </c>
      <c r="E649" t="s">
        <v>26</v>
      </c>
      <c r="F649" t="s">
        <v>14</v>
      </c>
      <c r="G649">
        <v>35.340000000000003</v>
      </c>
      <c r="H649" t="s">
        <v>15</v>
      </c>
      <c r="I649" t="s">
        <v>36</v>
      </c>
      <c r="J649" t="s">
        <v>821</v>
      </c>
    </row>
    <row r="650" spans="1:10" x14ac:dyDescent="0.35">
      <c r="A650" t="s">
        <v>822</v>
      </c>
      <c r="B650" s="1">
        <v>45777</v>
      </c>
      <c r="C650" t="s">
        <v>168</v>
      </c>
      <c r="D650" t="s">
        <v>59</v>
      </c>
      <c r="E650" t="s">
        <v>60</v>
      </c>
      <c r="F650" t="s">
        <v>14</v>
      </c>
      <c r="G650">
        <v>498.44</v>
      </c>
      <c r="H650" t="s">
        <v>21</v>
      </c>
      <c r="I650" t="s">
        <v>22</v>
      </c>
      <c r="J650" t="s">
        <v>170</v>
      </c>
    </row>
    <row r="651" spans="1:10" x14ac:dyDescent="0.35">
      <c r="A651" t="s">
        <v>823</v>
      </c>
      <c r="B651" s="1">
        <v>45777</v>
      </c>
      <c r="C651" t="s">
        <v>824</v>
      </c>
      <c r="D651" t="s">
        <v>69</v>
      </c>
      <c r="E651" t="s">
        <v>233</v>
      </c>
      <c r="F651" t="s">
        <v>14</v>
      </c>
      <c r="G651">
        <v>445.09</v>
      </c>
      <c r="H651" t="s">
        <v>15</v>
      </c>
      <c r="I651" t="s">
        <v>16</v>
      </c>
      <c r="J651" t="s">
        <v>133</v>
      </c>
    </row>
    <row r="652" spans="1:10" x14ac:dyDescent="0.35">
      <c r="A652" t="s">
        <v>825</v>
      </c>
      <c r="B652" s="1">
        <v>45777</v>
      </c>
      <c r="C652" t="s">
        <v>204</v>
      </c>
      <c r="D652" t="s">
        <v>12</v>
      </c>
      <c r="E652" t="s">
        <v>51</v>
      </c>
      <c r="F652" t="s">
        <v>14</v>
      </c>
      <c r="G652">
        <v>72.55</v>
      </c>
      <c r="H652" t="s">
        <v>15</v>
      </c>
      <c r="I652" t="s">
        <v>36</v>
      </c>
      <c r="J652" t="s">
        <v>23</v>
      </c>
    </row>
    <row r="653" spans="1:10" x14ac:dyDescent="0.35">
      <c r="A653" t="s">
        <v>826</v>
      </c>
      <c r="B653" s="1">
        <v>45778</v>
      </c>
      <c r="C653" t="s">
        <v>256</v>
      </c>
      <c r="D653" t="s">
        <v>34</v>
      </c>
      <c r="E653" t="s">
        <v>40</v>
      </c>
      <c r="F653" t="s">
        <v>14</v>
      </c>
      <c r="G653">
        <v>120.29</v>
      </c>
      <c r="H653" t="s">
        <v>21</v>
      </c>
      <c r="I653" t="s">
        <v>36</v>
      </c>
      <c r="J653" t="s">
        <v>239</v>
      </c>
    </row>
    <row r="654" spans="1:10" x14ac:dyDescent="0.35">
      <c r="A654" t="s">
        <v>827</v>
      </c>
      <c r="B654" s="1">
        <v>45778</v>
      </c>
      <c r="C654" t="s">
        <v>350</v>
      </c>
      <c r="D654" t="s">
        <v>29</v>
      </c>
      <c r="E654" t="s">
        <v>151</v>
      </c>
      <c r="F654" t="s">
        <v>14</v>
      </c>
      <c r="G654">
        <v>28.7</v>
      </c>
      <c r="H654" t="s">
        <v>21</v>
      </c>
      <c r="I654" t="s">
        <v>22</v>
      </c>
      <c r="J654" t="s">
        <v>158</v>
      </c>
    </row>
    <row r="655" spans="1:10" x14ac:dyDescent="0.35">
      <c r="A655" t="s">
        <v>828</v>
      </c>
      <c r="B655" s="1">
        <v>45778</v>
      </c>
      <c r="C655" t="s">
        <v>140</v>
      </c>
      <c r="D655" t="s">
        <v>80</v>
      </c>
      <c r="E655" t="s">
        <v>81</v>
      </c>
      <c r="F655" t="s">
        <v>14</v>
      </c>
      <c r="G655">
        <v>88.82</v>
      </c>
      <c r="H655" t="s">
        <v>21</v>
      </c>
      <c r="I655" t="s">
        <v>22</v>
      </c>
      <c r="J655" t="s">
        <v>141</v>
      </c>
    </row>
    <row r="656" spans="1:10" x14ac:dyDescent="0.35">
      <c r="A656" t="s">
        <v>829</v>
      </c>
      <c r="B656" s="1">
        <v>45778</v>
      </c>
      <c r="C656" t="s">
        <v>79</v>
      </c>
      <c r="D656" t="s">
        <v>80</v>
      </c>
      <c r="E656" t="s">
        <v>81</v>
      </c>
      <c r="F656" t="s">
        <v>14</v>
      </c>
      <c r="G656">
        <v>122.66</v>
      </c>
      <c r="H656" t="s">
        <v>21</v>
      </c>
      <c r="I656" t="s">
        <v>84</v>
      </c>
      <c r="J656" t="s">
        <v>82</v>
      </c>
    </row>
    <row r="657" spans="1:10" x14ac:dyDescent="0.35">
      <c r="A657" t="s">
        <v>830</v>
      </c>
      <c r="B657" s="1">
        <v>45778</v>
      </c>
      <c r="C657" t="s">
        <v>298</v>
      </c>
      <c r="D657" t="s">
        <v>59</v>
      </c>
      <c r="E657" t="s">
        <v>185</v>
      </c>
      <c r="F657" t="s">
        <v>14</v>
      </c>
      <c r="G657">
        <v>115</v>
      </c>
      <c r="H657" t="s">
        <v>15</v>
      </c>
      <c r="I657" t="s">
        <v>36</v>
      </c>
      <c r="J657" t="s">
        <v>170</v>
      </c>
    </row>
    <row r="658" spans="1:10" x14ac:dyDescent="0.35">
      <c r="A658" t="s">
        <v>831</v>
      </c>
      <c r="B658" s="1">
        <v>45778</v>
      </c>
      <c r="C658" t="s">
        <v>395</v>
      </c>
      <c r="D658" t="s">
        <v>69</v>
      </c>
      <c r="E658" t="s">
        <v>291</v>
      </c>
      <c r="F658" t="s">
        <v>14</v>
      </c>
      <c r="G658">
        <v>187.06</v>
      </c>
      <c r="H658" t="s">
        <v>21</v>
      </c>
      <c r="I658" t="s">
        <v>22</v>
      </c>
      <c r="J658" t="s">
        <v>396</v>
      </c>
    </row>
    <row r="659" spans="1:10" x14ac:dyDescent="0.35">
      <c r="A659" t="s">
        <v>832</v>
      </c>
      <c r="B659" s="1">
        <v>45778</v>
      </c>
      <c r="C659" t="s">
        <v>347</v>
      </c>
      <c r="D659" t="s">
        <v>29</v>
      </c>
      <c r="E659" t="s">
        <v>151</v>
      </c>
      <c r="F659" t="s">
        <v>14</v>
      </c>
      <c r="G659">
        <v>15.74</v>
      </c>
      <c r="H659" t="s">
        <v>15</v>
      </c>
      <c r="I659" t="s">
        <v>22</v>
      </c>
      <c r="J659" t="s">
        <v>96</v>
      </c>
    </row>
    <row r="660" spans="1:10" x14ac:dyDescent="0.35">
      <c r="A660" t="s">
        <v>833</v>
      </c>
      <c r="B660" s="1">
        <v>45778</v>
      </c>
      <c r="C660" t="s">
        <v>347</v>
      </c>
      <c r="D660" t="s">
        <v>29</v>
      </c>
      <c r="E660" t="s">
        <v>151</v>
      </c>
      <c r="F660" t="s">
        <v>14</v>
      </c>
      <c r="G660">
        <v>8.33</v>
      </c>
      <c r="H660" t="s">
        <v>21</v>
      </c>
      <c r="I660" t="s">
        <v>22</v>
      </c>
      <c r="J660" t="s">
        <v>96</v>
      </c>
    </row>
    <row r="661" spans="1:10" x14ac:dyDescent="0.35">
      <c r="A661" t="s">
        <v>834</v>
      </c>
      <c r="B661" s="1">
        <v>45778</v>
      </c>
      <c r="C661" t="s">
        <v>395</v>
      </c>
      <c r="D661" t="s">
        <v>69</v>
      </c>
      <c r="E661" t="s">
        <v>291</v>
      </c>
      <c r="F661" t="s">
        <v>14</v>
      </c>
      <c r="G661">
        <v>449.31</v>
      </c>
      <c r="H661" t="s">
        <v>98</v>
      </c>
      <c r="I661" t="s">
        <v>36</v>
      </c>
      <c r="J661" t="s">
        <v>396</v>
      </c>
    </row>
    <row r="662" spans="1:10" x14ac:dyDescent="0.35">
      <c r="A662" t="s">
        <v>835</v>
      </c>
      <c r="B662" s="1">
        <v>45778</v>
      </c>
      <c r="C662" t="s">
        <v>100</v>
      </c>
      <c r="D662" t="s">
        <v>101</v>
      </c>
      <c r="E662" t="s">
        <v>102</v>
      </c>
      <c r="F662" t="s">
        <v>14</v>
      </c>
      <c r="G662">
        <v>45.68</v>
      </c>
      <c r="H662" t="s">
        <v>21</v>
      </c>
      <c r="I662" t="s">
        <v>47</v>
      </c>
      <c r="J662" t="s">
        <v>836</v>
      </c>
    </row>
    <row r="663" spans="1:10" x14ac:dyDescent="0.35">
      <c r="A663" t="s">
        <v>837</v>
      </c>
      <c r="B663" s="1">
        <v>45779</v>
      </c>
      <c r="C663" t="s">
        <v>177</v>
      </c>
      <c r="D663" t="s">
        <v>54</v>
      </c>
      <c r="E663" t="s">
        <v>74</v>
      </c>
      <c r="F663" t="s">
        <v>54</v>
      </c>
      <c r="G663">
        <v>2776.98</v>
      </c>
      <c r="H663" t="s">
        <v>21</v>
      </c>
      <c r="I663" t="s">
        <v>22</v>
      </c>
      <c r="J663" t="s">
        <v>56</v>
      </c>
    </row>
    <row r="664" spans="1:10" x14ac:dyDescent="0.35">
      <c r="A664" t="s">
        <v>838</v>
      </c>
      <c r="B664" s="1">
        <v>45779</v>
      </c>
      <c r="C664" t="s">
        <v>53</v>
      </c>
      <c r="D664" t="s">
        <v>54</v>
      </c>
      <c r="E664" t="s">
        <v>55</v>
      </c>
      <c r="F664" t="s">
        <v>54</v>
      </c>
      <c r="G664">
        <v>569.38</v>
      </c>
      <c r="H664" t="s">
        <v>15</v>
      </c>
      <c r="I664" t="s">
        <v>16</v>
      </c>
      <c r="J664" t="s">
        <v>56</v>
      </c>
    </row>
    <row r="665" spans="1:10" x14ac:dyDescent="0.35">
      <c r="A665" t="s">
        <v>839</v>
      </c>
      <c r="B665" s="1">
        <v>45779</v>
      </c>
      <c r="C665" t="s">
        <v>175</v>
      </c>
      <c r="D665" t="s">
        <v>80</v>
      </c>
      <c r="E665" t="s">
        <v>92</v>
      </c>
      <c r="F665" t="s">
        <v>14</v>
      </c>
      <c r="G665">
        <v>42.22</v>
      </c>
      <c r="H665" t="s">
        <v>21</v>
      </c>
      <c r="I665" t="s">
        <v>22</v>
      </c>
      <c r="J665" t="s">
        <v>141</v>
      </c>
    </row>
    <row r="666" spans="1:10" x14ac:dyDescent="0.35">
      <c r="A666" t="s">
        <v>840</v>
      </c>
      <c r="B666" s="1">
        <v>45780</v>
      </c>
      <c r="C666" t="s">
        <v>73</v>
      </c>
      <c r="D666" t="s">
        <v>54</v>
      </c>
      <c r="E666" t="s">
        <v>74</v>
      </c>
      <c r="F666" t="s">
        <v>54</v>
      </c>
      <c r="G666">
        <v>2603.9</v>
      </c>
      <c r="H666" t="s">
        <v>15</v>
      </c>
      <c r="I666" t="s">
        <v>36</v>
      </c>
      <c r="J666" t="s">
        <v>65</v>
      </c>
    </row>
    <row r="667" spans="1:10" x14ac:dyDescent="0.35">
      <c r="A667" t="s">
        <v>841</v>
      </c>
      <c r="B667" s="1">
        <v>45780</v>
      </c>
      <c r="C667" t="s">
        <v>143</v>
      </c>
      <c r="D667" t="s">
        <v>54</v>
      </c>
      <c r="E667" t="s">
        <v>55</v>
      </c>
      <c r="F667" t="s">
        <v>54</v>
      </c>
      <c r="G667">
        <v>626.44000000000005</v>
      </c>
      <c r="H667" t="s">
        <v>15</v>
      </c>
      <c r="I667" t="s">
        <v>22</v>
      </c>
      <c r="J667" t="s">
        <v>89</v>
      </c>
    </row>
    <row r="668" spans="1:10" x14ac:dyDescent="0.35">
      <c r="A668" t="s">
        <v>842</v>
      </c>
      <c r="B668" s="1">
        <v>45780</v>
      </c>
      <c r="C668" t="s">
        <v>227</v>
      </c>
      <c r="D668" t="s">
        <v>12</v>
      </c>
      <c r="E668" t="s">
        <v>51</v>
      </c>
      <c r="F668" t="s">
        <v>14</v>
      </c>
      <c r="G668">
        <v>65.040000000000006</v>
      </c>
      <c r="H668" t="s">
        <v>15</v>
      </c>
      <c r="I668" t="s">
        <v>47</v>
      </c>
      <c r="J668" t="s">
        <v>17</v>
      </c>
    </row>
    <row r="669" spans="1:10" x14ac:dyDescent="0.35">
      <c r="A669" t="s">
        <v>843</v>
      </c>
      <c r="B669" s="1">
        <v>45780</v>
      </c>
      <c r="C669" t="s">
        <v>25</v>
      </c>
      <c r="D669" t="s">
        <v>12</v>
      </c>
      <c r="E669" t="s">
        <v>26</v>
      </c>
      <c r="F669" t="s">
        <v>14</v>
      </c>
      <c r="G669">
        <v>22.54</v>
      </c>
      <c r="H669" t="s">
        <v>98</v>
      </c>
      <c r="I669" t="s">
        <v>16</v>
      </c>
      <c r="J669" t="s">
        <v>17</v>
      </c>
    </row>
    <row r="670" spans="1:10" x14ac:dyDescent="0.35">
      <c r="A670" t="s">
        <v>844</v>
      </c>
      <c r="B670" s="1">
        <v>45780</v>
      </c>
      <c r="C670" t="s">
        <v>580</v>
      </c>
      <c r="D670" t="s">
        <v>80</v>
      </c>
      <c r="E670" t="s">
        <v>81</v>
      </c>
      <c r="F670" t="s">
        <v>14</v>
      </c>
      <c r="G670">
        <v>112.77</v>
      </c>
      <c r="H670" t="s">
        <v>98</v>
      </c>
      <c r="I670" t="s">
        <v>22</v>
      </c>
      <c r="J670" t="s">
        <v>118</v>
      </c>
    </row>
    <row r="671" spans="1:10" x14ac:dyDescent="0.35">
      <c r="A671" t="s">
        <v>845</v>
      </c>
      <c r="B671" s="1">
        <v>45780</v>
      </c>
      <c r="C671" t="s">
        <v>256</v>
      </c>
      <c r="D671" t="s">
        <v>34</v>
      </c>
      <c r="E671" t="s">
        <v>40</v>
      </c>
      <c r="F671" t="s">
        <v>14</v>
      </c>
      <c r="G671">
        <v>57.64</v>
      </c>
      <c r="H671" t="s">
        <v>21</v>
      </c>
      <c r="I671" t="s">
        <v>22</v>
      </c>
      <c r="J671" t="s">
        <v>239</v>
      </c>
    </row>
    <row r="672" spans="1:10" x14ac:dyDescent="0.35">
      <c r="A672" t="s">
        <v>846</v>
      </c>
      <c r="B672" s="1">
        <v>45780</v>
      </c>
      <c r="C672" t="s">
        <v>132</v>
      </c>
      <c r="D672" t="s">
        <v>69</v>
      </c>
      <c r="E672" t="s">
        <v>70</v>
      </c>
      <c r="F672" t="s">
        <v>14</v>
      </c>
      <c r="G672">
        <v>396.03</v>
      </c>
      <c r="H672" t="s">
        <v>21</v>
      </c>
      <c r="I672" t="s">
        <v>47</v>
      </c>
      <c r="J672" t="s">
        <v>133</v>
      </c>
    </row>
    <row r="673" spans="1:10" x14ac:dyDescent="0.35">
      <c r="A673" t="s">
        <v>847</v>
      </c>
      <c r="B673" s="1">
        <v>45780</v>
      </c>
      <c r="C673" t="s">
        <v>424</v>
      </c>
      <c r="D673" t="s">
        <v>101</v>
      </c>
      <c r="E673" t="s">
        <v>136</v>
      </c>
      <c r="F673" t="s">
        <v>14</v>
      </c>
      <c r="G673">
        <v>84.7</v>
      </c>
      <c r="H673" t="s">
        <v>21</v>
      </c>
      <c r="I673" t="s">
        <v>16</v>
      </c>
      <c r="J673" t="s">
        <v>102</v>
      </c>
    </row>
    <row r="674" spans="1:10" x14ac:dyDescent="0.35">
      <c r="A674" t="s">
        <v>848</v>
      </c>
      <c r="B674" s="1">
        <v>45781</v>
      </c>
      <c r="C674" t="s">
        <v>308</v>
      </c>
      <c r="D674" t="s">
        <v>54</v>
      </c>
      <c r="E674" t="s">
        <v>64</v>
      </c>
      <c r="F674" t="s">
        <v>54</v>
      </c>
      <c r="G674">
        <v>331.52</v>
      </c>
      <c r="H674" t="s">
        <v>15</v>
      </c>
      <c r="I674" t="s">
        <v>22</v>
      </c>
      <c r="J674" t="s">
        <v>89</v>
      </c>
    </row>
    <row r="675" spans="1:10" x14ac:dyDescent="0.35">
      <c r="A675" t="s">
        <v>849</v>
      </c>
      <c r="B675" s="1">
        <v>45781</v>
      </c>
      <c r="C675" t="s">
        <v>324</v>
      </c>
      <c r="D675" t="s">
        <v>80</v>
      </c>
      <c r="E675" t="s">
        <v>92</v>
      </c>
      <c r="F675" t="s">
        <v>14</v>
      </c>
      <c r="G675">
        <v>77.930000000000007</v>
      </c>
      <c r="H675" t="s">
        <v>15</v>
      </c>
      <c r="I675" t="s">
        <v>36</v>
      </c>
      <c r="J675" t="s">
        <v>161</v>
      </c>
    </row>
    <row r="676" spans="1:10" x14ac:dyDescent="0.35">
      <c r="A676" t="s">
        <v>850</v>
      </c>
      <c r="B676" s="1">
        <v>45781</v>
      </c>
      <c r="C676" t="s">
        <v>113</v>
      </c>
      <c r="D676" t="s">
        <v>34</v>
      </c>
      <c r="E676" t="s">
        <v>40</v>
      </c>
      <c r="F676" t="s">
        <v>14</v>
      </c>
      <c r="G676">
        <v>162.53</v>
      </c>
      <c r="H676" t="s">
        <v>15</v>
      </c>
      <c r="I676" t="s">
        <v>47</v>
      </c>
      <c r="J676" t="s">
        <v>37</v>
      </c>
    </row>
    <row r="677" spans="1:10" x14ac:dyDescent="0.35">
      <c r="A677" t="s">
        <v>851</v>
      </c>
      <c r="B677" s="1">
        <v>45781</v>
      </c>
      <c r="C677" t="s">
        <v>345</v>
      </c>
      <c r="D677" t="s">
        <v>59</v>
      </c>
      <c r="E677" t="s">
        <v>60</v>
      </c>
      <c r="F677" t="s">
        <v>14</v>
      </c>
      <c r="G677">
        <v>219.18</v>
      </c>
      <c r="H677" t="s">
        <v>98</v>
      </c>
      <c r="I677" t="s">
        <v>16</v>
      </c>
      <c r="J677" t="s">
        <v>211</v>
      </c>
    </row>
    <row r="678" spans="1:10" x14ac:dyDescent="0.35">
      <c r="A678" t="s">
        <v>852</v>
      </c>
      <c r="B678" s="1">
        <v>45782</v>
      </c>
      <c r="C678" t="s">
        <v>50</v>
      </c>
      <c r="D678" t="s">
        <v>12</v>
      </c>
      <c r="E678" t="s">
        <v>51</v>
      </c>
      <c r="F678" t="s">
        <v>14</v>
      </c>
      <c r="G678">
        <v>37.69</v>
      </c>
      <c r="H678" t="s">
        <v>15</v>
      </c>
      <c r="I678" t="s">
        <v>36</v>
      </c>
      <c r="J678" t="s">
        <v>44</v>
      </c>
    </row>
    <row r="679" spans="1:10" x14ac:dyDescent="0.35">
      <c r="A679" t="s">
        <v>853</v>
      </c>
      <c r="B679" s="1">
        <v>45782</v>
      </c>
      <c r="C679" t="s">
        <v>204</v>
      </c>
      <c r="D679" t="s">
        <v>12</v>
      </c>
      <c r="E679" t="s">
        <v>51</v>
      </c>
      <c r="F679" t="s">
        <v>14</v>
      </c>
      <c r="G679">
        <v>43.97</v>
      </c>
      <c r="H679" t="s">
        <v>15</v>
      </c>
      <c r="I679" t="s">
        <v>47</v>
      </c>
      <c r="J679" t="s">
        <v>23</v>
      </c>
    </row>
    <row r="680" spans="1:10" x14ac:dyDescent="0.35">
      <c r="A680" t="s">
        <v>854</v>
      </c>
      <c r="B680" s="1">
        <v>45782</v>
      </c>
      <c r="C680" t="s">
        <v>259</v>
      </c>
      <c r="D680" t="s">
        <v>59</v>
      </c>
      <c r="E680" t="s">
        <v>199</v>
      </c>
      <c r="F680" t="s">
        <v>14</v>
      </c>
      <c r="G680">
        <v>712.03</v>
      </c>
      <c r="H680" t="s">
        <v>15</v>
      </c>
      <c r="I680" t="s">
        <v>47</v>
      </c>
      <c r="J680" t="s">
        <v>170</v>
      </c>
    </row>
    <row r="681" spans="1:10" x14ac:dyDescent="0.35">
      <c r="A681" t="s">
        <v>855</v>
      </c>
      <c r="B681" s="1">
        <v>45782</v>
      </c>
      <c r="C681" t="s">
        <v>113</v>
      </c>
      <c r="D681" t="s">
        <v>34</v>
      </c>
      <c r="E681" t="s">
        <v>40</v>
      </c>
      <c r="F681" t="s">
        <v>14</v>
      </c>
      <c r="G681">
        <v>86.17</v>
      </c>
      <c r="H681" t="s">
        <v>15</v>
      </c>
      <c r="I681" t="s">
        <v>16</v>
      </c>
      <c r="J681" t="s">
        <v>37</v>
      </c>
    </row>
    <row r="682" spans="1:10" x14ac:dyDescent="0.35">
      <c r="A682" t="s">
        <v>856</v>
      </c>
      <c r="B682" s="1">
        <v>45782</v>
      </c>
      <c r="C682" t="s">
        <v>229</v>
      </c>
      <c r="D682" t="s">
        <v>54</v>
      </c>
      <c r="E682" t="s">
        <v>64</v>
      </c>
      <c r="F682" t="s">
        <v>54</v>
      </c>
      <c r="G682">
        <v>340.63</v>
      </c>
      <c r="H682" t="s">
        <v>21</v>
      </c>
      <c r="I682" t="s">
        <v>22</v>
      </c>
      <c r="J682" t="s">
        <v>56</v>
      </c>
    </row>
    <row r="683" spans="1:10" x14ac:dyDescent="0.35">
      <c r="A683" t="s">
        <v>857</v>
      </c>
      <c r="B683" s="1">
        <v>45783</v>
      </c>
      <c r="C683" t="s">
        <v>160</v>
      </c>
      <c r="D683" t="s">
        <v>80</v>
      </c>
      <c r="E683" t="s">
        <v>117</v>
      </c>
      <c r="F683" t="s">
        <v>14</v>
      </c>
      <c r="G683">
        <v>16.12</v>
      </c>
      <c r="H683" t="s">
        <v>15</v>
      </c>
      <c r="I683" t="s">
        <v>47</v>
      </c>
      <c r="J683" t="s">
        <v>161</v>
      </c>
    </row>
    <row r="684" spans="1:10" x14ac:dyDescent="0.35">
      <c r="A684" t="s">
        <v>858</v>
      </c>
      <c r="B684" s="1">
        <v>45783</v>
      </c>
      <c r="C684" t="s">
        <v>11</v>
      </c>
      <c r="D684" t="s">
        <v>12</v>
      </c>
      <c r="E684" t="s">
        <v>13</v>
      </c>
      <c r="F684" t="s">
        <v>14</v>
      </c>
      <c r="G684">
        <v>36.96</v>
      </c>
      <c r="H684" t="s">
        <v>21</v>
      </c>
      <c r="I684" t="s">
        <v>36</v>
      </c>
      <c r="J684" t="s">
        <v>17</v>
      </c>
    </row>
    <row r="685" spans="1:10" x14ac:dyDescent="0.35">
      <c r="A685" t="s">
        <v>859</v>
      </c>
      <c r="B685" s="1">
        <v>45783</v>
      </c>
      <c r="C685" t="s">
        <v>347</v>
      </c>
      <c r="D685" t="s">
        <v>29</v>
      </c>
      <c r="E685" t="s">
        <v>151</v>
      </c>
      <c r="F685" t="s">
        <v>14</v>
      </c>
      <c r="G685">
        <v>46.3</v>
      </c>
      <c r="H685" t="s">
        <v>15</v>
      </c>
      <c r="I685" t="s">
        <v>16</v>
      </c>
      <c r="J685" t="s">
        <v>96</v>
      </c>
    </row>
    <row r="686" spans="1:10" x14ac:dyDescent="0.35">
      <c r="A686" t="s">
        <v>860</v>
      </c>
      <c r="B686" s="1">
        <v>45783</v>
      </c>
      <c r="C686" t="s">
        <v>140</v>
      </c>
      <c r="D686" t="s">
        <v>80</v>
      </c>
      <c r="E686" t="s">
        <v>81</v>
      </c>
      <c r="F686" t="s">
        <v>14</v>
      </c>
      <c r="G686">
        <v>162.21</v>
      </c>
      <c r="H686" t="s">
        <v>21</v>
      </c>
      <c r="I686" t="s">
        <v>16</v>
      </c>
      <c r="J686" t="s">
        <v>141</v>
      </c>
    </row>
    <row r="687" spans="1:10" x14ac:dyDescent="0.35">
      <c r="A687" t="s">
        <v>861</v>
      </c>
      <c r="B687" s="1">
        <v>45783</v>
      </c>
      <c r="C687" t="s">
        <v>281</v>
      </c>
      <c r="D687" t="s">
        <v>34</v>
      </c>
      <c r="E687" t="s">
        <v>40</v>
      </c>
      <c r="F687" t="s">
        <v>14</v>
      </c>
      <c r="G687">
        <v>164.14</v>
      </c>
      <c r="H687" t="s">
        <v>15</v>
      </c>
      <c r="I687" t="s">
        <v>16</v>
      </c>
      <c r="J687" t="s">
        <v>123</v>
      </c>
    </row>
    <row r="688" spans="1:10" x14ac:dyDescent="0.35">
      <c r="A688" t="s">
        <v>862</v>
      </c>
      <c r="B688" s="1">
        <v>45783</v>
      </c>
      <c r="C688" t="s">
        <v>350</v>
      </c>
      <c r="D688" t="s">
        <v>29</v>
      </c>
      <c r="E688" t="s">
        <v>151</v>
      </c>
      <c r="F688" t="s">
        <v>14</v>
      </c>
      <c r="G688">
        <v>64.53</v>
      </c>
      <c r="H688" t="s">
        <v>98</v>
      </c>
      <c r="I688" t="s">
        <v>36</v>
      </c>
      <c r="J688" t="s">
        <v>158</v>
      </c>
    </row>
    <row r="689" spans="1:10" x14ac:dyDescent="0.35">
      <c r="A689" t="s">
        <v>863</v>
      </c>
      <c r="B689" s="1">
        <v>45784</v>
      </c>
      <c r="C689" t="s">
        <v>150</v>
      </c>
      <c r="D689" t="s">
        <v>29</v>
      </c>
      <c r="E689" t="s">
        <v>30</v>
      </c>
      <c r="F689" t="s">
        <v>14</v>
      </c>
      <c r="G689">
        <v>17.62</v>
      </c>
      <c r="H689" t="s">
        <v>21</v>
      </c>
      <c r="I689" t="s">
        <v>36</v>
      </c>
      <c r="J689" t="s">
        <v>151</v>
      </c>
    </row>
    <row r="690" spans="1:10" x14ac:dyDescent="0.35">
      <c r="A690" t="s">
        <v>864</v>
      </c>
      <c r="B690" s="1">
        <v>45784</v>
      </c>
      <c r="C690" t="s">
        <v>58</v>
      </c>
      <c r="D690" t="s">
        <v>59</v>
      </c>
      <c r="E690" t="s">
        <v>60</v>
      </c>
      <c r="F690" t="s">
        <v>14</v>
      </c>
      <c r="G690">
        <v>309.55</v>
      </c>
      <c r="H690" t="s">
        <v>21</v>
      </c>
      <c r="I690" t="s">
        <v>22</v>
      </c>
      <c r="J690" t="s">
        <v>61</v>
      </c>
    </row>
    <row r="691" spans="1:10" x14ac:dyDescent="0.35">
      <c r="A691" t="s">
        <v>865</v>
      </c>
      <c r="B691" s="1">
        <v>45784</v>
      </c>
      <c r="C691" t="s">
        <v>350</v>
      </c>
      <c r="D691" t="s">
        <v>29</v>
      </c>
      <c r="E691" t="s">
        <v>151</v>
      </c>
      <c r="F691" t="s">
        <v>14</v>
      </c>
      <c r="G691">
        <v>8.93</v>
      </c>
      <c r="H691" t="s">
        <v>15</v>
      </c>
      <c r="I691" t="s">
        <v>36</v>
      </c>
      <c r="J691" t="s">
        <v>158</v>
      </c>
    </row>
    <row r="692" spans="1:10" x14ac:dyDescent="0.35">
      <c r="A692" t="s">
        <v>866</v>
      </c>
      <c r="B692" s="1">
        <v>45784</v>
      </c>
      <c r="C692" t="s">
        <v>46</v>
      </c>
      <c r="D692" t="s">
        <v>12</v>
      </c>
      <c r="E692" t="s">
        <v>13</v>
      </c>
      <c r="F692" t="s">
        <v>14</v>
      </c>
      <c r="G692">
        <v>24.87</v>
      </c>
      <c r="H692" t="s">
        <v>21</v>
      </c>
      <c r="I692" t="s">
        <v>47</v>
      </c>
      <c r="J692" t="s">
        <v>48</v>
      </c>
    </row>
    <row r="693" spans="1:10" x14ac:dyDescent="0.35">
      <c r="A693" t="s">
        <v>867</v>
      </c>
      <c r="B693" s="1">
        <v>45785</v>
      </c>
      <c r="C693" t="s">
        <v>121</v>
      </c>
      <c r="D693" t="s">
        <v>34</v>
      </c>
      <c r="E693" t="s">
        <v>122</v>
      </c>
      <c r="F693" t="s">
        <v>14</v>
      </c>
      <c r="G693">
        <v>131.88</v>
      </c>
      <c r="H693" t="s">
        <v>21</v>
      </c>
      <c r="I693" t="s">
        <v>22</v>
      </c>
      <c r="J693" t="s">
        <v>123</v>
      </c>
    </row>
    <row r="694" spans="1:10" x14ac:dyDescent="0.35">
      <c r="A694" t="s">
        <v>868</v>
      </c>
      <c r="B694" s="1">
        <v>45785</v>
      </c>
      <c r="C694" t="s">
        <v>157</v>
      </c>
      <c r="D694" t="s">
        <v>29</v>
      </c>
      <c r="E694" t="s">
        <v>95</v>
      </c>
      <c r="F694" t="s">
        <v>14</v>
      </c>
      <c r="G694">
        <v>15.47</v>
      </c>
      <c r="H694" t="s">
        <v>21</v>
      </c>
      <c r="I694" t="s">
        <v>47</v>
      </c>
      <c r="J694" t="s">
        <v>158</v>
      </c>
    </row>
    <row r="695" spans="1:10" x14ac:dyDescent="0.35">
      <c r="A695" t="s">
        <v>869</v>
      </c>
      <c r="B695" s="1">
        <v>45785</v>
      </c>
      <c r="C695" t="s">
        <v>734</v>
      </c>
      <c r="D695" t="s">
        <v>69</v>
      </c>
      <c r="E695" t="s">
        <v>291</v>
      </c>
      <c r="F695" t="s">
        <v>14</v>
      </c>
      <c r="G695">
        <v>558.44000000000005</v>
      </c>
      <c r="H695" t="s">
        <v>15</v>
      </c>
      <c r="I695" t="s">
        <v>22</v>
      </c>
      <c r="J695" t="s">
        <v>71</v>
      </c>
    </row>
    <row r="696" spans="1:10" x14ac:dyDescent="0.35">
      <c r="A696" t="s">
        <v>870</v>
      </c>
      <c r="B696" s="1">
        <v>45785</v>
      </c>
      <c r="C696" t="s">
        <v>229</v>
      </c>
      <c r="D696" t="s">
        <v>54</v>
      </c>
      <c r="E696" t="s">
        <v>64</v>
      </c>
      <c r="F696" t="s">
        <v>54</v>
      </c>
      <c r="G696">
        <v>332.15</v>
      </c>
      <c r="H696" t="s">
        <v>15</v>
      </c>
      <c r="I696" t="s">
        <v>22</v>
      </c>
      <c r="J696" t="s">
        <v>56</v>
      </c>
    </row>
    <row r="697" spans="1:10" x14ac:dyDescent="0.35">
      <c r="A697" t="s">
        <v>871</v>
      </c>
      <c r="B697" s="1">
        <v>45785</v>
      </c>
      <c r="C697" t="s">
        <v>220</v>
      </c>
      <c r="D697" t="s">
        <v>59</v>
      </c>
      <c r="E697" t="s">
        <v>199</v>
      </c>
      <c r="F697" t="s">
        <v>14</v>
      </c>
      <c r="G697">
        <v>199.78</v>
      </c>
      <c r="H697" t="s">
        <v>15</v>
      </c>
      <c r="I697" t="s">
        <v>22</v>
      </c>
      <c r="J697" t="s">
        <v>211</v>
      </c>
    </row>
    <row r="698" spans="1:10" x14ac:dyDescent="0.35">
      <c r="A698" t="s">
        <v>872</v>
      </c>
      <c r="B698" s="1">
        <v>45785</v>
      </c>
      <c r="C698" t="s">
        <v>198</v>
      </c>
      <c r="D698" t="s">
        <v>59</v>
      </c>
      <c r="E698" t="s">
        <v>199</v>
      </c>
      <c r="F698" t="s">
        <v>14</v>
      </c>
      <c r="G698">
        <v>365.73</v>
      </c>
      <c r="H698" t="s">
        <v>21</v>
      </c>
      <c r="I698" t="s">
        <v>36</v>
      </c>
      <c r="J698" t="s">
        <v>61</v>
      </c>
    </row>
    <row r="699" spans="1:10" x14ac:dyDescent="0.35">
      <c r="A699" t="s">
        <v>873</v>
      </c>
      <c r="B699" s="1">
        <v>45786</v>
      </c>
      <c r="C699" t="s">
        <v>256</v>
      </c>
      <c r="D699" t="s">
        <v>34</v>
      </c>
      <c r="E699" t="s">
        <v>40</v>
      </c>
      <c r="F699" t="s">
        <v>14</v>
      </c>
      <c r="G699">
        <v>229.16</v>
      </c>
      <c r="H699" t="s">
        <v>98</v>
      </c>
      <c r="I699" t="s">
        <v>47</v>
      </c>
      <c r="J699" t="s">
        <v>239</v>
      </c>
    </row>
    <row r="700" spans="1:10" x14ac:dyDescent="0.35">
      <c r="A700" t="s">
        <v>874</v>
      </c>
      <c r="B700" s="1">
        <v>45786</v>
      </c>
      <c r="C700" t="s">
        <v>875</v>
      </c>
      <c r="D700" t="s">
        <v>69</v>
      </c>
      <c r="E700" t="s">
        <v>291</v>
      </c>
      <c r="F700" t="s">
        <v>14</v>
      </c>
      <c r="G700">
        <v>374.08</v>
      </c>
      <c r="H700" t="s">
        <v>98</v>
      </c>
      <c r="I700" t="s">
        <v>84</v>
      </c>
      <c r="J700" t="s">
        <v>133</v>
      </c>
    </row>
    <row r="701" spans="1:10" x14ac:dyDescent="0.35">
      <c r="A701" t="s">
        <v>876</v>
      </c>
      <c r="B701" s="1">
        <v>45786</v>
      </c>
      <c r="C701" t="s">
        <v>39</v>
      </c>
      <c r="D701" t="s">
        <v>34</v>
      </c>
      <c r="E701" t="s">
        <v>40</v>
      </c>
      <c r="F701" t="s">
        <v>14</v>
      </c>
      <c r="G701">
        <v>193.33</v>
      </c>
      <c r="H701" t="s">
        <v>98</v>
      </c>
      <c r="I701" t="s">
        <v>47</v>
      </c>
      <c r="J701" t="s">
        <v>41</v>
      </c>
    </row>
    <row r="702" spans="1:10" x14ac:dyDescent="0.35">
      <c r="A702" t="s">
        <v>877</v>
      </c>
      <c r="B702" s="1">
        <v>45786</v>
      </c>
      <c r="C702" t="s">
        <v>168</v>
      </c>
      <c r="D702" t="s">
        <v>59</v>
      </c>
      <c r="E702" t="s">
        <v>60</v>
      </c>
      <c r="F702" t="s">
        <v>14</v>
      </c>
      <c r="G702">
        <v>269.83</v>
      </c>
      <c r="H702" t="s">
        <v>15</v>
      </c>
      <c r="I702" t="s">
        <v>47</v>
      </c>
      <c r="J702" t="s">
        <v>170</v>
      </c>
    </row>
    <row r="703" spans="1:10" x14ac:dyDescent="0.35">
      <c r="A703" t="s">
        <v>878</v>
      </c>
      <c r="B703" s="1">
        <v>45787</v>
      </c>
      <c r="C703" t="s">
        <v>184</v>
      </c>
      <c r="D703" t="s">
        <v>59</v>
      </c>
      <c r="E703" t="s">
        <v>185</v>
      </c>
      <c r="F703" t="s">
        <v>14</v>
      </c>
      <c r="G703">
        <v>376.87</v>
      </c>
      <c r="H703" t="s">
        <v>15</v>
      </c>
      <c r="I703" t="s">
        <v>47</v>
      </c>
      <c r="J703" t="s">
        <v>61</v>
      </c>
    </row>
    <row r="704" spans="1:10" x14ac:dyDescent="0.35">
      <c r="A704" t="s">
        <v>879</v>
      </c>
      <c r="B704" s="1">
        <v>45787</v>
      </c>
      <c r="C704" t="s">
        <v>253</v>
      </c>
      <c r="D704" t="s">
        <v>29</v>
      </c>
      <c r="E704" t="s">
        <v>30</v>
      </c>
      <c r="F704" t="s">
        <v>14</v>
      </c>
      <c r="G704">
        <v>54.17</v>
      </c>
      <c r="H704" t="s">
        <v>21</v>
      </c>
      <c r="I704" t="s">
        <v>22</v>
      </c>
      <c r="J704" t="s">
        <v>158</v>
      </c>
    </row>
    <row r="705" spans="1:10" x14ac:dyDescent="0.35">
      <c r="A705" t="s">
        <v>880</v>
      </c>
      <c r="B705" s="1">
        <v>45787</v>
      </c>
      <c r="C705" t="s">
        <v>411</v>
      </c>
      <c r="D705" t="s">
        <v>29</v>
      </c>
      <c r="E705" t="s">
        <v>151</v>
      </c>
      <c r="F705" t="s">
        <v>14</v>
      </c>
      <c r="G705">
        <v>43.74</v>
      </c>
      <c r="H705" t="s">
        <v>15</v>
      </c>
      <c r="I705" t="s">
        <v>84</v>
      </c>
      <c r="J705" t="s">
        <v>151</v>
      </c>
    </row>
    <row r="706" spans="1:10" x14ac:dyDescent="0.35">
      <c r="A706" t="s">
        <v>881</v>
      </c>
      <c r="B706" s="1">
        <v>45787</v>
      </c>
      <c r="C706" t="s">
        <v>143</v>
      </c>
      <c r="D706" t="s">
        <v>54</v>
      </c>
      <c r="E706" t="s">
        <v>55</v>
      </c>
      <c r="F706" t="s">
        <v>54</v>
      </c>
      <c r="G706">
        <v>802.59</v>
      </c>
      <c r="H706" t="s">
        <v>98</v>
      </c>
      <c r="I706" t="s">
        <v>47</v>
      </c>
      <c r="J706" t="s">
        <v>89</v>
      </c>
    </row>
    <row r="707" spans="1:10" x14ac:dyDescent="0.35">
      <c r="A707" t="s">
        <v>882</v>
      </c>
      <c r="B707" s="1">
        <v>45788</v>
      </c>
      <c r="C707" t="s">
        <v>215</v>
      </c>
      <c r="D707" t="s">
        <v>80</v>
      </c>
      <c r="E707" t="s">
        <v>117</v>
      </c>
      <c r="F707" t="s">
        <v>14</v>
      </c>
      <c r="G707">
        <v>200.7</v>
      </c>
      <c r="H707" t="s">
        <v>21</v>
      </c>
      <c r="I707" t="s">
        <v>22</v>
      </c>
      <c r="J707" t="s">
        <v>141</v>
      </c>
    </row>
    <row r="708" spans="1:10" x14ac:dyDescent="0.35">
      <c r="A708" t="s">
        <v>883</v>
      </c>
      <c r="B708" s="1">
        <v>45788</v>
      </c>
      <c r="C708" t="s">
        <v>177</v>
      </c>
      <c r="D708" t="s">
        <v>54</v>
      </c>
      <c r="E708" t="s">
        <v>74</v>
      </c>
      <c r="F708" t="s">
        <v>54</v>
      </c>
      <c r="G708">
        <v>2451.44</v>
      </c>
      <c r="H708" t="s">
        <v>15</v>
      </c>
      <c r="I708" t="s">
        <v>22</v>
      </c>
      <c r="J708" t="s">
        <v>56</v>
      </c>
    </row>
    <row r="709" spans="1:10" x14ac:dyDescent="0.35">
      <c r="A709" t="s">
        <v>884</v>
      </c>
      <c r="B709" s="1">
        <v>45788</v>
      </c>
      <c r="C709" t="s">
        <v>46</v>
      </c>
      <c r="D709" t="s">
        <v>12</v>
      </c>
      <c r="E709" t="s">
        <v>13</v>
      </c>
      <c r="F709" t="s">
        <v>14</v>
      </c>
      <c r="G709">
        <v>71.02</v>
      </c>
      <c r="H709" t="s">
        <v>98</v>
      </c>
      <c r="I709" t="s">
        <v>22</v>
      </c>
      <c r="J709" t="s">
        <v>48</v>
      </c>
    </row>
    <row r="710" spans="1:10" x14ac:dyDescent="0.35">
      <c r="A710" t="s">
        <v>885</v>
      </c>
      <c r="B710" s="1">
        <v>45789</v>
      </c>
      <c r="C710" t="s">
        <v>298</v>
      </c>
      <c r="D710" t="s">
        <v>59</v>
      </c>
      <c r="E710" t="s">
        <v>185</v>
      </c>
      <c r="F710" t="s">
        <v>14</v>
      </c>
      <c r="G710">
        <v>427.77</v>
      </c>
      <c r="H710" t="s">
        <v>15</v>
      </c>
      <c r="I710" t="s">
        <v>36</v>
      </c>
      <c r="J710" t="s">
        <v>170</v>
      </c>
    </row>
    <row r="711" spans="1:10" x14ac:dyDescent="0.35">
      <c r="A711" t="s">
        <v>886</v>
      </c>
      <c r="B711" s="1">
        <v>45789</v>
      </c>
      <c r="C711" t="s">
        <v>53</v>
      </c>
      <c r="D711" t="s">
        <v>54</v>
      </c>
      <c r="E711" t="s">
        <v>55</v>
      </c>
      <c r="F711" t="s">
        <v>54</v>
      </c>
      <c r="G711">
        <v>848.94</v>
      </c>
      <c r="H711" t="s">
        <v>15</v>
      </c>
      <c r="I711" t="s">
        <v>36</v>
      </c>
      <c r="J711" t="s">
        <v>56</v>
      </c>
    </row>
    <row r="712" spans="1:10" x14ac:dyDescent="0.35">
      <c r="A712" t="s">
        <v>887</v>
      </c>
      <c r="B712" s="1">
        <v>45789</v>
      </c>
      <c r="C712" t="s">
        <v>168</v>
      </c>
      <c r="D712" t="s">
        <v>59</v>
      </c>
      <c r="E712" t="s">
        <v>60</v>
      </c>
      <c r="F712" t="s">
        <v>14</v>
      </c>
      <c r="G712">
        <v>369.66</v>
      </c>
      <c r="H712" t="s">
        <v>15</v>
      </c>
      <c r="I712" t="s">
        <v>36</v>
      </c>
      <c r="J712" t="s">
        <v>170</v>
      </c>
    </row>
    <row r="713" spans="1:10" x14ac:dyDescent="0.35">
      <c r="A713" t="s">
        <v>888</v>
      </c>
      <c r="B713" s="1">
        <v>45789</v>
      </c>
      <c r="C713" t="s">
        <v>256</v>
      </c>
      <c r="D713" t="s">
        <v>34</v>
      </c>
      <c r="E713" t="s">
        <v>40</v>
      </c>
      <c r="F713" t="s">
        <v>14</v>
      </c>
      <c r="G713">
        <v>63.68</v>
      </c>
      <c r="H713" t="s">
        <v>21</v>
      </c>
      <c r="I713" t="s">
        <v>36</v>
      </c>
      <c r="J713" t="s">
        <v>239</v>
      </c>
    </row>
    <row r="714" spans="1:10" x14ac:dyDescent="0.35">
      <c r="A714" t="s">
        <v>889</v>
      </c>
      <c r="B714" s="1">
        <v>45790</v>
      </c>
      <c r="C714" t="s">
        <v>100</v>
      </c>
      <c r="D714" t="s">
        <v>101</v>
      </c>
      <c r="E714" t="s">
        <v>102</v>
      </c>
      <c r="F714" t="s">
        <v>14</v>
      </c>
      <c r="G714">
        <v>35.78</v>
      </c>
      <c r="H714" t="s">
        <v>21</v>
      </c>
      <c r="I714" t="s">
        <v>22</v>
      </c>
      <c r="J714" t="s">
        <v>103</v>
      </c>
    </row>
    <row r="715" spans="1:10" x14ac:dyDescent="0.35">
      <c r="A715" t="s">
        <v>890</v>
      </c>
      <c r="B715" s="1">
        <v>45790</v>
      </c>
      <c r="C715" t="s">
        <v>220</v>
      </c>
      <c r="D715" t="s">
        <v>59</v>
      </c>
      <c r="E715" t="s">
        <v>199</v>
      </c>
      <c r="F715" t="s">
        <v>14</v>
      </c>
      <c r="G715">
        <v>425.41</v>
      </c>
      <c r="H715" t="s">
        <v>15</v>
      </c>
      <c r="I715" t="s">
        <v>36</v>
      </c>
      <c r="J715" t="s">
        <v>211</v>
      </c>
    </row>
    <row r="716" spans="1:10" x14ac:dyDescent="0.35">
      <c r="A716" t="s">
        <v>891</v>
      </c>
      <c r="B716" s="1">
        <v>45790</v>
      </c>
      <c r="C716" t="s">
        <v>109</v>
      </c>
      <c r="D716" t="s">
        <v>34</v>
      </c>
      <c r="E716" t="s">
        <v>35</v>
      </c>
      <c r="F716" t="s">
        <v>14</v>
      </c>
      <c r="G716">
        <v>144.74</v>
      </c>
      <c r="H716" t="s">
        <v>15</v>
      </c>
      <c r="I716" t="s">
        <v>47</v>
      </c>
      <c r="J716" t="s">
        <v>41</v>
      </c>
    </row>
    <row r="717" spans="1:10" x14ac:dyDescent="0.35">
      <c r="A717" t="s">
        <v>892</v>
      </c>
      <c r="B717" s="1">
        <v>45790</v>
      </c>
      <c r="C717" t="s">
        <v>210</v>
      </c>
      <c r="D717" t="s">
        <v>59</v>
      </c>
      <c r="E717" t="s">
        <v>185</v>
      </c>
      <c r="F717" t="s">
        <v>14</v>
      </c>
      <c r="G717">
        <v>451.31</v>
      </c>
      <c r="H717" t="s">
        <v>21</v>
      </c>
      <c r="I717" t="s">
        <v>47</v>
      </c>
      <c r="J717" t="s">
        <v>211</v>
      </c>
    </row>
    <row r="718" spans="1:10" x14ac:dyDescent="0.35">
      <c r="A718" t="s">
        <v>893</v>
      </c>
      <c r="B718" s="1">
        <v>45790</v>
      </c>
      <c r="C718" t="s">
        <v>411</v>
      </c>
      <c r="D718" t="s">
        <v>29</v>
      </c>
      <c r="E718" t="s">
        <v>151</v>
      </c>
      <c r="F718" t="s">
        <v>14</v>
      </c>
      <c r="G718">
        <v>79.790000000000006</v>
      </c>
      <c r="H718" t="s">
        <v>21</v>
      </c>
      <c r="I718" t="s">
        <v>36</v>
      </c>
      <c r="J718" t="s">
        <v>151</v>
      </c>
    </row>
    <row r="719" spans="1:10" x14ac:dyDescent="0.35">
      <c r="A719" t="s">
        <v>894</v>
      </c>
      <c r="B719" s="1">
        <v>45790</v>
      </c>
      <c r="C719" t="s">
        <v>63</v>
      </c>
      <c r="D719" t="s">
        <v>54</v>
      </c>
      <c r="E719" t="s">
        <v>64</v>
      </c>
      <c r="F719" t="s">
        <v>54</v>
      </c>
      <c r="G719">
        <v>376.69</v>
      </c>
      <c r="H719" t="s">
        <v>15</v>
      </c>
      <c r="I719" t="s">
        <v>22</v>
      </c>
      <c r="J719" t="s">
        <v>65</v>
      </c>
    </row>
    <row r="720" spans="1:10" x14ac:dyDescent="0.35">
      <c r="A720" t="s">
        <v>895</v>
      </c>
      <c r="B720" s="1">
        <v>45790</v>
      </c>
      <c r="C720" t="s">
        <v>157</v>
      </c>
      <c r="D720" t="s">
        <v>29</v>
      </c>
      <c r="E720" t="s">
        <v>95</v>
      </c>
      <c r="F720" t="s">
        <v>14</v>
      </c>
      <c r="G720">
        <v>19.04</v>
      </c>
      <c r="H720" t="s">
        <v>15</v>
      </c>
      <c r="I720" t="s">
        <v>22</v>
      </c>
      <c r="J720" t="s">
        <v>158</v>
      </c>
    </row>
    <row r="721" spans="1:10" x14ac:dyDescent="0.35">
      <c r="A721" t="s">
        <v>896</v>
      </c>
      <c r="B721" s="1">
        <v>45790</v>
      </c>
      <c r="C721" t="s">
        <v>125</v>
      </c>
      <c r="D721" t="s">
        <v>12</v>
      </c>
      <c r="E721" t="s">
        <v>13</v>
      </c>
      <c r="F721" t="s">
        <v>14</v>
      </c>
      <c r="G721">
        <v>38.57</v>
      </c>
      <c r="H721" t="s">
        <v>98</v>
      </c>
      <c r="I721" t="s">
        <v>47</v>
      </c>
      <c r="J721" t="s">
        <v>44</v>
      </c>
    </row>
    <row r="722" spans="1:10" x14ac:dyDescent="0.35">
      <c r="A722" t="s">
        <v>897</v>
      </c>
      <c r="B722" s="1">
        <v>45790</v>
      </c>
      <c r="C722" t="s">
        <v>19</v>
      </c>
      <c r="D722" t="s">
        <v>12</v>
      </c>
      <c r="E722" t="s">
        <v>13</v>
      </c>
      <c r="F722" t="s">
        <v>14</v>
      </c>
      <c r="G722">
        <v>10.039999999999999</v>
      </c>
      <c r="H722" t="s">
        <v>98</v>
      </c>
      <c r="I722" t="s">
        <v>22</v>
      </c>
      <c r="J722" t="s">
        <v>23</v>
      </c>
    </row>
    <row r="723" spans="1:10" x14ac:dyDescent="0.35">
      <c r="A723" t="s">
        <v>898</v>
      </c>
      <c r="B723" s="1">
        <v>45790</v>
      </c>
      <c r="C723" t="s">
        <v>88</v>
      </c>
      <c r="D723" t="s">
        <v>54</v>
      </c>
      <c r="E723" t="s">
        <v>74</v>
      </c>
      <c r="F723" t="s">
        <v>54</v>
      </c>
      <c r="G723">
        <v>2653.39</v>
      </c>
      <c r="H723" t="s">
        <v>15</v>
      </c>
      <c r="I723" t="s">
        <v>22</v>
      </c>
      <c r="J723" t="s">
        <v>89</v>
      </c>
    </row>
    <row r="724" spans="1:10" x14ac:dyDescent="0.35">
      <c r="A724" t="s">
        <v>899</v>
      </c>
      <c r="B724" s="1">
        <v>45790</v>
      </c>
      <c r="C724" t="s">
        <v>109</v>
      </c>
      <c r="D724" t="s">
        <v>34</v>
      </c>
      <c r="E724" t="s">
        <v>35</v>
      </c>
      <c r="F724" t="s">
        <v>14</v>
      </c>
      <c r="G724">
        <v>191.78</v>
      </c>
      <c r="H724" t="s">
        <v>15</v>
      </c>
      <c r="I724" t="s">
        <v>22</v>
      </c>
      <c r="J724" t="s">
        <v>41</v>
      </c>
    </row>
    <row r="725" spans="1:10" x14ac:dyDescent="0.35">
      <c r="A725" t="s">
        <v>900</v>
      </c>
      <c r="B725" s="1">
        <v>45791</v>
      </c>
      <c r="C725" t="s">
        <v>248</v>
      </c>
      <c r="D725" t="s">
        <v>80</v>
      </c>
      <c r="E725" t="s">
        <v>81</v>
      </c>
      <c r="F725" t="s">
        <v>14</v>
      </c>
      <c r="G725">
        <v>17.21</v>
      </c>
      <c r="H725" t="s">
        <v>15</v>
      </c>
      <c r="I725" t="s">
        <v>22</v>
      </c>
      <c r="J725" t="s">
        <v>161</v>
      </c>
    </row>
    <row r="726" spans="1:10" x14ac:dyDescent="0.35">
      <c r="A726" t="s">
        <v>901</v>
      </c>
      <c r="B726" s="1">
        <v>45791</v>
      </c>
      <c r="C726" t="s">
        <v>445</v>
      </c>
      <c r="D726" t="s">
        <v>101</v>
      </c>
      <c r="E726" t="s">
        <v>244</v>
      </c>
      <c r="F726" t="s">
        <v>14</v>
      </c>
      <c r="G726">
        <v>54.67</v>
      </c>
      <c r="H726" t="s">
        <v>15</v>
      </c>
      <c r="I726" t="s">
        <v>22</v>
      </c>
      <c r="J726" t="s">
        <v>103</v>
      </c>
    </row>
    <row r="727" spans="1:10" x14ac:dyDescent="0.35">
      <c r="A727" t="s">
        <v>902</v>
      </c>
      <c r="B727" s="1">
        <v>45791</v>
      </c>
      <c r="C727" t="s">
        <v>272</v>
      </c>
      <c r="D727" t="s">
        <v>54</v>
      </c>
      <c r="E727" t="s">
        <v>55</v>
      </c>
      <c r="F727" t="s">
        <v>54</v>
      </c>
      <c r="G727">
        <v>677.49</v>
      </c>
      <c r="H727" t="s">
        <v>21</v>
      </c>
      <c r="I727" t="s">
        <v>47</v>
      </c>
      <c r="J727" t="s">
        <v>65</v>
      </c>
    </row>
    <row r="728" spans="1:10" x14ac:dyDescent="0.35">
      <c r="A728" t="s">
        <v>903</v>
      </c>
      <c r="B728" s="1">
        <v>45791</v>
      </c>
      <c r="C728" t="s">
        <v>172</v>
      </c>
      <c r="D728" t="s">
        <v>101</v>
      </c>
      <c r="E728" t="s">
        <v>102</v>
      </c>
      <c r="F728" t="s">
        <v>14</v>
      </c>
      <c r="G728">
        <v>65.069999999999993</v>
      </c>
      <c r="H728" t="s">
        <v>15</v>
      </c>
      <c r="I728" t="s">
        <v>22</v>
      </c>
      <c r="J728" t="s">
        <v>102</v>
      </c>
    </row>
    <row r="729" spans="1:10" x14ac:dyDescent="0.35">
      <c r="A729" t="s">
        <v>904</v>
      </c>
      <c r="B729" s="1">
        <v>45791</v>
      </c>
      <c r="C729" t="s">
        <v>227</v>
      </c>
      <c r="D729" t="s">
        <v>12</v>
      </c>
      <c r="E729" t="s">
        <v>51</v>
      </c>
      <c r="F729" t="s">
        <v>14</v>
      </c>
      <c r="G729">
        <v>22.45</v>
      </c>
      <c r="H729" t="s">
        <v>15</v>
      </c>
      <c r="I729" t="s">
        <v>22</v>
      </c>
      <c r="J729" t="s">
        <v>17</v>
      </c>
    </row>
    <row r="730" spans="1:10" x14ac:dyDescent="0.35">
      <c r="A730" t="s">
        <v>905</v>
      </c>
      <c r="B730" s="1">
        <v>45791</v>
      </c>
      <c r="C730" t="s">
        <v>324</v>
      </c>
      <c r="D730" t="s">
        <v>80</v>
      </c>
      <c r="E730" t="s">
        <v>92</v>
      </c>
      <c r="F730" t="s">
        <v>14</v>
      </c>
      <c r="G730">
        <v>54.68</v>
      </c>
      <c r="H730" t="s">
        <v>15</v>
      </c>
      <c r="I730" t="s">
        <v>22</v>
      </c>
      <c r="J730" t="s">
        <v>161</v>
      </c>
    </row>
    <row r="731" spans="1:10" x14ac:dyDescent="0.35">
      <c r="A731" t="s">
        <v>906</v>
      </c>
      <c r="B731" s="1">
        <v>45791</v>
      </c>
      <c r="C731" t="s">
        <v>464</v>
      </c>
      <c r="D731" t="s">
        <v>34</v>
      </c>
      <c r="E731" t="s">
        <v>122</v>
      </c>
      <c r="F731" t="s">
        <v>14</v>
      </c>
      <c r="G731">
        <v>324.77999999999997</v>
      </c>
      <c r="H731" t="s">
        <v>15</v>
      </c>
      <c r="I731" t="s">
        <v>36</v>
      </c>
      <c r="J731" t="s">
        <v>239</v>
      </c>
    </row>
    <row r="732" spans="1:10" x14ac:dyDescent="0.35">
      <c r="A732" t="s">
        <v>907</v>
      </c>
      <c r="B732" s="1">
        <v>45792</v>
      </c>
      <c r="C732" t="s">
        <v>189</v>
      </c>
      <c r="D732" t="s">
        <v>34</v>
      </c>
      <c r="E732" t="s">
        <v>122</v>
      </c>
      <c r="F732" t="s">
        <v>14</v>
      </c>
      <c r="G732">
        <v>417.68</v>
      </c>
      <c r="H732" t="s">
        <v>15</v>
      </c>
      <c r="I732" t="s">
        <v>22</v>
      </c>
      <c r="J732" t="s">
        <v>37</v>
      </c>
    </row>
    <row r="733" spans="1:10" x14ac:dyDescent="0.35">
      <c r="A733" t="s">
        <v>908</v>
      </c>
      <c r="B733" s="1">
        <v>45792</v>
      </c>
      <c r="C733" t="s">
        <v>46</v>
      </c>
      <c r="D733" t="s">
        <v>12</v>
      </c>
      <c r="E733" t="s">
        <v>13</v>
      </c>
      <c r="F733" t="s">
        <v>14</v>
      </c>
      <c r="G733">
        <v>23.83</v>
      </c>
      <c r="H733" t="s">
        <v>15</v>
      </c>
      <c r="I733" t="s">
        <v>22</v>
      </c>
      <c r="J733" t="s">
        <v>48</v>
      </c>
    </row>
    <row r="734" spans="1:10" x14ac:dyDescent="0.35">
      <c r="A734" t="s">
        <v>909</v>
      </c>
      <c r="B734" s="1">
        <v>45792</v>
      </c>
      <c r="C734" t="s">
        <v>177</v>
      </c>
      <c r="D734" t="s">
        <v>54</v>
      </c>
      <c r="E734" t="s">
        <v>74</v>
      </c>
      <c r="F734" t="s">
        <v>54</v>
      </c>
      <c r="G734">
        <v>2505.52</v>
      </c>
      <c r="H734" t="s">
        <v>15</v>
      </c>
      <c r="I734" t="s">
        <v>22</v>
      </c>
      <c r="J734" t="s">
        <v>56</v>
      </c>
    </row>
    <row r="735" spans="1:10" x14ac:dyDescent="0.35">
      <c r="A735" t="s">
        <v>910</v>
      </c>
      <c r="B735" s="1">
        <v>45792</v>
      </c>
      <c r="C735" t="s">
        <v>39</v>
      </c>
      <c r="D735" t="s">
        <v>34</v>
      </c>
      <c r="E735" t="s">
        <v>40</v>
      </c>
      <c r="F735" t="s">
        <v>14</v>
      </c>
      <c r="G735">
        <v>180.83</v>
      </c>
      <c r="H735" t="s">
        <v>15</v>
      </c>
      <c r="I735" t="s">
        <v>22</v>
      </c>
      <c r="J735" t="s">
        <v>41</v>
      </c>
    </row>
    <row r="736" spans="1:10" x14ac:dyDescent="0.35">
      <c r="A736" t="s">
        <v>911</v>
      </c>
      <c r="B736" s="1">
        <v>45792</v>
      </c>
      <c r="C736" t="s">
        <v>53</v>
      </c>
      <c r="D736" t="s">
        <v>54</v>
      </c>
      <c r="E736" t="s">
        <v>55</v>
      </c>
      <c r="F736" t="s">
        <v>54</v>
      </c>
      <c r="G736">
        <v>805.1</v>
      </c>
      <c r="H736" t="s">
        <v>15</v>
      </c>
      <c r="I736" t="s">
        <v>22</v>
      </c>
      <c r="J736" t="s">
        <v>56</v>
      </c>
    </row>
    <row r="737" spans="1:10" x14ac:dyDescent="0.35">
      <c r="A737" t="s">
        <v>912</v>
      </c>
      <c r="B737" s="1">
        <v>45792</v>
      </c>
      <c r="C737" t="s">
        <v>19</v>
      </c>
      <c r="D737" t="s">
        <v>12</v>
      </c>
      <c r="E737" t="s">
        <v>13</v>
      </c>
      <c r="F737" t="s">
        <v>14</v>
      </c>
      <c r="G737">
        <v>34.119999999999997</v>
      </c>
      <c r="H737" t="s">
        <v>21</v>
      </c>
      <c r="I737" t="s">
        <v>22</v>
      </c>
      <c r="J737" t="s">
        <v>23</v>
      </c>
    </row>
    <row r="738" spans="1:10" x14ac:dyDescent="0.35">
      <c r="A738" t="s">
        <v>913</v>
      </c>
      <c r="B738" s="1">
        <v>45792</v>
      </c>
      <c r="C738" t="s">
        <v>11</v>
      </c>
      <c r="D738" t="s">
        <v>12</v>
      </c>
      <c r="E738" t="s">
        <v>13</v>
      </c>
      <c r="F738" t="s">
        <v>14</v>
      </c>
      <c r="G738">
        <v>129.56</v>
      </c>
      <c r="H738" t="s">
        <v>98</v>
      </c>
      <c r="I738" t="s">
        <v>22</v>
      </c>
      <c r="J738" t="s">
        <v>17</v>
      </c>
    </row>
    <row r="739" spans="1:10" x14ac:dyDescent="0.35">
      <c r="A739" t="s">
        <v>914</v>
      </c>
      <c r="B739" s="1">
        <v>45793</v>
      </c>
      <c r="C739" t="s">
        <v>155</v>
      </c>
      <c r="D739" t="s">
        <v>12</v>
      </c>
      <c r="E739" t="s">
        <v>51</v>
      </c>
      <c r="F739" t="s">
        <v>14</v>
      </c>
      <c r="G739">
        <v>20.47</v>
      </c>
      <c r="H739" t="s">
        <v>98</v>
      </c>
      <c r="I739" t="s">
        <v>36</v>
      </c>
      <c r="J739" t="s">
        <v>48</v>
      </c>
    </row>
    <row r="740" spans="1:10" x14ac:dyDescent="0.35">
      <c r="A740" t="s">
        <v>915</v>
      </c>
      <c r="B740" s="1">
        <v>45793</v>
      </c>
      <c r="C740" t="s">
        <v>88</v>
      </c>
      <c r="D740" t="s">
        <v>54</v>
      </c>
      <c r="E740" t="s">
        <v>74</v>
      </c>
      <c r="F740" t="s">
        <v>54</v>
      </c>
      <c r="G740">
        <v>2405.64</v>
      </c>
      <c r="H740" t="s">
        <v>15</v>
      </c>
      <c r="I740" t="s">
        <v>22</v>
      </c>
      <c r="J740" t="s">
        <v>89</v>
      </c>
    </row>
    <row r="741" spans="1:10" x14ac:dyDescent="0.35">
      <c r="A741" t="s">
        <v>916</v>
      </c>
      <c r="B741" s="1">
        <v>45793</v>
      </c>
      <c r="C741" t="s">
        <v>135</v>
      </c>
      <c r="D741" t="s">
        <v>101</v>
      </c>
      <c r="E741" t="s">
        <v>102</v>
      </c>
      <c r="F741" t="s">
        <v>14</v>
      </c>
      <c r="G741">
        <v>46.65</v>
      </c>
      <c r="H741" t="s">
        <v>21</v>
      </c>
      <c r="I741" t="s">
        <v>16</v>
      </c>
      <c r="J741" t="s">
        <v>136</v>
      </c>
    </row>
    <row r="742" spans="1:10" x14ac:dyDescent="0.35">
      <c r="A742" t="s">
        <v>917</v>
      </c>
      <c r="B742" s="1">
        <v>45793</v>
      </c>
      <c r="C742" t="s">
        <v>238</v>
      </c>
      <c r="D742" t="s">
        <v>34</v>
      </c>
      <c r="E742" t="s">
        <v>35</v>
      </c>
      <c r="F742" t="s">
        <v>14</v>
      </c>
      <c r="G742">
        <v>124.73</v>
      </c>
      <c r="H742" t="s">
        <v>98</v>
      </c>
      <c r="I742" t="s">
        <v>22</v>
      </c>
      <c r="J742" t="s">
        <v>239</v>
      </c>
    </row>
    <row r="743" spans="1:10" x14ac:dyDescent="0.35">
      <c r="A743" t="s">
        <v>918</v>
      </c>
      <c r="B743" s="1">
        <v>45793</v>
      </c>
      <c r="C743" t="s">
        <v>121</v>
      </c>
      <c r="D743" t="s">
        <v>34</v>
      </c>
      <c r="E743" t="s">
        <v>122</v>
      </c>
      <c r="F743" t="s">
        <v>14</v>
      </c>
      <c r="G743">
        <v>58.96</v>
      </c>
      <c r="H743" t="s">
        <v>15</v>
      </c>
      <c r="I743" t="s">
        <v>36</v>
      </c>
      <c r="J743" t="s">
        <v>123</v>
      </c>
    </row>
    <row r="744" spans="1:10" x14ac:dyDescent="0.35">
      <c r="A744" t="s">
        <v>919</v>
      </c>
      <c r="B744" s="1">
        <v>45793</v>
      </c>
      <c r="C744" t="s">
        <v>160</v>
      </c>
      <c r="D744" t="s">
        <v>80</v>
      </c>
      <c r="E744" t="s">
        <v>117</v>
      </c>
      <c r="F744" t="s">
        <v>14</v>
      </c>
      <c r="G744">
        <v>82.82</v>
      </c>
      <c r="H744" t="s">
        <v>15</v>
      </c>
      <c r="I744" t="s">
        <v>47</v>
      </c>
      <c r="J744" t="s">
        <v>161</v>
      </c>
    </row>
    <row r="745" spans="1:10" x14ac:dyDescent="0.35">
      <c r="A745" t="s">
        <v>920</v>
      </c>
      <c r="B745" s="1">
        <v>45793</v>
      </c>
      <c r="C745" t="s">
        <v>76</v>
      </c>
      <c r="D745" t="s">
        <v>12</v>
      </c>
      <c r="E745" t="s">
        <v>13</v>
      </c>
      <c r="F745" t="s">
        <v>14</v>
      </c>
      <c r="G745">
        <v>22.09</v>
      </c>
      <c r="H745" t="s">
        <v>15</v>
      </c>
      <c r="I745" t="s">
        <v>84</v>
      </c>
      <c r="J745" t="s">
        <v>77</v>
      </c>
    </row>
    <row r="746" spans="1:10" x14ac:dyDescent="0.35">
      <c r="A746" t="s">
        <v>921</v>
      </c>
      <c r="B746" s="1">
        <v>45793</v>
      </c>
      <c r="C746" t="s">
        <v>155</v>
      </c>
      <c r="D746" t="s">
        <v>12</v>
      </c>
      <c r="E746" t="s">
        <v>51</v>
      </c>
      <c r="F746" t="s">
        <v>14</v>
      </c>
      <c r="G746">
        <v>98.99</v>
      </c>
      <c r="H746" t="s">
        <v>15</v>
      </c>
      <c r="I746" t="s">
        <v>22</v>
      </c>
      <c r="J746" t="s">
        <v>48</v>
      </c>
    </row>
    <row r="747" spans="1:10" x14ac:dyDescent="0.35">
      <c r="A747" t="s">
        <v>922</v>
      </c>
      <c r="B747" s="1">
        <v>45793</v>
      </c>
      <c r="C747" t="s">
        <v>411</v>
      </c>
      <c r="D747" t="s">
        <v>29</v>
      </c>
      <c r="E747" t="s">
        <v>151</v>
      </c>
      <c r="F747" t="s">
        <v>14</v>
      </c>
      <c r="G747">
        <v>24.55</v>
      </c>
      <c r="H747" t="s">
        <v>21</v>
      </c>
      <c r="I747" t="s">
        <v>22</v>
      </c>
      <c r="J747" t="s">
        <v>151</v>
      </c>
    </row>
    <row r="748" spans="1:10" x14ac:dyDescent="0.35">
      <c r="A748" t="s">
        <v>923</v>
      </c>
      <c r="B748" s="1">
        <v>45793</v>
      </c>
      <c r="C748" t="s">
        <v>256</v>
      </c>
      <c r="D748" t="s">
        <v>34</v>
      </c>
      <c r="E748" t="s">
        <v>40</v>
      </c>
      <c r="F748" t="s">
        <v>14</v>
      </c>
      <c r="G748">
        <v>46</v>
      </c>
      <c r="H748" t="s">
        <v>98</v>
      </c>
      <c r="I748" t="s">
        <v>16</v>
      </c>
      <c r="J748" t="s">
        <v>239</v>
      </c>
    </row>
    <row r="749" spans="1:10" x14ac:dyDescent="0.35">
      <c r="A749" t="s">
        <v>924</v>
      </c>
      <c r="B749" s="1">
        <v>45794</v>
      </c>
      <c r="C749" t="s">
        <v>46</v>
      </c>
      <c r="D749" t="s">
        <v>12</v>
      </c>
      <c r="E749" t="s">
        <v>13</v>
      </c>
      <c r="F749" t="s">
        <v>14</v>
      </c>
      <c r="G749">
        <v>30.15</v>
      </c>
      <c r="H749" t="s">
        <v>15</v>
      </c>
      <c r="I749" t="s">
        <v>47</v>
      </c>
      <c r="J749" t="s">
        <v>48</v>
      </c>
    </row>
    <row r="750" spans="1:10" x14ac:dyDescent="0.35">
      <c r="A750" t="s">
        <v>925</v>
      </c>
      <c r="B750" s="1">
        <v>45794</v>
      </c>
      <c r="C750" t="s">
        <v>143</v>
      </c>
      <c r="D750" t="s">
        <v>54</v>
      </c>
      <c r="E750" t="s">
        <v>55</v>
      </c>
      <c r="F750" t="s">
        <v>54</v>
      </c>
      <c r="G750">
        <v>697.89</v>
      </c>
      <c r="H750" t="s">
        <v>15</v>
      </c>
      <c r="I750" t="s">
        <v>22</v>
      </c>
      <c r="J750" t="s">
        <v>89</v>
      </c>
    </row>
    <row r="751" spans="1:10" x14ac:dyDescent="0.35">
      <c r="A751" t="s">
        <v>926</v>
      </c>
      <c r="B751" s="1">
        <v>45794</v>
      </c>
      <c r="C751" t="s">
        <v>46</v>
      </c>
      <c r="D751" t="s">
        <v>12</v>
      </c>
      <c r="E751" t="s">
        <v>13</v>
      </c>
      <c r="F751" t="s">
        <v>14</v>
      </c>
      <c r="G751">
        <v>27.96</v>
      </c>
      <c r="H751" t="s">
        <v>15</v>
      </c>
      <c r="I751" t="s">
        <v>47</v>
      </c>
      <c r="J751" t="s">
        <v>48</v>
      </c>
    </row>
    <row r="752" spans="1:10" x14ac:dyDescent="0.35">
      <c r="A752" t="s">
        <v>927</v>
      </c>
      <c r="B752" s="1">
        <v>45794</v>
      </c>
      <c r="C752" t="s">
        <v>308</v>
      </c>
      <c r="D752" t="s">
        <v>54</v>
      </c>
      <c r="E752" t="s">
        <v>64</v>
      </c>
      <c r="F752" t="s">
        <v>54</v>
      </c>
      <c r="G752">
        <v>372.33</v>
      </c>
      <c r="H752" t="s">
        <v>98</v>
      </c>
      <c r="I752" t="s">
        <v>36</v>
      </c>
      <c r="J752" t="s">
        <v>89</v>
      </c>
    </row>
    <row r="753" spans="1:10" x14ac:dyDescent="0.35">
      <c r="A753" t="s">
        <v>928</v>
      </c>
      <c r="B753" s="1">
        <v>45794</v>
      </c>
      <c r="C753" t="s">
        <v>281</v>
      </c>
      <c r="D753" t="s">
        <v>34</v>
      </c>
      <c r="E753" t="s">
        <v>40</v>
      </c>
      <c r="F753" t="s">
        <v>14</v>
      </c>
      <c r="G753">
        <v>88.94</v>
      </c>
      <c r="H753" t="s">
        <v>15</v>
      </c>
      <c r="I753" t="s">
        <v>84</v>
      </c>
      <c r="J753" t="s">
        <v>123</v>
      </c>
    </row>
    <row r="754" spans="1:10" x14ac:dyDescent="0.35">
      <c r="A754" t="s">
        <v>929</v>
      </c>
      <c r="B754" s="1">
        <v>45794</v>
      </c>
      <c r="C754" t="s">
        <v>121</v>
      </c>
      <c r="D754" t="s">
        <v>34</v>
      </c>
      <c r="E754" t="s">
        <v>122</v>
      </c>
      <c r="F754" t="s">
        <v>14</v>
      </c>
      <c r="G754">
        <v>156.86000000000001</v>
      </c>
      <c r="H754" t="s">
        <v>21</v>
      </c>
      <c r="I754" t="s">
        <v>36</v>
      </c>
      <c r="J754" t="s">
        <v>123</v>
      </c>
    </row>
    <row r="755" spans="1:10" x14ac:dyDescent="0.35">
      <c r="A755" t="s">
        <v>930</v>
      </c>
      <c r="B755" s="1">
        <v>45795</v>
      </c>
      <c r="C755" t="s">
        <v>875</v>
      </c>
      <c r="D755" t="s">
        <v>69</v>
      </c>
      <c r="E755" t="s">
        <v>291</v>
      </c>
      <c r="F755" t="s">
        <v>14</v>
      </c>
      <c r="G755">
        <v>895.65</v>
      </c>
      <c r="H755" t="s">
        <v>15</v>
      </c>
      <c r="I755" t="s">
        <v>22</v>
      </c>
      <c r="J755" t="s">
        <v>133</v>
      </c>
    </row>
    <row r="756" spans="1:10" x14ac:dyDescent="0.35">
      <c r="A756" t="s">
        <v>931</v>
      </c>
      <c r="B756" s="1">
        <v>45795</v>
      </c>
      <c r="C756" t="s">
        <v>79</v>
      </c>
      <c r="D756" t="s">
        <v>80</v>
      </c>
      <c r="E756" t="s">
        <v>81</v>
      </c>
      <c r="F756" t="s">
        <v>14</v>
      </c>
      <c r="G756">
        <v>143.77000000000001</v>
      </c>
      <c r="H756" t="s">
        <v>98</v>
      </c>
      <c r="I756" t="s">
        <v>47</v>
      </c>
      <c r="J756" t="s">
        <v>82</v>
      </c>
    </row>
    <row r="757" spans="1:10" x14ac:dyDescent="0.35">
      <c r="A757" t="s">
        <v>932</v>
      </c>
      <c r="B757" s="1">
        <v>45795</v>
      </c>
      <c r="C757" t="s">
        <v>88</v>
      </c>
      <c r="D757" t="s">
        <v>54</v>
      </c>
      <c r="E757" t="s">
        <v>74</v>
      </c>
      <c r="F757" t="s">
        <v>54</v>
      </c>
      <c r="G757">
        <v>2421.5500000000002</v>
      </c>
      <c r="H757" t="s">
        <v>15</v>
      </c>
      <c r="I757" t="s">
        <v>22</v>
      </c>
      <c r="J757" t="s">
        <v>89</v>
      </c>
    </row>
    <row r="758" spans="1:10" x14ac:dyDescent="0.35">
      <c r="A758" t="s">
        <v>933</v>
      </c>
      <c r="B758" s="1">
        <v>45795</v>
      </c>
      <c r="C758" t="s">
        <v>130</v>
      </c>
      <c r="D758" t="s">
        <v>12</v>
      </c>
      <c r="E758" t="s">
        <v>26</v>
      </c>
      <c r="F758" t="s">
        <v>14</v>
      </c>
      <c r="G758">
        <v>36.4</v>
      </c>
      <c r="H758" t="s">
        <v>15</v>
      </c>
      <c r="I758" t="s">
        <v>36</v>
      </c>
      <c r="J758" t="s">
        <v>48</v>
      </c>
    </row>
    <row r="759" spans="1:10" x14ac:dyDescent="0.35">
      <c r="A759" t="s">
        <v>934</v>
      </c>
      <c r="B759" s="1">
        <v>45795</v>
      </c>
      <c r="C759" t="s">
        <v>157</v>
      </c>
      <c r="D759" t="s">
        <v>29</v>
      </c>
      <c r="E759" t="s">
        <v>95</v>
      </c>
      <c r="F759" t="s">
        <v>14</v>
      </c>
      <c r="G759">
        <v>35.15</v>
      </c>
      <c r="H759" t="s">
        <v>15</v>
      </c>
      <c r="I759" t="s">
        <v>36</v>
      </c>
      <c r="J759" t="s">
        <v>158</v>
      </c>
    </row>
    <row r="760" spans="1:10" x14ac:dyDescent="0.35">
      <c r="A760" t="s">
        <v>935</v>
      </c>
      <c r="B760" s="1">
        <v>45795</v>
      </c>
      <c r="C760" t="s">
        <v>580</v>
      </c>
      <c r="D760" t="s">
        <v>80</v>
      </c>
      <c r="E760" t="s">
        <v>81</v>
      </c>
      <c r="F760" t="s">
        <v>14</v>
      </c>
      <c r="G760">
        <v>16.97</v>
      </c>
      <c r="H760" t="s">
        <v>15</v>
      </c>
      <c r="I760" t="s">
        <v>36</v>
      </c>
      <c r="J760" t="s">
        <v>118</v>
      </c>
    </row>
    <row r="761" spans="1:10" x14ac:dyDescent="0.35">
      <c r="A761" t="s">
        <v>936</v>
      </c>
      <c r="B761" s="1">
        <v>45795</v>
      </c>
      <c r="C761" t="s">
        <v>88</v>
      </c>
      <c r="D761" t="s">
        <v>54</v>
      </c>
      <c r="E761" t="s">
        <v>74</v>
      </c>
      <c r="F761" t="s">
        <v>54</v>
      </c>
      <c r="G761">
        <v>2559.86</v>
      </c>
      <c r="H761" t="s">
        <v>15</v>
      </c>
      <c r="I761" t="s">
        <v>47</v>
      </c>
      <c r="J761" t="s">
        <v>89</v>
      </c>
    </row>
    <row r="762" spans="1:10" x14ac:dyDescent="0.35">
      <c r="A762" t="s">
        <v>937</v>
      </c>
      <c r="B762" s="1">
        <v>45795</v>
      </c>
      <c r="C762" t="s">
        <v>143</v>
      </c>
      <c r="D762" t="s">
        <v>54</v>
      </c>
      <c r="E762" t="s">
        <v>55</v>
      </c>
      <c r="F762" t="s">
        <v>54</v>
      </c>
      <c r="G762">
        <v>620.79999999999995</v>
      </c>
      <c r="H762" t="s">
        <v>15</v>
      </c>
      <c r="I762" t="s">
        <v>36</v>
      </c>
      <c r="J762" t="s">
        <v>89</v>
      </c>
    </row>
    <row r="763" spans="1:10" x14ac:dyDescent="0.35">
      <c r="A763" t="s">
        <v>938</v>
      </c>
      <c r="B763" s="1">
        <v>45796</v>
      </c>
      <c r="C763" t="s">
        <v>324</v>
      </c>
      <c r="D763" t="s">
        <v>80</v>
      </c>
      <c r="E763" t="s">
        <v>92</v>
      </c>
      <c r="F763" t="s">
        <v>14</v>
      </c>
      <c r="G763">
        <v>49.38</v>
      </c>
      <c r="H763" t="s">
        <v>21</v>
      </c>
      <c r="I763" t="s">
        <v>47</v>
      </c>
      <c r="J763" t="s">
        <v>161</v>
      </c>
    </row>
    <row r="764" spans="1:10" x14ac:dyDescent="0.35">
      <c r="A764" t="s">
        <v>939</v>
      </c>
      <c r="B764" s="1">
        <v>45796</v>
      </c>
      <c r="C764" t="s">
        <v>259</v>
      </c>
      <c r="D764" t="s">
        <v>59</v>
      </c>
      <c r="E764" t="s">
        <v>199</v>
      </c>
      <c r="F764" t="s">
        <v>14</v>
      </c>
      <c r="G764">
        <v>320.99</v>
      </c>
      <c r="H764" t="s">
        <v>15</v>
      </c>
      <c r="I764" t="s">
        <v>22</v>
      </c>
      <c r="J764" t="s">
        <v>170</v>
      </c>
    </row>
    <row r="765" spans="1:10" x14ac:dyDescent="0.35">
      <c r="A765" t="s">
        <v>940</v>
      </c>
      <c r="B765" s="1">
        <v>45796</v>
      </c>
      <c r="C765" t="s">
        <v>256</v>
      </c>
      <c r="D765" t="s">
        <v>34</v>
      </c>
      <c r="E765" t="s">
        <v>40</v>
      </c>
      <c r="F765" t="s">
        <v>14</v>
      </c>
      <c r="G765">
        <v>147.69</v>
      </c>
      <c r="H765" t="s">
        <v>98</v>
      </c>
      <c r="I765" t="s">
        <v>36</v>
      </c>
      <c r="J765" t="s">
        <v>239</v>
      </c>
    </row>
    <row r="766" spans="1:10" x14ac:dyDescent="0.35">
      <c r="A766" t="s">
        <v>941</v>
      </c>
      <c r="B766" s="1">
        <v>45796</v>
      </c>
      <c r="C766" t="s">
        <v>168</v>
      </c>
      <c r="D766" t="s">
        <v>59</v>
      </c>
      <c r="E766" t="s">
        <v>60</v>
      </c>
      <c r="F766" t="s">
        <v>14</v>
      </c>
      <c r="G766">
        <v>914.26</v>
      </c>
      <c r="H766" t="s">
        <v>15</v>
      </c>
      <c r="I766" t="s">
        <v>22</v>
      </c>
      <c r="J766" t="s">
        <v>170</v>
      </c>
    </row>
    <row r="767" spans="1:10" x14ac:dyDescent="0.35">
      <c r="A767" t="s">
        <v>942</v>
      </c>
      <c r="B767" s="1">
        <v>45796</v>
      </c>
      <c r="C767" t="s">
        <v>220</v>
      </c>
      <c r="D767" t="s">
        <v>59</v>
      </c>
      <c r="E767" t="s">
        <v>199</v>
      </c>
      <c r="F767" t="s">
        <v>14</v>
      </c>
      <c r="G767">
        <v>141.77000000000001</v>
      </c>
      <c r="H767" t="s">
        <v>15</v>
      </c>
      <c r="I767" t="s">
        <v>47</v>
      </c>
      <c r="J767" t="s">
        <v>211</v>
      </c>
    </row>
    <row r="768" spans="1:10" x14ac:dyDescent="0.35">
      <c r="A768" t="s">
        <v>943</v>
      </c>
      <c r="B768" s="1">
        <v>45796</v>
      </c>
      <c r="C768" t="s">
        <v>39</v>
      </c>
      <c r="D768" t="s">
        <v>34</v>
      </c>
      <c r="E768" t="s">
        <v>40</v>
      </c>
      <c r="F768" t="s">
        <v>14</v>
      </c>
      <c r="G768">
        <v>116.06</v>
      </c>
      <c r="H768" t="s">
        <v>15</v>
      </c>
      <c r="I768" t="s">
        <v>22</v>
      </c>
      <c r="J768" t="s">
        <v>41</v>
      </c>
    </row>
    <row r="769" spans="1:10" x14ac:dyDescent="0.35">
      <c r="A769" t="s">
        <v>944</v>
      </c>
      <c r="B769" s="1">
        <v>45797</v>
      </c>
      <c r="C769" t="s">
        <v>345</v>
      </c>
      <c r="D769" t="s">
        <v>59</v>
      </c>
      <c r="E769" t="s">
        <v>60</v>
      </c>
      <c r="F769" t="s">
        <v>14</v>
      </c>
      <c r="G769">
        <v>115.37</v>
      </c>
      <c r="H769" t="s">
        <v>21</v>
      </c>
      <c r="I769" t="s">
        <v>47</v>
      </c>
      <c r="J769" t="s">
        <v>211</v>
      </c>
    </row>
    <row r="770" spans="1:10" x14ac:dyDescent="0.35">
      <c r="A770" t="s">
        <v>945</v>
      </c>
      <c r="B770" s="1">
        <v>45797</v>
      </c>
      <c r="C770" t="s">
        <v>175</v>
      </c>
      <c r="D770" t="s">
        <v>80</v>
      </c>
      <c r="E770" t="s">
        <v>92</v>
      </c>
      <c r="F770" t="s">
        <v>14</v>
      </c>
      <c r="G770">
        <v>78.62</v>
      </c>
      <c r="H770" t="s">
        <v>21</v>
      </c>
      <c r="I770" t="s">
        <v>16</v>
      </c>
      <c r="J770" t="s">
        <v>141</v>
      </c>
    </row>
    <row r="771" spans="1:10" x14ac:dyDescent="0.35">
      <c r="A771" t="s">
        <v>946</v>
      </c>
      <c r="B771" s="1">
        <v>45797</v>
      </c>
      <c r="C771" t="s">
        <v>215</v>
      </c>
      <c r="D771" t="s">
        <v>80</v>
      </c>
      <c r="E771" t="s">
        <v>117</v>
      </c>
      <c r="F771" t="s">
        <v>14</v>
      </c>
      <c r="G771">
        <v>165.85</v>
      </c>
      <c r="H771" t="s">
        <v>15</v>
      </c>
      <c r="I771" t="s">
        <v>22</v>
      </c>
      <c r="J771" t="s">
        <v>141</v>
      </c>
    </row>
    <row r="772" spans="1:10" x14ac:dyDescent="0.35">
      <c r="A772" t="s">
        <v>947</v>
      </c>
      <c r="B772" s="1">
        <v>45797</v>
      </c>
      <c r="C772" t="s">
        <v>445</v>
      </c>
      <c r="D772" t="s">
        <v>101</v>
      </c>
      <c r="E772" t="s">
        <v>244</v>
      </c>
      <c r="F772" t="s">
        <v>14</v>
      </c>
      <c r="G772">
        <v>72.45</v>
      </c>
      <c r="H772" t="s">
        <v>15</v>
      </c>
      <c r="I772" t="s">
        <v>22</v>
      </c>
      <c r="J772" t="s">
        <v>103</v>
      </c>
    </row>
    <row r="773" spans="1:10" x14ac:dyDescent="0.35">
      <c r="A773" t="s">
        <v>948</v>
      </c>
      <c r="B773" s="1">
        <v>45797</v>
      </c>
      <c r="C773" t="s">
        <v>215</v>
      </c>
      <c r="D773" t="s">
        <v>80</v>
      </c>
      <c r="E773" t="s">
        <v>117</v>
      </c>
      <c r="F773" t="s">
        <v>14</v>
      </c>
      <c r="G773">
        <v>59.6</v>
      </c>
      <c r="H773" t="s">
        <v>15</v>
      </c>
      <c r="I773" t="s">
        <v>84</v>
      </c>
      <c r="J773" t="s">
        <v>141</v>
      </c>
    </row>
    <row r="774" spans="1:10" x14ac:dyDescent="0.35">
      <c r="A774" t="s">
        <v>949</v>
      </c>
      <c r="B774" s="1">
        <v>45797</v>
      </c>
      <c r="C774" t="s">
        <v>194</v>
      </c>
      <c r="D774" t="s">
        <v>101</v>
      </c>
      <c r="E774" t="s">
        <v>136</v>
      </c>
      <c r="F774" t="s">
        <v>14</v>
      </c>
      <c r="G774">
        <v>107.99</v>
      </c>
      <c r="H774" t="s">
        <v>15</v>
      </c>
      <c r="I774" t="s">
        <v>22</v>
      </c>
      <c r="J774" t="s">
        <v>103</v>
      </c>
    </row>
    <row r="775" spans="1:10" x14ac:dyDescent="0.35">
      <c r="A775" t="s">
        <v>950</v>
      </c>
      <c r="B775" s="1">
        <v>45798</v>
      </c>
      <c r="C775" t="s">
        <v>11</v>
      </c>
      <c r="D775" t="s">
        <v>12</v>
      </c>
      <c r="E775" t="s">
        <v>13</v>
      </c>
      <c r="F775" t="s">
        <v>14</v>
      </c>
      <c r="G775">
        <v>54.17</v>
      </c>
      <c r="H775" t="s">
        <v>15</v>
      </c>
      <c r="I775" t="s">
        <v>47</v>
      </c>
      <c r="J775" t="s">
        <v>17</v>
      </c>
    </row>
    <row r="776" spans="1:10" x14ac:dyDescent="0.35">
      <c r="A776" t="s">
        <v>951</v>
      </c>
      <c r="B776" s="1">
        <v>45798</v>
      </c>
      <c r="C776" t="s">
        <v>138</v>
      </c>
      <c r="D776" t="s">
        <v>12</v>
      </c>
      <c r="E776" t="s">
        <v>26</v>
      </c>
      <c r="F776" t="s">
        <v>14</v>
      </c>
      <c r="G776">
        <v>43.19</v>
      </c>
      <c r="H776" t="s">
        <v>15</v>
      </c>
      <c r="I776" t="s">
        <v>16</v>
      </c>
      <c r="J776" t="s">
        <v>77</v>
      </c>
    </row>
    <row r="777" spans="1:10" x14ac:dyDescent="0.35">
      <c r="A777" t="s">
        <v>952</v>
      </c>
      <c r="B777" s="1">
        <v>45798</v>
      </c>
      <c r="C777" t="s">
        <v>217</v>
      </c>
      <c r="D777" t="s">
        <v>80</v>
      </c>
      <c r="E777" t="s">
        <v>81</v>
      </c>
      <c r="F777" t="s">
        <v>14</v>
      </c>
      <c r="G777">
        <v>90.12</v>
      </c>
      <c r="H777" t="s">
        <v>15</v>
      </c>
      <c r="I777" t="s">
        <v>22</v>
      </c>
      <c r="J777" t="s">
        <v>180</v>
      </c>
    </row>
    <row r="778" spans="1:10" x14ac:dyDescent="0.35">
      <c r="A778" t="s">
        <v>953</v>
      </c>
      <c r="B778" s="1">
        <v>45798</v>
      </c>
      <c r="C778" t="s">
        <v>248</v>
      </c>
      <c r="D778" t="s">
        <v>80</v>
      </c>
      <c r="E778" t="s">
        <v>81</v>
      </c>
      <c r="F778" t="s">
        <v>14</v>
      </c>
      <c r="G778">
        <v>36.04</v>
      </c>
      <c r="H778" t="s">
        <v>15</v>
      </c>
      <c r="I778" t="s">
        <v>84</v>
      </c>
      <c r="J778" t="s">
        <v>161</v>
      </c>
    </row>
    <row r="779" spans="1:10" x14ac:dyDescent="0.35">
      <c r="A779" t="s">
        <v>954</v>
      </c>
      <c r="B779" s="1">
        <v>45799</v>
      </c>
      <c r="C779" t="s">
        <v>204</v>
      </c>
      <c r="D779" t="s">
        <v>12</v>
      </c>
      <c r="E779" t="s">
        <v>51</v>
      </c>
      <c r="F779" t="s">
        <v>14</v>
      </c>
      <c r="G779">
        <v>29.72</v>
      </c>
      <c r="H779" t="s">
        <v>98</v>
      </c>
      <c r="I779" t="s">
        <v>22</v>
      </c>
      <c r="J779" t="s">
        <v>23</v>
      </c>
    </row>
    <row r="780" spans="1:10" x14ac:dyDescent="0.35">
      <c r="A780" t="s">
        <v>955</v>
      </c>
      <c r="B780" s="1">
        <v>45799</v>
      </c>
      <c r="C780" t="s">
        <v>217</v>
      </c>
      <c r="D780" t="s">
        <v>80</v>
      </c>
      <c r="E780" t="s">
        <v>81</v>
      </c>
      <c r="F780" t="s">
        <v>14</v>
      </c>
      <c r="G780">
        <v>142.68</v>
      </c>
      <c r="H780" t="s">
        <v>15</v>
      </c>
      <c r="I780" t="s">
        <v>36</v>
      </c>
      <c r="J780" t="s">
        <v>180</v>
      </c>
    </row>
    <row r="781" spans="1:10" x14ac:dyDescent="0.35">
      <c r="A781" t="s">
        <v>956</v>
      </c>
      <c r="B781" s="1">
        <v>45799</v>
      </c>
      <c r="C781" t="s">
        <v>135</v>
      </c>
      <c r="D781" t="s">
        <v>101</v>
      </c>
      <c r="E781" t="s">
        <v>102</v>
      </c>
      <c r="F781" t="s">
        <v>14</v>
      </c>
      <c r="G781">
        <v>103.23</v>
      </c>
      <c r="H781" t="s">
        <v>21</v>
      </c>
      <c r="I781" t="s">
        <v>22</v>
      </c>
      <c r="J781" t="s">
        <v>136</v>
      </c>
    </row>
    <row r="782" spans="1:10" x14ac:dyDescent="0.35">
      <c r="A782" t="s">
        <v>957</v>
      </c>
      <c r="B782" s="1">
        <v>45799</v>
      </c>
      <c r="C782" t="s">
        <v>345</v>
      </c>
      <c r="D782" t="s">
        <v>59</v>
      </c>
      <c r="E782" t="s">
        <v>60</v>
      </c>
      <c r="F782" t="s">
        <v>14</v>
      </c>
      <c r="G782">
        <v>441.33</v>
      </c>
      <c r="H782" t="s">
        <v>15</v>
      </c>
      <c r="I782" t="s">
        <v>22</v>
      </c>
      <c r="J782" t="s">
        <v>211</v>
      </c>
    </row>
    <row r="783" spans="1:10" x14ac:dyDescent="0.35">
      <c r="A783" t="s">
        <v>958</v>
      </c>
      <c r="B783" s="1">
        <v>45799</v>
      </c>
      <c r="C783" t="s">
        <v>194</v>
      </c>
      <c r="D783" t="s">
        <v>101</v>
      </c>
      <c r="E783" t="s">
        <v>136</v>
      </c>
      <c r="F783" t="s">
        <v>14</v>
      </c>
      <c r="G783">
        <v>33.35</v>
      </c>
      <c r="H783" t="s">
        <v>15</v>
      </c>
      <c r="I783" t="s">
        <v>16</v>
      </c>
      <c r="J783" t="s">
        <v>103</v>
      </c>
    </row>
    <row r="784" spans="1:10" x14ac:dyDescent="0.35">
      <c r="A784" t="s">
        <v>959</v>
      </c>
      <c r="B784" s="1">
        <v>45799</v>
      </c>
      <c r="C784" t="s">
        <v>259</v>
      </c>
      <c r="D784" t="s">
        <v>59</v>
      </c>
      <c r="E784" t="s">
        <v>199</v>
      </c>
      <c r="F784" t="s">
        <v>14</v>
      </c>
      <c r="G784">
        <v>212.71</v>
      </c>
      <c r="H784" t="s">
        <v>15</v>
      </c>
      <c r="I784" t="s">
        <v>22</v>
      </c>
      <c r="J784" t="s">
        <v>170</v>
      </c>
    </row>
    <row r="785" spans="1:10" x14ac:dyDescent="0.35">
      <c r="A785" t="s">
        <v>960</v>
      </c>
      <c r="B785" s="1">
        <v>45799</v>
      </c>
      <c r="C785" t="s">
        <v>39</v>
      </c>
      <c r="D785" t="s">
        <v>34</v>
      </c>
      <c r="E785" t="s">
        <v>40</v>
      </c>
      <c r="F785" t="s">
        <v>14</v>
      </c>
      <c r="G785">
        <v>104.29</v>
      </c>
      <c r="H785" t="s">
        <v>15</v>
      </c>
      <c r="I785" t="s">
        <v>84</v>
      </c>
      <c r="J785" t="s">
        <v>41</v>
      </c>
    </row>
    <row r="786" spans="1:10" x14ac:dyDescent="0.35">
      <c r="A786" t="s">
        <v>961</v>
      </c>
      <c r="B786" s="1">
        <v>45799</v>
      </c>
      <c r="C786" t="s">
        <v>111</v>
      </c>
      <c r="D786" t="s">
        <v>12</v>
      </c>
      <c r="E786" t="s">
        <v>26</v>
      </c>
      <c r="F786" t="s">
        <v>14</v>
      </c>
      <c r="G786">
        <v>20.97</v>
      </c>
      <c r="H786" t="s">
        <v>15</v>
      </c>
      <c r="I786" t="s">
        <v>22</v>
      </c>
      <c r="J786" t="s">
        <v>23</v>
      </c>
    </row>
    <row r="787" spans="1:10" x14ac:dyDescent="0.35">
      <c r="A787" t="s">
        <v>962</v>
      </c>
      <c r="B787" s="1">
        <v>45799</v>
      </c>
      <c r="C787" t="s">
        <v>298</v>
      </c>
      <c r="D787" t="s">
        <v>59</v>
      </c>
      <c r="E787" t="s">
        <v>185</v>
      </c>
      <c r="F787" t="s">
        <v>14</v>
      </c>
      <c r="G787">
        <v>198.66</v>
      </c>
      <c r="H787" t="s">
        <v>15</v>
      </c>
      <c r="I787" t="s">
        <v>84</v>
      </c>
      <c r="J787" t="s">
        <v>170</v>
      </c>
    </row>
    <row r="788" spans="1:10" x14ac:dyDescent="0.35">
      <c r="A788" t="s">
        <v>963</v>
      </c>
      <c r="B788" s="1">
        <v>45800</v>
      </c>
      <c r="C788" t="s">
        <v>229</v>
      </c>
      <c r="D788" t="s">
        <v>54</v>
      </c>
      <c r="E788" t="s">
        <v>64</v>
      </c>
      <c r="F788" t="s">
        <v>54</v>
      </c>
      <c r="G788">
        <v>348.66</v>
      </c>
      <c r="H788" t="s">
        <v>15</v>
      </c>
      <c r="I788" t="s">
        <v>22</v>
      </c>
      <c r="J788" t="s">
        <v>56</v>
      </c>
    </row>
    <row r="789" spans="1:10" x14ac:dyDescent="0.35">
      <c r="A789" t="s">
        <v>964</v>
      </c>
      <c r="B789" s="1">
        <v>45800</v>
      </c>
      <c r="C789" t="s">
        <v>411</v>
      </c>
      <c r="D789" t="s">
        <v>29</v>
      </c>
      <c r="E789" t="s">
        <v>151</v>
      </c>
      <c r="F789" t="s">
        <v>14</v>
      </c>
      <c r="G789">
        <v>47.79</v>
      </c>
      <c r="H789" t="s">
        <v>15</v>
      </c>
      <c r="I789" t="s">
        <v>84</v>
      </c>
      <c r="J789" t="s">
        <v>151</v>
      </c>
    </row>
    <row r="790" spans="1:10" x14ac:dyDescent="0.35">
      <c r="A790" t="s">
        <v>965</v>
      </c>
      <c r="B790" s="1">
        <v>45800</v>
      </c>
      <c r="C790" t="s">
        <v>63</v>
      </c>
      <c r="D790" t="s">
        <v>54</v>
      </c>
      <c r="E790" t="s">
        <v>64</v>
      </c>
      <c r="F790" t="s">
        <v>54</v>
      </c>
      <c r="G790">
        <v>409.12</v>
      </c>
      <c r="H790" t="s">
        <v>21</v>
      </c>
      <c r="I790" t="s">
        <v>22</v>
      </c>
      <c r="J790" t="s">
        <v>65</v>
      </c>
    </row>
    <row r="791" spans="1:10" x14ac:dyDescent="0.35">
      <c r="A791" t="s">
        <v>966</v>
      </c>
      <c r="B791" s="1">
        <v>45800</v>
      </c>
      <c r="C791" t="s">
        <v>88</v>
      </c>
      <c r="D791" t="s">
        <v>54</v>
      </c>
      <c r="E791" t="s">
        <v>74</v>
      </c>
      <c r="F791" t="s">
        <v>54</v>
      </c>
      <c r="G791">
        <v>2803.81</v>
      </c>
      <c r="H791" t="s">
        <v>15</v>
      </c>
      <c r="I791" t="s">
        <v>36</v>
      </c>
      <c r="J791" t="s">
        <v>89</v>
      </c>
    </row>
    <row r="792" spans="1:10" x14ac:dyDescent="0.35">
      <c r="A792" t="s">
        <v>967</v>
      </c>
      <c r="B792" s="1">
        <v>45800</v>
      </c>
      <c r="C792" t="s">
        <v>464</v>
      </c>
      <c r="D792" t="s">
        <v>34</v>
      </c>
      <c r="E792" t="s">
        <v>122</v>
      </c>
      <c r="F792" t="s">
        <v>14</v>
      </c>
      <c r="G792">
        <v>226.2</v>
      </c>
      <c r="H792" t="s">
        <v>15</v>
      </c>
      <c r="I792" t="s">
        <v>16</v>
      </c>
      <c r="J792" t="s">
        <v>239</v>
      </c>
    </row>
    <row r="793" spans="1:10" x14ac:dyDescent="0.35">
      <c r="A793" t="s">
        <v>968</v>
      </c>
      <c r="B793" s="1">
        <v>45800</v>
      </c>
      <c r="C793" t="s">
        <v>331</v>
      </c>
      <c r="D793" t="s">
        <v>29</v>
      </c>
      <c r="E793" t="s">
        <v>95</v>
      </c>
      <c r="F793" t="s">
        <v>14</v>
      </c>
      <c r="G793">
        <v>119.2</v>
      </c>
      <c r="H793" t="s">
        <v>21</v>
      </c>
      <c r="I793" t="s">
        <v>22</v>
      </c>
      <c r="J793" t="s">
        <v>151</v>
      </c>
    </row>
    <row r="794" spans="1:10" x14ac:dyDescent="0.35">
      <c r="A794" t="s">
        <v>969</v>
      </c>
      <c r="B794" s="1">
        <v>45800</v>
      </c>
      <c r="C794" t="s">
        <v>220</v>
      </c>
      <c r="D794" t="s">
        <v>59</v>
      </c>
      <c r="E794" t="s">
        <v>199</v>
      </c>
      <c r="F794" t="s">
        <v>14</v>
      </c>
      <c r="G794">
        <v>425.6</v>
      </c>
      <c r="H794" t="s">
        <v>15</v>
      </c>
      <c r="I794" t="s">
        <v>22</v>
      </c>
      <c r="J794" t="s">
        <v>211</v>
      </c>
    </row>
    <row r="795" spans="1:10" x14ac:dyDescent="0.35">
      <c r="A795" t="s">
        <v>970</v>
      </c>
      <c r="B795" s="1">
        <v>45800</v>
      </c>
      <c r="C795" t="s">
        <v>168</v>
      </c>
      <c r="D795" t="s">
        <v>59</v>
      </c>
      <c r="E795" t="s">
        <v>60</v>
      </c>
      <c r="F795" t="s">
        <v>14</v>
      </c>
      <c r="G795">
        <v>510.18</v>
      </c>
      <c r="H795" t="s">
        <v>15</v>
      </c>
      <c r="I795" t="s">
        <v>84</v>
      </c>
      <c r="J795" t="s">
        <v>170</v>
      </c>
    </row>
    <row r="796" spans="1:10" x14ac:dyDescent="0.35">
      <c r="A796" t="s">
        <v>971</v>
      </c>
      <c r="B796" s="1">
        <v>45800</v>
      </c>
      <c r="C796" t="s">
        <v>43</v>
      </c>
      <c r="D796" t="s">
        <v>12</v>
      </c>
      <c r="E796" t="s">
        <v>26</v>
      </c>
      <c r="F796" t="s">
        <v>14</v>
      </c>
      <c r="G796">
        <v>11.27</v>
      </c>
      <c r="H796" t="s">
        <v>98</v>
      </c>
      <c r="I796" t="s">
        <v>47</v>
      </c>
      <c r="J796" t="s">
        <v>44</v>
      </c>
    </row>
    <row r="797" spans="1:10" x14ac:dyDescent="0.35">
      <c r="A797" t="s">
        <v>972</v>
      </c>
      <c r="B797" s="1">
        <v>45800</v>
      </c>
      <c r="C797" t="s">
        <v>269</v>
      </c>
      <c r="D797" t="s">
        <v>34</v>
      </c>
      <c r="E797" t="s">
        <v>35</v>
      </c>
      <c r="F797" t="s">
        <v>14</v>
      </c>
      <c r="G797">
        <v>207.38</v>
      </c>
      <c r="H797" t="s">
        <v>15</v>
      </c>
      <c r="I797" t="s">
        <v>36</v>
      </c>
      <c r="J797" t="s">
        <v>123</v>
      </c>
    </row>
    <row r="798" spans="1:10" x14ac:dyDescent="0.35">
      <c r="A798" t="s">
        <v>973</v>
      </c>
      <c r="B798" s="1">
        <v>45801</v>
      </c>
      <c r="C798" t="s">
        <v>272</v>
      </c>
      <c r="D798" t="s">
        <v>54</v>
      </c>
      <c r="E798" t="s">
        <v>55</v>
      </c>
      <c r="F798" t="s">
        <v>54</v>
      </c>
      <c r="G798">
        <v>719.28</v>
      </c>
      <c r="H798" t="s">
        <v>15</v>
      </c>
      <c r="I798" t="s">
        <v>22</v>
      </c>
      <c r="J798" t="s">
        <v>65</v>
      </c>
    </row>
    <row r="799" spans="1:10" x14ac:dyDescent="0.35">
      <c r="A799" t="s">
        <v>974</v>
      </c>
      <c r="B799" s="1">
        <v>45801</v>
      </c>
      <c r="C799" t="s">
        <v>19</v>
      </c>
      <c r="D799" t="s">
        <v>12</v>
      </c>
      <c r="E799" t="s">
        <v>13</v>
      </c>
      <c r="F799" t="s">
        <v>14</v>
      </c>
      <c r="G799">
        <v>172.9</v>
      </c>
      <c r="H799" t="s">
        <v>15</v>
      </c>
      <c r="I799" t="s">
        <v>47</v>
      </c>
      <c r="J799" t="s">
        <v>23</v>
      </c>
    </row>
    <row r="800" spans="1:10" x14ac:dyDescent="0.35">
      <c r="A800" t="s">
        <v>975</v>
      </c>
      <c r="B800" s="1">
        <v>45801</v>
      </c>
      <c r="C800" t="s">
        <v>88</v>
      </c>
      <c r="D800" t="s">
        <v>54</v>
      </c>
      <c r="E800" t="s">
        <v>74</v>
      </c>
      <c r="F800" t="s">
        <v>54</v>
      </c>
      <c r="G800">
        <v>2347.27</v>
      </c>
      <c r="H800" t="s">
        <v>15</v>
      </c>
      <c r="I800" t="s">
        <v>47</v>
      </c>
      <c r="J800" t="s">
        <v>89</v>
      </c>
    </row>
    <row r="801" spans="1:10" x14ac:dyDescent="0.35">
      <c r="A801" t="s">
        <v>976</v>
      </c>
      <c r="B801" s="1">
        <v>45801</v>
      </c>
      <c r="C801" t="s">
        <v>73</v>
      </c>
      <c r="D801" t="s">
        <v>54</v>
      </c>
      <c r="E801" t="s">
        <v>74</v>
      </c>
      <c r="F801" t="s">
        <v>54</v>
      </c>
      <c r="G801">
        <v>2706.23</v>
      </c>
      <c r="H801" t="s">
        <v>15</v>
      </c>
      <c r="I801" t="s">
        <v>36</v>
      </c>
      <c r="J801" t="s">
        <v>65</v>
      </c>
    </row>
    <row r="802" spans="1:10" x14ac:dyDescent="0.35">
      <c r="A802" t="s">
        <v>977</v>
      </c>
      <c r="B802" s="1">
        <v>45802</v>
      </c>
      <c r="C802" t="s">
        <v>76</v>
      </c>
      <c r="D802" t="s">
        <v>12</v>
      </c>
      <c r="E802" t="s">
        <v>13</v>
      </c>
      <c r="F802" t="s">
        <v>14</v>
      </c>
      <c r="G802">
        <v>29.9</v>
      </c>
      <c r="H802" t="s">
        <v>15</v>
      </c>
      <c r="I802" t="s">
        <v>47</v>
      </c>
      <c r="J802" t="s">
        <v>77</v>
      </c>
    </row>
    <row r="803" spans="1:10" x14ac:dyDescent="0.35">
      <c r="A803" t="s">
        <v>978</v>
      </c>
      <c r="B803" s="1">
        <v>45802</v>
      </c>
      <c r="C803" t="s">
        <v>243</v>
      </c>
      <c r="D803" t="s">
        <v>101</v>
      </c>
      <c r="E803" t="s">
        <v>244</v>
      </c>
      <c r="F803" t="s">
        <v>14</v>
      </c>
      <c r="G803">
        <v>90.03</v>
      </c>
      <c r="H803" t="s">
        <v>21</v>
      </c>
      <c r="I803" t="s">
        <v>36</v>
      </c>
      <c r="J803" t="s">
        <v>102</v>
      </c>
    </row>
    <row r="804" spans="1:10" x14ac:dyDescent="0.35">
      <c r="A804" t="s">
        <v>979</v>
      </c>
      <c r="B804" s="1">
        <v>45802</v>
      </c>
      <c r="C804" t="s">
        <v>63</v>
      </c>
      <c r="D804" t="s">
        <v>54</v>
      </c>
      <c r="E804" t="s">
        <v>64</v>
      </c>
      <c r="F804" t="s">
        <v>54</v>
      </c>
      <c r="G804">
        <v>345.03</v>
      </c>
      <c r="H804" t="s">
        <v>15</v>
      </c>
      <c r="I804" t="s">
        <v>22</v>
      </c>
      <c r="J804" t="s">
        <v>65</v>
      </c>
    </row>
    <row r="805" spans="1:10" x14ac:dyDescent="0.35">
      <c r="A805" t="s">
        <v>980</v>
      </c>
      <c r="B805" s="1">
        <v>45802</v>
      </c>
      <c r="C805" t="s">
        <v>109</v>
      </c>
      <c r="D805" t="s">
        <v>34</v>
      </c>
      <c r="E805" t="s">
        <v>35</v>
      </c>
      <c r="F805" t="s">
        <v>14</v>
      </c>
      <c r="G805">
        <v>96.88</v>
      </c>
      <c r="H805" t="s">
        <v>15</v>
      </c>
      <c r="I805" t="s">
        <v>36</v>
      </c>
      <c r="J805" t="s">
        <v>41</v>
      </c>
    </row>
    <row r="806" spans="1:10" x14ac:dyDescent="0.35">
      <c r="A806" t="s">
        <v>981</v>
      </c>
      <c r="B806" s="1">
        <v>45802</v>
      </c>
      <c r="C806" t="s">
        <v>395</v>
      </c>
      <c r="D806" t="s">
        <v>69</v>
      </c>
      <c r="E806" t="s">
        <v>291</v>
      </c>
      <c r="F806" t="s">
        <v>14</v>
      </c>
      <c r="G806">
        <v>373.4</v>
      </c>
      <c r="H806" t="s">
        <v>21</v>
      </c>
      <c r="I806" t="s">
        <v>47</v>
      </c>
      <c r="J806" t="s">
        <v>396</v>
      </c>
    </row>
    <row r="807" spans="1:10" x14ac:dyDescent="0.35">
      <c r="A807" t="s">
        <v>982</v>
      </c>
      <c r="B807" s="1">
        <v>45803</v>
      </c>
      <c r="C807" t="s">
        <v>411</v>
      </c>
      <c r="D807" t="s">
        <v>29</v>
      </c>
      <c r="E807" t="s">
        <v>151</v>
      </c>
      <c r="F807" t="s">
        <v>14</v>
      </c>
      <c r="G807">
        <v>97.54</v>
      </c>
      <c r="H807" t="s">
        <v>15</v>
      </c>
      <c r="I807" t="s">
        <v>22</v>
      </c>
      <c r="J807" t="s">
        <v>151</v>
      </c>
    </row>
    <row r="808" spans="1:10" x14ac:dyDescent="0.35">
      <c r="A808" t="s">
        <v>983</v>
      </c>
      <c r="B808" s="1">
        <v>45803</v>
      </c>
      <c r="C808" t="s">
        <v>39</v>
      </c>
      <c r="D808" t="s">
        <v>34</v>
      </c>
      <c r="E808" t="s">
        <v>40</v>
      </c>
      <c r="F808" t="s">
        <v>14</v>
      </c>
      <c r="G808">
        <v>57.15</v>
      </c>
      <c r="H808" t="s">
        <v>15</v>
      </c>
      <c r="I808" t="s">
        <v>36</v>
      </c>
      <c r="J808" t="s">
        <v>41</v>
      </c>
    </row>
    <row r="809" spans="1:10" x14ac:dyDescent="0.35">
      <c r="A809" t="s">
        <v>984</v>
      </c>
      <c r="B809" s="1">
        <v>45803</v>
      </c>
      <c r="C809" t="s">
        <v>229</v>
      </c>
      <c r="D809" t="s">
        <v>54</v>
      </c>
      <c r="E809" t="s">
        <v>64</v>
      </c>
      <c r="F809" t="s">
        <v>54</v>
      </c>
      <c r="G809">
        <v>339.9</v>
      </c>
      <c r="H809" t="s">
        <v>15</v>
      </c>
      <c r="I809" t="s">
        <v>36</v>
      </c>
      <c r="J809" t="s">
        <v>56</v>
      </c>
    </row>
    <row r="810" spans="1:10" x14ac:dyDescent="0.35">
      <c r="A810" t="s">
        <v>985</v>
      </c>
      <c r="B810" s="1">
        <v>45803</v>
      </c>
      <c r="C810" t="s">
        <v>267</v>
      </c>
      <c r="D810" t="s">
        <v>29</v>
      </c>
      <c r="E810" t="s">
        <v>30</v>
      </c>
      <c r="F810" t="s">
        <v>14</v>
      </c>
      <c r="G810">
        <v>30.02</v>
      </c>
      <c r="H810" t="s">
        <v>21</v>
      </c>
      <c r="I810" t="s">
        <v>47</v>
      </c>
      <c r="J810" t="s">
        <v>96</v>
      </c>
    </row>
    <row r="811" spans="1:10" x14ac:dyDescent="0.35">
      <c r="A811" t="s">
        <v>986</v>
      </c>
      <c r="B811" s="1">
        <v>45803</v>
      </c>
      <c r="C811" t="s">
        <v>198</v>
      </c>
      <c r="D811" t="s">
        <v>59</v>
      </c>
      <c r="E811" t="s">
        <v>199</v>
      </c>
      <c r="F811" t="s">
        <v>14</v>
      </c>
      <c r="G811">
        <v>241.86</v>
      </c>
      <c r="H811" t="s">
        <v>21</v>
      </c>
      <c r="I811" t="s">
        <v>36</v>
      </c>
      <c r="J811" t="s">
        <v>61</v>
      </c>
    </row>
    <row r="812" spans="1:10" x14ac:dyDescent="0.35">
      <c r="A812" t="s">
        <v>987</v>
      </c>
      <c r="B812" s="1">
        <v>45803</v>
      </c>
      <c r="C812" t="s">
        <v>220</v>
      </c>
      <c r="D812" t="s">
        <v>59</v>
      </c>
      <c r="E812" t="s">
        <v>199</v>
      </c>
      <c r="F812" t="s">
        <v>14</v>
      </c>
      <c r="G812">
        <v>108.69</v>
      </c>
      <c r="H812" t="s">
        <v>15</v>
      </c>
      <c r="I812" t="s">
        <v>22</v>
      </c>
      <c r="J812" t="s">
        <v>211</v>
      </c>
    </row>
    <row r="813" spans="1:10" x14ac:dyDescent="0.35">
      <c r="A813" t="s">
        <v>988</v>
      </c>
      <c r="B813" s="1">
        <v>45803</v>
      </c>
      <c r="C813" t="s">
        <v>39</v>
      </c>
      <c r="D813" t="s">
        <v>34</v>
      </c>
      <c r="E813" t="s">
        <v>40</v>
      </c>
      <c r="F813" t="s">
        <v>14</v>
      </c>
      <c r="G813">
        <v>150.97999999999999</v>
      </c>
      <c r="H813" t="s">
        <v>15</v>
      </c>
      <c r="I813" t="s">
        <v>47</v>
      </c>
      <c r="J813" t="s">
        <v>41</v>
      </c>
    </row>
    <row r="814" spans="1:10" x14ac:dyDescent="0.35">
      <c r="A814" t="s">
        <v>989</v>
      </c>
      <c r="B814" s="1">
        <v>45803</v>
      </c>
      <c r="C814" t="s">
        <v>281</v>
      </c>
      <c r="D814" t="s">
        <v>34</v>
      </c>
      <c r="E814" t="s">
        <v>40</v>
      </c>
      <c r="F814" t="s">
        <v>14</v>
      </c>
      <c r="G814">
        <v>69.47</v>
      </c>
      <c r="H814" t="s">
        <v>15</v>
      </c>
      <c r="I814" t="s">
        <v>22</v>
      </c>
      <c r="J814" t="s">
        <v>123</v>
      </c>
    </row>
    <row r="815" spans="1:10" x14ac:dyDescent="0.35">
      <c r="A815" t="s">
        <v>990</v>
      </c>
      <c r="B815" s="1">
        <v>45803</v>
      </c>
      <c r="C815" t="s">
        <v>63</v>
      </c>
      <c r="D815" t="s">
        <v>54</v>
      </c>
      <c r="E815" t="s">
        <v>64</v>
      </c>
      <c r="F815" t="s">
        <v>54</v>
      </c>
      <c r="G815">
        <v>303.77</v>
      </c>
      <c r="H815" t="s">
        <v>15</v>
      </c>
      <c r="I815" t="s">
        <v>84</v>
      </c>
      <c r="J815" t="s">
        <v>65</v>
      </c>
    </row>
    <row r="816" spans="1:10" x14ac:dyDescent="0.35">
      <c r="A816" t="s">
        <v>991</v>
      </c>
      <c r="B816" s="1">
        <v>45803</v>
      </c>
      <c r="C816" t="s">
        <v>324</v>
      </c>
      <c r="D816" t="s">
        <v>80</v>
      </c>
      <c r="E816" t="s">
        <v>92</v>
      </c>
      <c r="F816" t="s">
        <v>14</v>
      </c>
      <c r="G816">
        <v>19.71</v>
      </c>
      <c r="H816" t="s">
        <v>98</v>
      </c>
      <c r="I816" t="s">
        <v>47</v>
      </c>
      <c r="J816" t="s">
        <v>161</v>
      </c>
    </row>
    <row r="817" spans="1:10" x14ac:dyDescent="0.35">
      <c r="A817" t="s">
        <v>992</v>
      </c>
      <c r="B817" s="1">
        <v>45803</v>
      </c>
      <c r="C817" t="s">
        <v>33</v>
      </c>
      <c r="D817" t="s">
        <v>34</v>
      </c>
      <c r="E817" t="s">
        <v>35</v>
      </c>
      <c r="F817" t="s">
        <v>14</v>
      </c>
      <c r="G817">
        <v>500</v>
      </c>
      <c r="H817" t="s">
        <v>15</v>
      </c>
      <c r="I817" t="s">
        <v>22</v>
      </c>
      <c r="J817" t="s">
        <v>37</v>
      </c>
    </row>
    <row r="818" spans="1:10" x14ac:dyDescent="0.35">
      <c r="A818" t="s">
        <v>993</v>
      </c>
      <c r="B818" s="1">
        <v>45803</v>
      </c>
      <c r="C818" t="s">
        <v>227</v>
      </c>
      <c r="D818" t="s">
        <v>12</v>
      </c>
      <c r="E818" t="s">
        <v>51</v>
      </c>
      <c r="F818" t="s">
        <v>14</v>
      </c>
      <c r="G818">
        <v>112.08</v>
      </c>
      <c r="H818" t="s">
        <v>98</v>
      </c>
      <c r="I818" t="s">
        <v>22</v>
      </c>
      <c r="J818" t="s">
        <v>17</v>
      </c>
    </row>
    <row r="819" spans="1:10" x14ac:dyDescent="0.35">
      <c r="A819" t="s">
        <v>994</v>
      </c>
      <c r="B819" s="1">
        <v>45803</v>
      </c>
      <c r="C819" t="s">
        <v>281</v>
      </c>
      <c r="D819" t="s">
        <v>34</v>
      </c>
      <c r="E819" t="s">
        <v>40</v>
      </c>
      <c r="F819" t="s">
        <v>14</v>
      </c>
      <c r="G819">
        <v>118.51</v>
      </c>
      <c r="H819" t="s">
        <v>15</v>
      </c>
      <c r="I819" t="s">
        <v>22</v>
      </c>
      <c r="J819" t="s">
        <v>123</v>
      </c>
    </row>
    <row r="820" spans="1:10" x14ac:dyDescent="0.35">
      <c r="A820" t="s">
        <v>995</v>
      </c>
      <c r="B820" s="1">
        <v>45803</v>
      </c>
      <c r="C820" t="s">
        <v>153</v>
      </c>
      <c r="D820" t="s">
        <v>34</v>
      </c>
      <c r="E820" t="s">
        <v>122</v>
      </c>
      <c r="F820" t="s">
        <v>14</v>
      </c>
      <c r="G820">
        <v>61.38</v>
      </c>
      <c r="H820" t="s">
        <v>21</v>
      </c>
      <c r="I820" t="s">
        <v>22</v>
      </c>
      <c r="J820" t="s">
        <v>41</v>
      </c>
    </row>
    <row r="821" spans="1:10" x14ac:dyDescent="0.35">
      <c r="A821" t="s">
        <v>996</v>
      </c>
      <c r="B821" s="1">
        <v>45804</v>
      </c>
      <c r="C821" t="s">
        <v>192</v>
      </c>
      <c r="D821" t="s">
        <v>80</v>
      </c>
      <c r="E821" t="s">
        <v>92</v>
      </c>
      <c r="F821" t="s">
        <v>14</v>
      </c>
      <c r="G821">
        <v>58.94</v>
      </c>
      <c r="H821" t="s">
        <v>15</v>
      </c>
      <c r="I821" t="s">
        <v>22</v>
      </c>
      <c r="J821" t="s">
        <v>180</v>
      </c>
    </row>
    <row r="822" spans="1:10" x14ac:dyDescent="0.35">
      <c r="A822" t="s">
        <v>997</v>
      </c>
      <c r="B822" s="1">
        <v>45804</v>
      </c>
      <c r="C822" t="s">
        <v>113</v>
      </c>
      <c r="D822" t="s">
        <v>34</v>
      </c>
      <c r="E822" t="s">
        <v>40</v>
      </c>
      <c r="F822" t="s">
        <v>14</v>
      </c>
      <c r="G822">
        <v>70.36</v>
      </c>
      <c r="H822" t="s">
        <v>15</v>
      </c>
      <c r="I822" t="s">
        <v>22</v>
      </c>
      <c r="J822" t="s">
        <v>37</v>
      </c>
    </row>
    <row r="823" spans="1:10" x14ac:dyDescent="0.35">
      <c r="A823" t="s">
        <v>998</v>
      </c>
      <c r="B823" s="1">
        <v>45806</v>
      </c>
      <c r="C823" t="s">
        <v>132</v>
      </c>
      <c r="D823" t="s">
        <v>69</v>
      </c>
      <c r="E823" t="s">
        <v>70</v>
      </c>
      <c r="F823" t="s">
        <v>14</v>
      </c>
      <c r="G823">
        <v>929.26</v>
      </c>
      <c r="H823" t="s">
        <v>15</v>
      </c>
      <c r="I823" t="s">
        <v>36</v>
      </c>
      <c r="J823" t="s">
        <v>133</v>
      </c>
    </row>
    <row r="824" spans="1:10" x14ac:dyDescent="0.35">
      <c r="A824" t="s">
        <v>999</v>
      </c>
      <c r="B824" s="1">
        <v>45806</v>
      </c>
      <c r="C824" t="s">
        <v>308</v>
      </c>
      <c r="D824" t="s">
        <v>54</v>
      </c>
      <c r="E824" t="s">
        <v>64</v>
      </c>
      <c r="F824" t="s">
        <v>54</v>
      </c>
      <c r="G824">
        <v>359.21</v>
      </c>
      <c r="H824" t="s">
        <v>15</v>
      </c>
      <c r="I824" t="s">
        <v>36</v>
      </c>
      <c r="J824" t="s">
        <v>89</v>
      </c>
    </row>
    <row r="825" spans="1:10" x14ac:dyDescent="0.35">
      <c r="A825" t="s">
        <v>1000</v>
      </c>
      <c r="B825" s="1">
        <v>45806</v>
      </c>
      <c r="C825" t="s">
        <v>19</v>
      </c>
      <c r="D825" t="s">
        <v>12</v>
      </c>
      <c r="E825" t="s">
        <v>13</v>
      </c>
      <c r="F825" t="s">
        <v>14</v>
      </c>
      <c r="G825">
        <v>61.05</v>
      </c>
      <c r="H825" t="s">
        <v>21</v>
      </c>
      <c r="I825" t="s">
        <v>16</v>
      </c>
      <c r="J825" t="s">
        <v>23</v>
      </c>
    </row>
    <row r="826" spans="1:10" x14ac:dyDescent="0.35">
      <c r="A826" t="s">
        <v>1001</v>
      </c>
      <c r="B826" s="1">
        <v>45806</v>
      </c>
      <c r="C826" t="s">
        <v>46</v>
      </c>
      <c r="D826" t="s">
        <v>12</v>
      </c>
      <c r="E826" t="s">
        <v>13</v>
      </c>
      <c r="F826" t="s">
        <v>14</v>
      </c>
      <c r="G826">
        <v>127.26</v>
      </c>
      <c r="H826" t="s">
        <v>98</v>
      </c>
      <c r="I826" t="s">
        <v>36</v>
      </c>
      <c r="J826" t="s">
        <v>48</v>
      </c>
    </row>
    <row r="827" spans="1:10" x14ac:dyDescent="0.35">
      <c r="A827" t="s">
        <v>1002</v>
      </c>
      <c r="B827" s="1">
        <v>45806</v>
      </c>
      <c r="C827" t="s">
        <v>150</v>
      </c>
      <c r="D827" t="s">
        <v>29</v>
      </c>
      <c r="E827" t="s">
        <v>30</v>
      </c>
      <c r="F827" t="s">
        <v>14</v>
      </c>
      <c r="G827">
        <v>15.13</v>
      </c>
      <c r="H827" t="s">
        <v>21</v>
      </c>
      <c r="I827" t="s">
        <v>47</v>
      </c>
      <c r="J827" t="s">
        <v>151</v>
      </c>
    </row>
    <row r="828" spans="1:10" x14ac:dyDescent="0.35">
      <c r="A828" t="s">
        <v>1003</v>
      </c>
      <c r="B828" s="1">
        <v>45806</v>
      </c>
      <c r="C828" t="s">
        <v>153</v>
      </c>
      <c r="D828" t="s">
        <v>34</v>
      </c>
      <c r="E828" t="s">
        <v>122</v>
      </c>
      <c r="F828" t="s">
        <v>14</v>
      </c>
      <c r="G828">
        <v>296.10000000000002</v>
      </c>
      <c r="H828" t="s">
        <v>15</v>
      </c>
      <c r="I828" t="s">
        <v>36</v>
      </c>
      <c r="J828" t="s">
        <v>41</v>
      </c>
    </row>
    <row r="829" spans="1:10" x14ac:dyDescent="0.35">
      <c r="A829" t="s">
        <v>1004</v>
      </c>
      <c r="B829" s="1">
        <v>45807</v>
      </c>
      <c r="C829" t="s">
        <v>376</v>
      </c>
      <c r="D829" t="s">
        <v>80</v>
      </c>
      <c r="E829" t="s">
        <v>117</v>
      </c>
      <c r="F829" t="s">
        <v>14</v>
      </c>
      <c r="G829">
        <v>63.11</v>
      </c>
      <c r="H829" t="s">
        <v>21</v>
      </c>
      <c r="I829" t="s">
        <v>22</v>
      </c>
      <c r="J829" t="s">
        <v>82</v>
      </c>
    </row>
    <row r="830" spans="1:10" x14ac:dyDescent="0.35">
      <c r="A830" t="s">
        <v>1005</v>
      </c>
      <c r="B830" s="1">
        <v>45807</v>
      </c>
      <c r="C830" t="s">
        <v>256</v>
      </c>
      <c r="D830" t="s">
        <v>34</v>
      </c>
      <c r="E830" t="s">
        <v>40</v>
      </c>
      <c r="F830" t="s">
        <v>14</v>
      </c>
      <c r="G830">
        <v>130.72999999999999</v>
      </c>
      <c r="H830" t="s">
        <v>21</v>
      </c>
      <c r="I830" t="s">
        <v>36</v>
      </c>
      <c r="J830" t="s">
        <v>239</v>
      </c>
    </row>
    <row r="831" spans="1:10" x14ac:dyDescent="0.35">
      <c r="A831" t="s">
        <v>1006</v>
      </c>
      <c r="B831" s="1">
        <v>45807</v>
      </c>
      <c r="C831" t="s">
        <v>63</v>
      </c>
      <c r="D831" t="s">
        <v>54</v>
      </c>
      <c r="E831" t="s">
        <v>64</v>
      </c>
      <c r="F831" t="s">
        <v>54</v>
      </c>
      <c r="G831">
        <v>351.91</v>
      </c>
      <c r="H831" t="s">
        <v>15</v>
      </c>
      <c r="I831" t="s">
        <v>47</v>
      </c>
      <c r="J831" t="s">
        <v>65</v>
      </c>
    </row>
    <row r="832" spans="1:10" x14ac:dyDescent="0.35">
      <c r="A832" t="s">
        <v>1007</v>
      </c>
      <c r="B832" s="1">
        <v>45807</v>
      </c>
      <c r="C832" t="s">
        <v>210</v>
      </c>
      <c r="D832" t="s">
        <v>59</v>
      </c>
      <c r="E832" t="s">
        <v>185</v>
      </c>
      <c r="F832" t="s">
        <v>14</v>
      </c>
      <c r="G832">
        <v>317.14</v>
      </c>
      <c r="H832" t="s">
        <v>15</v>
      </c>
      <c r="I832" t="s">
        <v>47</v>
      </c>
      <c r="J832" t="s">
        <v>211</v>
      </c>
    </row>
    <row r="833" spans="1:10" x14ac:dyDescent="0.35">
      <c r="A833" t="s">
        <v>1008</v>
      </c>
      <c r="B833" s="1">
        <v>45807</v>
      </c>
      <c r="C833" t="s">
        <v>76</v>
      </c>
      <c r="D833" t="s">
        <v>12</v>
      </c>
      <c r="E833" t="s">
        <v>13</v>
      </c>
      <c r="F833" t="s">
        <v>14</v>
      </c>
      <c r="G833">
        <v>33.83</v>
      </c>
      <c r="H833" t="s">
        <v>15</v>
      </c>
      <c r="I833" t="s">
        <v>22</v>
      </c>
      <c r="J833" t="s">
        <v>77</v>
      </c>
    </row>
    <row r="834" spans="1:10" x14ac:dyDescent="0.35">
      <c r="A834" t="s">
        <v>1009</v>
      </c>
      <c r="B834" s="1">
        <v>45807</v>
      </c>
      <c r="C834" t="s">
        <v>73</v>
      </c>
      <c r="D834" t="s">
        <v>54</v>
      </c>
      <c r="E834" t="s">
        <v>74</v>
      </c>
      <c r="F834" t="s">
        <v>54</v>
      </c>
      <c r="G834">
        <v>2619.31</v>
      </c>
      <c r="H834" t="s">
        <v>15</v>
      </c>
      <c r="I834" t="s">
        <v>22</v>
      </c>
      <c r="J834" t="s">
        <v>65</v>
      </c>
    </row>
    <row r="835" spans="1:10" x14ac:dyDescent="0.35">
      <c r="A835" t="s">
        <v>1010</v>
      </c>
      <c r="B835" s="1">
        <v>45807</v>
      </c>
      <c r="C835" t="s">
        <v>184</v>
      </c>
      <c r="D835" t="s">
        <v>59</v>
      </c>
      <c r="E835" t="s">
        <v>185</v>
      </c>
      <c r="F835" t="s">
        <v>14</v>
      </c>
      <c r="G835">
        <v>426.36</v>
      </c>
      <c r="H835" t="s">
        <v>21</v>
      </c>
      <c r="I835" t="s">
        <v>36</v>
      </c>
      <c r="J835" t="s">
        <v>61</v>
      </c>
    </row>
    <row r="836" spans="1:10" x14ac:dyDescent="0.35">
      <c r="A836" t="s">
        <v>1011</v>
      </c>
      <c r="B836" s="1">
        <v>45807</v>
      </c>
      <c r="C836" t="s">
        <v>298</v>
      </c>
      <c r="D836" t="s">
        <v>59</v>
      </c>
      <c r="E836" t="s">
        <v>185</v>
      </c>
      <c r="F836" t="s">
        <v>14</v>
      </c>
      <c r="G836">
        <v>446.63</v>
      </c>
      <c r="H836" t="s">
        <v>98</v>
      </c>
      <c r="I836" t="s">
        <v>36</v>
      </c>
      <c r="J836" t="s">
        <v>170</v>
      </c>
    </row>
    <row r="837" spans="1:10" x14ac:dyDescent="0.35">
      <c r="A837" t="s">
        <v>1012</v>
      </c>
      <c r="B837" s="1">
        <v>45808</v>
      </c>
      <c r="C837" t="s">
        <v>88</v>
      </c>
      <c r="D837" t="s">
        <v>54</v>
      </c>
      <c r="E837" t="s">
        <v>74</v>
      </c>
      <c r="F837" t="s">
        <v>54</v>
      </c>
      <c r="G837">
        <v>2730.09</v>
      </c>
      <c r="H837" t="s">
        <v>15</v>
      </c>
      <c r="I837" t="s">
        <v>22</v>
      </c>
      <c r="J837" t="s">
        <v>89</v>
      </c>
    </row>
    <row r="838" spans="1:10" x14ac:dyDescent="0.35">
      <c r="A838" t="s">
        <v>1013</v>
      </c>
      <c r="B838" s="1">
        <v>45808</v>
      </c>
      <c r="C838" t="s">
        <v>177</v>
      </c>
      <c r="D838" t="s">
        <v>54</v>
      </c>
      <c r="E838" t="s">
        <v>74</v>
      </c>
      <c r="F838" t="s">
        <v>54</v>
      </c>
      <c r="G838">
        <v>2525.19</v>
      </c>
      <c r="H838" t="s">
        <v>21</v>
      </c>
      <c r="I838" t="s">
        <v>47</v>
      </c>
      <c r="J838" t="s">
        <v>56</v>
      </c>
    </row>
    <row r="839" spans="1:10" x14ac:dyDescent="0.35">
      <c r="A839" t="s">
        <v>1014</v>
      </c>
      <c r="B839" s="1">
        <v>45809</v>
      </c>
      <c r="C839" t="s">
        <v>46</v>
      </c>
      <c r="D839" t="s">
        <v>12</v>
      </c>
      <c r="E839" t="s">
        <v>13</v>
      </c>
      <c r="F839" t="s">
        <v>14</v>
      </c>
      <c r="G839">
        <v>24.13</v>
      </c>
      <c r="H839" t="s">
        <v>15</v>
      </c>
      <c r="I839" t="s">
        <v>84</v>
      </c>
      <c r="J839" t="s">
        <v>48</v>
      </c>
    </row>
    <row r="840" spans="1:10" x14ac:dyDescent="0.35">
      <c r="A840" t="s">
        <v>1015</v>
      </c>
      <c r="B840" s="1">
        <v>45809</v>
      </c>
      <c r="C840" t="s">
        <v>324</v>
      </c>
      <c r="D840" t="s">
        <v>80</v>
      </c>
      <c r="E840" t="s">
        <v>92</v>
      </c>
      <c r="F840" t="s">
        <v>14</v>
      </c>
      <c r="G840">
        <v>131.94</v>
      </c>
      <c r="H840" t="s">
        <v>15</v>
      </c>
      <c r="I840" t="s">
        <v>36</v>
      </c>
      <c r="J840" t="s">
        <v>161</v>
      </c>
    </row>
    <row r="841" spans="1:10" x14ac:dyDescent="0.35">
      <c r="A841" t="s">
        <v>1016</v>
      </c>
      <c r="B841" s="1">
        <v>45809</v>
      </c>
      <c r="C841" t="s">
        <v>50</v>
      </c>
      <c r="D841" t="s">
        <v>12</v>
      </c>
      <c r="E841" t="s">
        <v>51</v>
      </c>
      <c r="F841" t="s">
        <v>14</v>
      </c>
      <c r="G841">
        <v>64.88</v>
      </c>
      <c r="H841" t="s">
        <v>15</v>
      </c>
      <c r="I841" t="s">
        <v>16</v>
      </c>
      <c r="J841" t="s">
        <v>44</v>
      </c>
    </row>
    <row r="842" spans="1:10" x14ac:dyDescent="0.35">
      <c r="A842" t="s">
        <v>1017</v>
      </c>
      <c r="B842" s="1">
        <v>45809</v>
      </c>
      <c r="C842" t="s">
        <v>296</v>
      </c>
      <c r="D842" t="s">
        <v>101</v>
      </c>
      <c r="E842" t="s">
        <v>136</v>
      </c>
      <c r="F842" t="s">
        <v>14</v>
      </c>
      <c r="G842">
        <v>30.2</v>
      </c>
      <c r="H842" t="s">
        <v>15</v>
      </c>
      <c r="I842" t="s">
        <v>16</v>
      </c>
      <c r="J842" t="s">
        <v>136</v>
      </c>
    </row>
    <row r="843" spans="1:10" x14ac:dyDescent="0.35">
      <c r="A843" t="s">
        <v>1018</v>
      </c>
      <c r="B843" s="1">
        <v>45810</v>
      </c>
      <c r="C843" t="s">
        <v>411</v>
      </c>
      <c r="D843" t="s">
        <v>29</v>
      </c>
      <c r="E843" t="s">
        <v>151</v>
      </c>
      <c r="F843" t="s">
        <v>14</v>
      </c>
      <c r="G843">
        <v>22.6</v>
      </c>
      <c r="H843" t="s">
        <v>15</v>
      </c>
      <c r="I843" t="s">
        <v>36</v>
      </c>
      <c r="J843" t="s">
        <v>151</v>
      </c>
    </row>
    <row r="844" spans="1:10" x14ac:dyDescent="0.35">
      <c r="A844" t="s">
        <v>1019</v>
      </c>
      <c r="B844" s="1">
        <v>45810</v>
      </c>
      <c r="C844" t="s">
        <v>138</v>
      </c>
      <c r="D844" t="s">
        <v>12</v>
      </c>
      <c r="E844" t="s">
        <v>26</v>
      </c>
      <c r="F844" t="s">
        <v>14</v>
      </c>
      <c r="G844">
        <v>180</v>
      </c>
      <c r="H844" t="s">
        <v>15</v>
      </c>
      <c r="I844" t="s">
        <v>47</v>
      </c>
      <c r="J844" t="s">
        <v>77</v>
      </c>
    </row>
    <row r="845" spans="1:10" x14ac:dyDescent="0.35">
      <c r="A845" t="s">
        <v>1020</v>
      </c>
      <c r="B845" s="1">
        <v>45810</v>
      </c>
      <c r="C845" t="s">
        <v>272</v>
      </c>
      <c r="D845" t="s">
        <v>54</v>
      </c>
      <c r="E845" t="s">
        <v>55</v>
      </c>
      <c r="F845" t="s">
        <v>54</v>
      </c>
      <c r="G845">
        <v>674.8</v>
      </c>
      <c r="H845" t="s">
        <v>21</v>
      </c>
      <c r="I845" t="s">
        <v>47</v>
      </c>
      <c r="J845" t="s">
        <v>65</v>
      </c>
    </row>
    <row r="846" spans="1:10" x14ac:dyDescent="0.35">
      <c r="A846" t="s">
        <v>1021</v>
      </c>
      <c r="B846" s="1">
        <v>45810</v>
      </c>
      <c r="C846" t="s">
        <v>198</v>
      </c>
      <c r="D846" t="s">
        <v>59</v>
      </c>
      <c r="E846" t="s">
        <v>199</v>
      </c>
      <c r="F846" t="s">
        <v>14</v>
      </c>
      <c r="G846">
        <v>190.34</v>
      </c>
      <c r="H846" t="s">
        <v>15</v>
      </c>
      <c r="I846" t="s">
        <v>84</v>
      </c>
      <c r="J846" t="s">
        <v>61</v>
      </c>
    </row>
    <row r="847" spans="1:10" x14ac:dyDescent="0.35">
      <c r="A847" t="s">
        <v>1022</v>
      </c>
      <c r="B847" s="1">
        <v>45810</v>
      </c>
      <c r="C847" t="s">
        <v>296</v>
      </c>
      <c r="D847" t="s">
        <v>101</v>
      </c>
      <c r="E847" t="s">
        <v>136</v>
      </c>
      <c r="F847" t="s">
        <v>14</v>
      </c>
      <c r="G847">
        <v>51.02</v>
      </c>
      <c r="H847" t="s">
        <v>15</v>
      </c>
      <c r="I847" t="s">
        <v>22</v>
      </c>
      <c r="J847" t="s">
        <v>136</v>
      </c>
    </row>
    <row r="848" spans="1:10" x14ac:dyDescent="0.35">
      <c r="A848" t="s">
        <v>1023</v>
      </c>
      <c r="B848" s="1">
        <v>45811</v>
      </c>
      <c r="C848" t="s">
        <v>206</v>
      </c>
      <c r="D848" t="s">
        <v>29</v>
      </c>
      <c r="E848" t="s">
        <v>95</v>
      </c>
      <c r="F848" t="s">
        <v>14</v>
      </c>
      <c r="G848">
        <v>46.51</v>
      </c>
      <c r="H848" t="s">
        <v>15</v>
      </c>
      <c r="I848" t="s">
        <v>47</v>
      </c>
      <c r="J848" t="s">
        <v>31</v>
      </c>
    </row>
    <row r="849" spans="1:10" x14ac:dyDescent="0.35">
      <c r="A849" t="s">
        <v>1024</v>
      </c>
      <c r="B849" s="1">
        <v>45811</v>
      </c>
      <c r="C849" t="s">
        <v>251</v>
      </c>
      <c r="D849" t="s">
        <v>29</v>
      </c>
      <c r="E849" t="s">
        <v>151</v>
      </c>
      <c r="F849" t="s">
        <v>14</v>
      </c>
      <c r="G849">
        <v>84.99</v>
      </c>
      <c r="H849" t="s">
        <v>98</v>
      </c>
      <c r="I849" t="s">
        <v>84</v>
      </c>
      <c r="J849" t="s">
        <v>31</v>
      </c>
    </row>
    <row r="850" spans="1:10" x14ac:dyDescent="0.35">
      <c r="A850" t="s">
        <v>1025</v>
      </c>
      <c r="B850" s="1">
        <v>45812</v>
      </c>
      <c r="C850" t="s">
        <v>172</v>
      </c>
      <c r="D850" t="s">
        <v>101</v>
      </c>
      <c r="E850" t="s">
        <v>102</v>
      </c>
      <c r="F850" t="s">
        <v>14</v>
      </c>
      <c r="G850">
        <v>35.36</v>
      </c>
      <c r="H850" t="s">
        <v>15</v>
      </c>
      <c r="I850" t="s">
        <v>47</v>
      </c>
      <c r="J850" t="s">
        <v>102</v>
      </c>
    </row>
    <row r="851" spans="1:10" x14ac:dyDescent="0.35">
      <c r="A851" t="s">
        <v>1026</v>
      </c>
      <c r="B851" s="1">
        <v>45812</v>
      </c>
      <c r="C851" t="s">
        <v>172</v>
      </c>
      <c r="D851" t="s">
        <v>101</v>
      </c>
      <c r="E851" t="s">
        <v>102</v>
      </c>
      <c r="F851" t="s">
        <v>14</v>
      </c>
      <c r="G851">
        <v>52.66</v>
      </c>
      <c r="H851" t="s">
        <v>21</v>
      </c>
      <c r="I851" t="s">
        <v>22</v>
      </c>
      <c r="J851" t="s">
        <v>102</v>
      </c>
    </row>
    <row r="852" spans="1:10" x14ac:dyDescent="0.35">
      <c r="A852" t="s">
        <v>1027</v>
      </c>
      <c r="B852" s="1">
        <v>45812</v>
      </c>
      <c r="C852" t="s">
        <v>113</v>
      </c>
      <c r="D852" t="s">
        <v>34</v>
      </c>
      <c r="E852" t="s">
        <v>40</v>
      </c>
      <c r="F852" t="s">
        <v>14</v>
      </c>
      <c r="G852">
        <v>356.34</v>
      </c>
      <c r="H852" t="s">
        <v>15</v>
      </c>
      <c r="I852" t="s">
        <v>16</v>
      </c>
      <c r="J852" t="s">
        <v>37</v>
      </c>
    </row>
    <row r="853" spans="1:10" x14ac:dyDescent="0.35">
      <c r="A853" t="s">
        <v>1028</v>
      </c>
      <c r="B853" s="1">
        <v>45813</v>
      </c>
      <c r="C853" t="s">
        <v>138</v>
      </c>
      <c r="D853" t="s">
        <v>12</v>
      </c>
      <c r="E853" t="s">
        <v>26</v>
      </c>
      <c r="F853" t="s">
        <v>14</v>
      </c>
      <c r="G853">
        <v>21.42</v>
      </c>
      <c r="H853" t="s">
        <v>15</v>
      </c>
      <c r="I853" t="s">
        <v>47</v>
      </c>
      <c r="J853" t="s">
        <v>77</v>
      </c>
    </row>
    <row r="854" spans="1:10" x14ac:dyDescent="0.35">
      <c r="A854" t="s">
        <v>1029</v>
      </c>
      <c r="B854" s="1">
        <v>45813</v>
      </c>
      <c r="C854" t="s">
        <v>143</v>
      </c>
      <c r="D854" t="s">
        <v>54</v>
      </c>
      <c r="E854" t="s">
        <v>55</v>
      </c>
      <c r="F854" t="s">
        <v>54</v>
      </c>
      <c r="G854">
        <v>916.54</v>
      </c>
      <c r="H854" t="s">
        <v>15</v>
      </c>
      <c r="I854" t="s">
        <v>36</v>
      </c>
      <c r="J854" t="s">
        <v>89</v>
      </c>
    </row>
    <row r="855" spans="1:10" x14ac:dyDescent="0.35">
      <c r="A855" t="s">
        <v>1030</v>
      </c>
      <c r="B855" s="1">
        <v>45813</v>
      </c>
      <c r="C855" t="s">
        <v>376</v>
      </c>
      <c r="D855" t="s">
        <v>80</v>
      </c>
      <c r="E855" t="s">
        <v>117</v>
      </c>
      <c r="F855" t="s">
        <v>14</v>
      </c>
      <c r="G855">
        <v>93.83</v>
      </c>
      <c r="H855" t="s">
        <v>98</v>
      </c>
      <c r="I855" t="s">
        <v>47</v>
      </c>
      <c r="J855" t="s">
        <v>82</v>
      </c>
    </row>
    <row r="856" spans="1:10" x14ac:dyDescent="0.35">
      <c r="A856" t="s">
        <v>1031</v>
      </c>
      <c r="B856" s="1">
        <v>45813</v>
      </c>
      <c r="C856" t="s">
        <v>140</v>
      </c>
      <c r="D856" t="s">
        <v>80</v>
      </c>
      <c r="E856" t="s">
        <v>81</v>
      </c>
      <c r="F856" t="s">
        <v>14</v>
      </c>
      <c r="G856">
        <v>91.49</v>
      </c>
      <c r="H856" t="s">
        <v>15</v>
      </c>
      <c r="I856" t="s">
        <v>36</v>
      </c>
      <c r="J856" t="s">
        <v>141</v>
      </c>
    </row>
    <row r="857" spans="1:10" x14ac:dyDescent="0.35">
      <c r="A857" t="s">
        <v>1032</v>
      </c>
      <c r="B857" s="1">
        <v>45813</v>
      </c>
      <c r="C857" t="s">
        <v>350</v>
      </c>
      <c r="D857" t="s">
        <v>29</v>
      </c>
      <c r="E857" t="s">
        <v>151</v>
      </c>
      <c r="F857" t="s">
        <v>14</v>
      </c>
      <c r="G857">
        <v>59.66</v>
      </c>
      <c r="H857" t="s">
        <v>21</v>
      </c>
      <c r="I857" t="s">
        <v>16</v>
      </c>
      <c r="J857" t="s">
        <v>158</v>
      </c>
    </row>
    <row r="858" spans="1:10" x14ac:dyDescent="0.35">
      <c r="A858" t="s">
        <v>1033</v>
      </c>
      <c r="B858" s="1">
        <v>45813</v>
      </c>
      <c r="C858" t="s">
        <v>267</v>
      </c>
      <c r="D858" t="s">
        <v>29</v>
      </c>
      <c r="E858" t="s">
        <v>30</v>
      </c>
      <c r="F858" t="s">
        <v>14</v>
      </c>
      <c r="G858">
        <v>40.22</v>
      </c>
      <c r="H858" t="s">
        <v>15</v>
      </c>
      <c r="I858" t="s">
        <v>36</v>
      </c>
      <c r="J858" t="s">
        <v>96</v>
      </c>
    </row>
    <row r="859" spans="1:10" x14ac:dyDescent="0.35">
      <c r="A859" t="s">
        <v>1034</v>
      </c>
      <c r="B859" s="1">
        <v>45813</v>
      </c>
      <c r="C859" t="s">
        <v>100</v>
      </c>
      <c r="D859" t="s">
        <v>101</v>
      </c>
      <c r="E859" t="s">
        <v>102</v>
      </c>
      <c r="F859" t="s">
        <v>14</v>
      </c>
      <c r="G859">
        <v>17.71</v>
      </c>
      <c r="H859" t="s">
        <v>15</v>
      </c>
      <c r="I859" t="s">
        <v>36</v>
      </c>
      <c r="J859" t="s">
        <v>103</v>
      </c>
    </row>
    <row r="860" spans="1:10" x14ac:dyDescent="0.35">
      <c r="A860" t="s">
        <v>1035</v>
      </c>
      <c r="B860" s="1">
        <v>45813</v>
      </c>
      <c r="C860" t="s">
        <v>238</v>
      </c>
      <c r="D860" t="s">
        <v>34</v>
      </c>
      <c r="E860" t="s">
        <v>35</v>
      </c>
      <c r="F860" t="s">
        <v>14</v>
      </c>
      <c r="G860">
        <v>25.74</v>
      </c>
      <c r="H860" t="s">
        <v>15</v>
      </c>
      <c r="I860" t="s">
        <v>22</v>
      </c>
      <c r="J860" t="s">
        <v>239</v>
      </c>
    </row>
    <row r="861" spans="1:10" x14ac:dyDescent="0.35">
      <c r="A861" t="s">
        <v>1036</v>
      </c>
      <c r="B861" s="1">
        <v>45813</v>
      </c>
      <c r="C861" t="s">
        <v>210</v>
      </c>
      <c r="D861" t="s">
        <v>59</v>
      </c>
      <c r="E861" t="s">
        <v>185</v>
      </c>
      <c r="F861" t="s">
        <v>14</v>
      </c>
      <c r="G861">
        <v>139.51</v>
      </c>
      <c r="H861" t="s">
        <v>15</v>
      </c>
      <c r="I861" t="s">
        <v>36</v>
      </c>
      <c r="J861" t="s">
        <v>211</v>
      </c>
    </row>
    <row r="862" spans="1:10" x14ac:dyDescent="0.35">
      <c r="A862" t="s">
        <v>1037</v>
      </c>
      <c r="B862" s="1">
        <v>45813</v>
      </c>
      <c r="C862" t="s">
        <v>324</v>
      </c>
      <c r="D862" t="s">
        <v>80</v>
      </c>
      <c r="E862" t="s">
        <v>92</v>
      </c>
      <c r="F862" t="s">
        <v>14</v>
      </c>
      <c r="G862">
        <v>166.17</v>
      </c>
      <c r="H862" t="s">
        <v>21</v>
      </c>
      <c r="I862" t="s">
        <v>47</v>
      </c>
      <c r="J862" t="s">
        <v>161</v>
      </c>
    </row>
    <row r="863" spans="1:10" x14ac:dyDescent="0.35">
      <c r="A863" t="s">
        <v>1038</v>
      </c>
      <c r="B863" s="1">
        <v>45813</v>
      </c>
      <c r="C863" t="s">
        <v>350</v>
      </c>
      <c r="D863" t="s">
        <v>29</v>
      </c>
      <c r="E863" t="s">
        <v>151</v>
      </c>
      <c r="F863" t="s">
        <v>14</v>
      </c>
      <c r="G863">
        <v>26.93</v>
      </c>
      <c r="H863" t="s">
        <v>15</v>
      </c>
      <c r="I863" t="s">
        <v>22</v>
      </c>
      <c r="J863" t="s">
        <v>158</v>
      </c>
    </row>
    <row r="864" spans="1:10" x14ac:dyDescent="0.35">
      <c r="A864" t="s">
        <v>1039</v>
      </c>
      <c r="B864" s="1">
        <v>45814</v>
      </c>
      <c r="C864" t="s">
        <v>269</v>
      </c>
      <c r="D864" t="s">
        <v>34</v>
      </c>
      <c r="E864" t="s">
        <v>35</v>
      </c>
      <c r="F864" t="s">
        <v>14</v>
      </c>
      <c r="G864">
        <v>251.93</v>
      </c>
      <c r="H864" t="s">
        <v>15</v>
      </c>
      <c r="I864" t="s">
        <v>22</v>
      </c>
      <c r="J864" t="s">
        <v>123</v>
      </c>
    </row>
    <row r="865" spans="1:10" x14ac:dyDescent="0.35">
      <c r="A865" t="s">
        <v>1040</v>
      </c>
      <c r="B865" s="1">
        <v>45814</v>
      </c>
      <c r="C865" t="s">
        <v>189</v>
      </c>
      <c r="D865" t="s">
        <v>34</v>
      </c>
      <c r="E865" t="s">
        <v>122</v>
      </c>
      <c r="F865" t="s">
        <v>14</v>
      </c>
      <c r="G865">
        <v>156.99</v>
      </c>
      <c r="H865" t="s">
        <v>15</v>
      </c>
      <c r="I865" t="s">
        <v>22</v>
      </c>
      <c r="J865" t="s">
        <v>37</v>
      </c>
    </row>
    <row r="866" spans="1:10" x14ac:dyDescent="0.35">
      <c r="A866" t="s">
        <v>1041</v>
      </c>
      <c r="B866" s="1">
        <v>45814</v>
      </c>
      <c r="C866" t="s">
        <v>411</v>
      </c>
      <c r="D866" t="s">
        <v>29</v>
      </c>
      <c r="E866" t="s">
        <v>151</v>
      </c>
      <c r="F866" t="s">
        <v>14</v>
      </c>
      <c r="G866">
        <v>12.73</v>
      </c>
      <c r="H866" t="s">
        <v>21</v>
      </c>
      <c r="I866" t="s">
        <v>36</v>
      </c>
      <c r="J866" t="s">
        <v>151</v>
      </c>
    </row>
    <row r="867" spans="1:10" x14ac:dyDescent="0.35">
      <c r="A867" t="s">
        <v>1042</v>
      </c>
      <c r="B867" s="1">
        <v>45814</v>
      </c>
      <c r="C867" t="s">
        <v>100</v>
      </c>
      <c r="D867" t="s">
        <v>101</v>
      </c>
      <c r="E867" t="s">
        <v>102</v>
      </c>
      <c r="F867" t="s">
        <v>14</v>
      </c>
      <c r="G867">
        <v>132.97</v>
      </c>
      <c r="H867" t="s">
        <v>21</v>
      </c>
      <c r="I867" t="s">
        <v>16</v>
      </c>
      <c r="J867" t="s">
        <v>103</v>
      </c>
    </row>
    <row r="868" spans="1:10" x14ac:dyDescent="0.35">
      <c r="A868" t="s">
        <v>1043</v>
      </c>
      <c r="B868" s="1">
        <v>45815</v>
      </c>
      <c r="C868" t="s">
        <v>256</v>
      </c>
      <c r="D868" t="s">
        <v>34</v>
      </c>
      <c r="E868" t="s">
        <v>40</v>
      </c>
      <c r="F868" t="s">
        <v>14</v>
      </c>
      <c r="G868">
        <v>101.17</v>
      </c>
      <c r="H868" t="s">
        <v>21</v>
      </c>
      <c r="I868" t="s">
        <v>84</v>
      </c>
      <c r="J868" t="s">
        <v>239</v>
      </c>
    </row>
    <row r="869" spans="1:10" x14ac:dyDescent="0.35">
      <c r="A869" t="s">
        <v>1044</v>
      </c>
      <c r="B869" s="1">
        <v>45815</v>
      </c>
      <c r="C869" t="s">
        <v>204</v>
      </c>
      <c r="D869" t="s">
        <v>12</v>
      </c>
      <c r="E869" t="s">
        <v>51</v>
      </c>
      <c r="F869" t="s">
        <v>14</v>
      </c>
      <c r="G869">
        <v>35.03</v>
      </c>
      <c r="H869" t="s">
        <v>15</v>
      </c>
      <c r="I869" t="s">
        <v>22</v>
      </c>
      <c r="J869" t="s">
        <v>23</v>
      </c>
    </row>
    <row r="870" spans="1:10" x14ac:dyDescent="0.35">
      <c r="A870" t="s">
        <v>1045</v>
      </c>
      <c r="B870" s="1">
        <v>45815</v>
      </c>
      <c r="C870" t="s">
        <v>248</v>
      </c>
      <c r="D870" t="s">
        <v>80</v>
      </c>
      <c r="E870" t="s">
        <v>81</v>
      </c>
      <c r="F870" t="s">
        <v>14</v>
      </c>
      <c r="G870">
        <v>86.65</v>
      </c>
      <c r="H870" t="s">
        <v>15</v>
      </c>
      <c r="I870" t="s">
        <v>22</v>
      </c>
      <c r="J870" t="s">
        <v>161</v>
      </c>
    </row>
    <row r="871" spans="1:10" x14ac:dyDescent="0.35">
      <c r="A871" t="s">
        <v>1046</v>
      </c>
      <c r="B871" s="1">
        <v>45815</v>
      </c>
      <c r="C871" t="s">
        <v>204</v>
      </c>
      <c r="D871" t="s">
        <v>12</v>
      </c>
      <c r="E871" t="s">
        <v>51</v>
      </c>
      <c r="F871" t="s">
        <v>14</v>
      </c>
      <c r="G871">
        <v>14.49</v>
      </c>
      <c r="H871" t="s">
        <v>21</v>
      </c>
      <c r="I871" t="s">
        <v>22</v>
      </c>
      <c r="J871" t="s">
        <v>23</v>
      </c>
    </row>
    <row r="872" spans="1:10" x14ac:dyDescent="0.35">
      <c r="A872" t="s">
        <v>1047</v>
      </c>
      <c r="B872" s="1">
        <v>45815</v>
      </c>
      <c r="C872" t="s">
        <v>229</v>
      </c>
      <c r="D872" t="s">
        <v>54</v>
      </c>
      <c r="E872" t="s">
        <v>64</v>
      </c>
      <c r="F872" t="s">
        <v>54</v>
      </c>
      <c r="G872">
        <v>356.27</v>
      </c>
      <c r="H872" t="s">
        <v>21</v>
      </c>
      <c r="I872" t="s">
        <v>22</v>
      </c>
      <c r="J872" t="s">
        <v>56</v>
      </c>
    </row>
    <row r="873" spans="1:10" x14ac:dyDescent="0.35">
      <c r="A873" t="s">
        <v>1048</v>
      </c>
      <c r="B873" s="1">
        <v>45815</v>
      </c>
      <c r="C873" t="s">
        <v>79</v>
      </c>
      <c r="D873" t="s">
        <v>80</v>
      </c>
      <c r="E873" t="s">
        <v>81</v>
      </c>
      <c r="F873" t="s">
        <v>14</v>
      </c>
      <c r="G873">
        <v>81.290000000000006</v>
      </c>
      <c r="H873" t="s">
        <v>98</v>
      </c>
      <c r="I873" t="s">
        <v>36</v>
      </c>
      <c r="J873" t="s">
        <v>82</v>
      </c>
    </row>
    <row r="874" spans="1:10" x14ac:dyDescent="0.35">
      <c r="A874" t="s">
        <v>1049</v>
      </c>
      <c r="B874" s="1">
        <v>45815</v>
      </c>
      <c r="C874" t="s">
        <v>138</v>
      </c>
      <c r="D874" t="s">
        <v>12</v>
      </c>
      <c r="E874" t="s">
        <v>26</v>
      </c>
      <c r="F874" t="s">
        <v>14</v>
      </c>
      <c r="G874">
        <v>32.61</v>
      </c>
      <c r="H874" t="s">
        <v>21</v>
      </c>
      <c r="I874" t="s">
        <v>47</v>
      </c>
      <c r="J874" t="s">
        <v>77</v>
      </c>
    </row>
    <row r="875" spans="1:10" x14ac:dyDescent="0.35">
      <c r="A875" t="s">
        <v>1050</v>
      </c>
      <c r="B875" s="1">
        <v>45815</v>
      </c>
      <c r="C875" t="s">
        <v>308</v>
      </c>
      <c r="D875" t="s">
        <v>54</v>
      </c>
      <c r="E875" t="s">
        <v>64</v>
      </c>
      <c r="F875" t="s">
        <v>54</v>
      </c>
      <c r="G875">
        <v>362.69</v>
      </c>
      <c r="H875" t="s">
        <v>21</v>
      </c>
      <c r="I875" t="s">
        <v>22</v>
      </c>
      <c r="J875" t="s">
        <v>89</v>
      </c>
    </row>
    <row r="876" spans="1:10" x14ac:dyDescent="0.35">
      <c r="A876" t="s">
        <v>1051</v>
      </c>
      <c r="B876" s="1">
        <v>45816</v>
      </c>
      <c r="C876" t="s">
        <v>116</v>
      </c>
      <c r="D876" t="s">
        <v>80</v>
      </c>
      <c r="E876" t="s">
        <v>117</v>
      </c>
      <c r="F876" t="s">
        <v>14</v>
      </c>
      <c r="G876">
        <v>99.78</v>
      </c>
      <c r="H876" t="s">
        <v>98</v>
      </c>
      <c r="I876" t="s">
        <v>36</v>
      </c>
      <c r="J876" t="s">
        <v>118</v>
      </c>
    </row>
    <row r="877" spans="1:10" x14ac:dyDescent="0.35">
      <c r="A877" t="s">
        <v>1052</v>
      </c>
      <c r="B877" s="1">
        <v>45817</v>
      </c>
      <c r="C877" t="s">
        <v>160</v>
      </c>
      <c r="D877" t="s">
        <v>80</v>
      </c>
      <c r="E877" t="s">
        <v>117</v>
      </c>
      <c r="F877" t="s">
        <v>14</v>
      </c>
      <c r="G877">
        <v>59.65</v>
      </c>
      <c r="H877" t="s">
        <v>15</v>
      </c>
      <c r="I877" t="s">
        <v>36</v>
      </c>
      <c r="J877" t="s">
        <v>161</v>
      </c>
    </row>
    <row r="878" spans="1:10" x14ac:dyDescent="0.35">
      <c r="A878" t="s">
        <v>1053</v>
      </c>
      <c r="B878" s="1">
        <v>45817</v>
      </c>
      <c r="C878" t="s">
        <v>445</v>
      </c>
      <c r="D878" t="s">
        <v>101</v>
      </c>
      <c r="E878" t="s">
        <v>244</v>
      </c>
      <c r="F878" t="s">
        <v>14</v>
      </c>
      <c r="G878">
        <v>41.75</v>
      </c>
      <c r="H878" t="s">
        <v>15</v>
      </c>
      <c r="I878" t="s">
        <v>22</v>
      </c>
      <c r="J878" t="s">
        <v>103</v>
      </c>
    </row>
    <row r="879" spans="1:10" x14ac:dyDescent="0.35">
      <c r="A879" t="s">
        <v>1054</v>
      </c>
      <c r="B879" s="1">
        <v>45817</v>
      </c>
      <c r="C879" t="s">
        <v>53</v>
      </c>
      <c r="D879" t="s">
        <v>54</v>
      </c>
      <c r="E879" t="s">
        <v>55</v>
      </c>
      <c r="F879" t="s">
        <v>54</v>
      </c>
      <c r="G879">
        <v>695.12</v>
      </c>
      <c r="H879" t="s">
        <v>15</v>
      </c>
      <c r="I879" t="s">
        <v>22</v>
      </c>
      <c r="J879" t="s">
        <v>56</v>
      </c>
    </row>
    <row r="880" spans="1:10" x14ac:dyDescent="0.35">
      <c r="A880" t="s">
        <v>1055</v>
      </c>
      <c r="B880" s="1">
        <v>45817</v>
      </c>
      <c r="C880" t="s">
        <v>76</v>
      </c>
      <c r="D880" t="s">
        <v>12</v>
      </c>
      <c r="E880" t="s">
        <v>13</v>
      </c>
      <c r="F880" t="s">
        <v>14</v>
      </c>
      <c r="G880">
        <v>63.87</v>
      </c>
      <c r="H880" t="s">
        <v>15</v>
      </c>
      <c r="I880" t="s">
        <v>47</v>
      </c>
      <c r="J880" t="s">
        <v>77</v>
      </c>
    </row>
    <row r="881" spans="1:10" x14ac:dyDescent="0.35">
      <c r="A881" t="s">
        <v>1056</v>
      </c>
      <c r="B881" s="1">
        <v>45817</v>
      </c>
      <c r="C881" t="s">
        <v>172</v>
      </c>
      <c r="D881" t="s">
        <v>101</v>
      </c>
      <c r="E881" t="s">
        <v>102</v>
      </c>
      <c r="F881" t="s">
        <v>14</v>
      </c>
      <c r="G881">
        <v>53.53</v>
      </c>
      <c r="H881" t="s">
        <v>15</v>
      </c>
      <c r="I881" t="s">
        <v>36</v>
      </c>
      <c r="J881" t="s">
        <v>102</v>
      </c>
    </row>
    <row r="882" spans="1:10" x14ac:dyDescent="0.35">
      <c r="A882" t="s">
        <v>1057</v>
      </c>
      <c r="B882" s="1">
        <v>45817</v>
      </c>
      <c r="C882" t="s">
        <v>415</v>
      </c>
      <c r="D882" t="s">
        <v>12</v>
      </c>
      <c r="E882" t="s">
        <v>51</v>
      </c>
      <c r="F882" t="s">
        <v>14</v>
      </c>
      <c r="G882">
        <v>51.98</v>
      </c>
      <c r="H882" t="s">
        <v>15</v>
      </c>
      <c r="I882" t="s">
        <v>47</v>
      </c>
      <c r="J882" t="s">
        <v>77</v>
      </c>
    </row>
    <row r="883" spans="1:10" x14ac:dyDescent="0.35">
      <c r="A883" t="s">
        <v>1058</v>
      </c>
      <c r="B883" s="1">
        <v>45817</v>
      </c>
      <c r="C883" t="s">
        <v>253</v>
      </c>
      <c r="D883" t="s">
        <v>29</v>
      </c>
      <c r="E883" t="s">
        <v>30</v>
      </c>
      <c r="F883" t="s">
        <v>14</v>
      </c>
      <c r="G883">
        <v>26.3</v>
      </c>
      <c r="H883" t="s">
        <v>15</v>
      </c>
      <c r="I883" t="s">
        <v>36</v>
      </c>
      <c r="J883" t="s">
        <v>158</v>
      </c>
    </row>
    <row r="884" spans="1:10" x14ac:dyDescent="0.35">
      <c r="A884" t="s">
        <v>1059</v>
      </c>
      <c r="B884" s="1">
        <v>45817</v>
      </c>
      <c r="C884" t="s">
        <v>331</v>
      </c>
      <c r="D884" t="s">
        <v>29</v>
      </c>
      <c r="E884" t="s">
        <v>95</v>
      </c>
      <c r="F884" t="s">
        <v>14</v>
      </c>
      <c r="G884">
        <v>33.99</v>
      </c>
      <c r="H884" t="s">
        <v>15</v>
      </c>
      <c r="I884" t="s">
        <v>22</v>
      </c>
      <c r="J884" t="s">
        <v>151</v>
      </c>
    </row>
    <row r="885" spans="1:10" x14ac:dyDescent="0.35">
      <c r="A885" t="s">
        <v>1060</v>
      </c>
      <c r="B885" s="1">
        <v>45817</v>
      </c>
      <c r="C885" t="s">
        <v>269</v>
      </c>
      <c r="D885" t="s">
        <v>34</v>
      </c>
      <c r="E885" t="s">
        <v>35</v>
      </c>
      <c r="F885" t="s">
        <v>14</v>
      </c>
      <c r="G885">
        <v>278.8</v>
      </c>
      <c r="H885" t="s">
        <v>15</v>
      </c>
      <c r="I885" t="s">
        <v>16</v>
      </c>
      <c r="J885" t="s">
        <v>123</v>
      </c>
    </row>
    <row r="886" spans="1:10" x14ac:dyDescent="0.35">
      <c r="A886" t="s">
        <v>1061</v>
      </c>
      <c r="B886" s="1">
        <v>45818</v>
      </c>
      <c r="C886" t="s">
        <v>464</v>
      </c>
      <c r="D886" t="s">
        <v>34</v>
      </c>
      <c r="E886" t="s">
        <v>122</v>
      </c>
      <c r="F886" t="s">
        <v>14</v>
      </c>
      <c r="G886">
        <v>138.41</v>
      </c>
      <c r="H886" t="s">
        <v>15</v>
      </c>
      <c r="I886" t="s">
        <v>47</v>
      </c>
      <c r="J886" t="s">
        <v>239</v>
      </c>
    </row>
    <row r="887" spans="1:10" x14ac:dyDescent="0.35">
      <c r="A887" t="s">
        <v>1062</v>
      </c>
      <c r="B887" s="1">
        <v>45818</v>
      </c>
      <c r="C887" t="s">
        <v>63</v>
      </c>
      <c r="D887" t="s">
        <v>54</v>
      </c>
      <c r="E887" t="s">
        <v>64</v>
      </c>
      <c r="F887" t="s">
        <v>54</v>
      </c>
      <c r="G887">
        <v>330.41</v>
      </c>
      <c r="H887" t="s">
        <v>21</v>
      </c>
      <c r="I887" t="s">
        <v>22</v>
      </c>
      <c r="J887" t="s">
        <v>65</v>
      </c>
    </row>
    <row r="888" spans="1:10" x14ac:dyDescent="0.35">
      <c r="A888" t="s">
        <v>1063</v>
      </c>
      <c r="B888" s="1">
        <v>45818</v>
      </c>
      <c r="C888" t="s">
        <v>153</v>
      </c>
      <c r="D888" t="s">
        <v>34</v>
      </c>
      <c r="E888" t="s">
        <v>122</v>
      </c>
      <c r="F888" t="s">
        <v>14</v>
      </c>
      <c r="G888">
        <v>82.46</v>
      </c>
      <c r="H888" t="s">
        <v>15</v>
      </c>
      <c r="I888" t="s">
        <v>22</v>
      </c>
      <c r="J888" t="s">
        <v>41</v>
      </c>
    </row>
    <row r="889" spans="1:10" x14ac:dyDescent="0.35">
      <c r="A889" t="s">
        <v>1064</v>
      </c>
      <c r="B889" s="1">
        <v>45818</v>
      </c>
      <c r="C889" t="s">
        <v>140</v>
      </c>
      <c r="D889" t="s">
        <v>80</v>
      </c>
      <c r="E889" t="s">
        <v>81</v>
      </c>
      <c r="F889" t="s">
        <v>14</v>
      </c>
      <c r="G889">
        <v>69.27</v>
      </c>
      <c r="H889" t="s">
        <v>15</v>
      </c>
      <c r="I889" t="s">
        <v>22</v>
      </c>
      <c r="J889" t="s">
        <v>141</v>
      </c>
    </row>
    <row r="890" spans="1:10" x14ac:dyDescent="0.35">
      <c r="A890" t="s">
        <v>1065</v>
      </c>
      <c r="B890" s="1">
        <v>45818</v>
      </c>
      <c r="C890" t="s">
        <v>184</v>
      </c>
      <c r="D890" t="s">
        <v>59</v>
      </c>
      <c r="E890" t="s">
        <v>185</v>
      </c>
      <c r="F890" t="s">
        <v>14</v>
      </c>
      <c r="G890">
        <v>151.38</v>
      </c>
      <c r="H890" t="s">
        <v>21</v>
      </c>
      <c r="I890" t="s">
        <v>36</v>
      </c>
      <c r="J890" t="s">
        <v>61</v>
      </c>
    </row>
    <row r="891" spans="1:10" x14ac:dyDescent="0.35">
      <c r="A891" t="s">
        <v>1066</v>
      </c>
      <c r="B891" s="1">
        <v>45818</v>
      </c>
      <c r="C891" t="s">
        <v>168</v>
      </c>
      <c r="D891" t="s">
        <v>59</v>
      </c>
      <c r="E891" t="s">
        <v>60</v>
      </c>
      <c r="F891" t="s">
        <v>14</v>
      </c>
      <c r="G891">
        <v>148.54</v>
      </c>
      <c r="H891" t="s">
        <v>15</v>
      </c>
      <c r="I891" t="s">
        <v>47</v>
      </c>
      <c r="J891" t="s">
        <v>170</v>
      </c>
    </row>
    <row r="892" spans="1:10" x14ac:dyDescent="0.35">
      <c r="A892" t="s">
        <v>1067</v>
      </c>
      <c r="B892" s="1">
        <v>45818</v>
      </c>
      <c r="C892" t="s">
        <v>121</v>
      </c>
      <c r="D892" t="s">
        <v>34</v>
      </c>
      <c r="E892" t="s">
        <v>122</v>
      </c>
      <c r="F892" t="s">
        <v>14</v>
      </c>
      <c r="G892">
        <v>392.4</v>
      </c>
      <c r="H892" t="s">
        <v>21</v>
      </c>
      <c r="I892" t="s">
        <v>22</v>
      </c>
      <c r="J892" t="s">
        <v>123</v>
      </c>
    </row>
    <row r="893" spans="1:10" x14ac:dyDescent="0.35">
      <c r="A893" t="s">
        <v>1068</v>
      </c>
      <c r="B893" s="1">
        <v>45819</v>
      </c>
      <c r="C893" t="s">
        <v>296</v>
      </c>
      <c r="D893" t="s">
        <v>101</v>
      </c>
      <c r="E893" t="s">
        <v>136</v>
      </c>
      <c r="F893" t="s">
        <v>14</v>
      </c>
      <c r="G893">
        <v>173.42</v>
      </c>
      <c r="H893" t="s">
        <v>15</v>
      </c>
      <c r="I893" t="s">
        <v>16</v>
      </c>
      <c r="J893" t="s">
        <v>136</v>
      </c>
    </row>
    <row r="894" spans="1:10" x14ac:dyDescent="0.35">
      <c r="A894" t="s">
        <v>1069</v>
      </c>
      <c r="B894" s="1">
        <v>45819</v>
      </c>
      <c r="C894" t="s">
        <v>238</v>
      </c>
      <c r="D894" t="s">
        <v>34</v>
      </c>
      <c r="E894" t="s">
        <v>35</v>
      </c>
      <c r="F894" t="s">
        <v>14</v>
      </c>
      <c r="G894">
        <v>332.87</v>
      </c>
      <c r="H894" t="s">
        <v>15</v>
      </c>
      <c r="I894" t="s">
        <v>16</v>
      </c>
      <c r="J894" t="s">
        <v>239</v>
      </c>
    </row>
    <row r="895" spans="1:10" x14ac:dyDescent="0.35">
      <c r="A895" t="s">
        <v>1070</v>
      </c>
      <c r="B895" s="1">
        <v>45819</v>
      </c>
      <c r="C895" t="s">
        <v>79</v>
      </c>
      <c r="D895" t="s">
        <v>80</v>
      </c>
      <c r="E895" t="s">
        <v>81</v>
      </c>
      <c r="F895" t="s">
        <v>14</v>
      </c>
      <c r="G895">
        <v>230.32</v>
      </c>
      <c r="H895" t="s">
        <v>21</v>
      </c>
      <c r="I895" t="s">
        <v>36</v>
      </c>
      <c r="J895" t="s">
        <v>82</v>
      </c>
    </row>
    <row r="896" spans="1:10" x14ac:dyDescent="0.35">
      <c r="A896" t="s">
        <v>1071</v>
      </c>
      <c r="B896" s="1">
        <v>45819</v>
      </c>
      <c r="C896" t="s">
        <v>272</v>
      </c>
      <c r="D896" t="s">
        <v>54</v>
      </c>
      <c r="E896" t="s">
        <v>55</v>
      </c>
      <c r="F896" t="s">
        <v>54</v>
      </c>
      <c r="G896">
        <v>796.65</v>
      </c>
      <c r="H896" t="s">
        <v>15</v>
      </c>
      <c r="I896" t="s">
        <v>36</v>
      </c>
      <c r="J896" t="s">
        <v>65</v>
      </c>
    </row>
    <row r="897" spans="1:10" x14ac:dyDescent="0.35">
      <c r="A897" t="s">
        <v>1072</v>
      </c>
      <c r="B897" s="1">
        <v>45819</v>
      </c>
      <c r="C897" t="s">
        <v>140</v>
      </c>
      <c r="D897" t="s">
        <v>80</v>
      </c>
      <c r="E897" t="s">
        <v>81</v>
      </c>
      <c r="F897" t="s">
        <v>14</v>
      </c>
      <c r="G897">
        <v>33.950000000000003</v>
      </c>
      <c r="H897" t="s">
        <v>15</v>
      </c>
      <c r="I897" t="s">
        <v>36</v>
      </c>
      <c r="J897" t="s">
        <v>141</v>
      </c>
    </row>
    <row r="898" spans="1:10" x14ac:dyDescent="0.35">
      <c r="A898" t="s">
        <v>1073</v>
      </c>
      <c r="B898" s="1">
        <v>45819</v>
      </c>
      <c r="C898" t="s">
        <v>28</v>
      </c>
      <c r="D898" t="s">
        <v>29</v>
      </c>
      <c r="E898" t="s">
        <v>30</v>
      </c>
      <c r="F898" t="s">
        <v>14</v>
      </c>
      <c r="G898">
        <v>118.89</v>
      </c>
      <c r="H898" t="s">
        <v>15</v>
      </c>
      <c r="I898" t="s">
        <v>16</v>
      </c>
      <c r="J898" t="s">
        <v>31</v>
      </c>
    </row>
    <row r="899" spans="1:10" x14ac:dyDescent="0.35">
      <c r="A899" t="s">
        <v>1074</v>
      </c>
      <c r="B899" s="1">
        <v>45820</v>
      </c>
      <c r="C899" t="s">
        <v>175</v>
      </c>
      <c r="D899" t="s">
        <v>80</v>
      </c>
      <c r="E899" t="s">
        <v>92</v>
      </c>
      <c r="F899" t="s">
        <v>14</v>
      </c>
      <c r="G899">
        <v>199.74</v>
      </c>
      <c r="H899" t="s">
        <v>15</v>
      </c>
      <c r="I899" t="s">
        <v>16</v>
      </c>
      <c r="J899" t="s">
        <v>141</v>
      </c>
    </row>
    <row r="900" spans="1:10" x14ac:dyDescent="0.35">
      <c r="A900" t="s">
        <v>1075</v>
      </c>
      <c r="B900" s="1">
        <v>45820</v>
      </c>
      <c r="C900" t="s">
        <v>11</v>
      </c>
      <c r="D900" t="s">
        <v>12</v>
      </c>
      <c r="E900" t="s">
        <v>13</v>
      </c>
      <c r="F900" t="s">
        <v>14</v>
      </c>
      <c r="G900">
        <v>66.56</v>
      </c>
      <c r="H900" t="s">
        <v>15</v>
      </c>
      <c r="I900" t="s">
        <v>22</v>
      </c>
      <c r="J900" t="s">
        <v>17</v>
      </c>
    </row>
    <row r="901" spans="1:10" x14ac:dyDescent="0.35">
      <c r="A901" t="s">
        <v>1076</v>
      </c>
      <c r="B901" s="1">
        <v>45820</v>
      </c>
      <c r="C901" t="s">
        <v>345</v>
      </c>
      <c r="D901" t="s">
        <v>59</v>
      </c>
      <c r="E901" t="s">
        <v>60</v>
      </c>
      <c r="F901" t="s">
        <v>14</v>
      </c>
      <c r="G901">
        <v>261.25</v>
      </c>
      <c r="H901" t="s">
        <v>15</v>
      </c>
      <c r="I901" t="s">
        <v>84</v>
      </c>
      <c r="J901" t="s">
        <v>211</v>
      </c>
    </row>
    <row r="902" spans="1:10" x14ac:dyDescent="0.35">
      <c r="A902" t="s">
        <v>1077</v>
      </c>
      <c r="B902" s="1">
        <v>45820</v>
      </c>
      <c r="C902" t="s">
        <v>125</v>
      </c>
      <c r="D902" t="s">
        <v>12</v>
      </c>
      <c r="E902" t="s">
        <v>13</v>
      </c>
      <c r="F902" t="s">
        <v>14</v>
      </c>
      <c r="G902">
        <v>24.12</v>
      </c>
      <c r="H902" t="s">
        <v>15</v>
      </c>
      <c r="I902" t="s">
        <v>22</v>
      </c>
      <c r="J902" t="s">
        <v>44</v>
      </c>
    </row>
    <row r="903" spans="1:10" x14ac:dyDescent="0.35">
      <c r="A903" t="s">
        <v>1078</v>
      </c>
      <c r="B903" s="1">
        <v>45820</v>
      </c>
      <c r="C903" t="s">
        <v>113</v>
      </c>
      <c r="D903" t="s">
        <v>34</v>
      </c>
      <c r="E903" t="s">
        <v>40</v>
      </c>
      <c r="F903" t="s">
        <v>14</v>
      </c>
      <c r="G903">
        <v>89.15</v>
      </c>
      <c r="H903" t="s">
        <v>15</v>
      </c>
      <c r="I903" t="s">
        <v>16</v>
      </c>
      <c r="J903" t="s">
        <v>37</v>
      </c>
    </row>
    <row r="904" spans="1:10" x14ac:dyDescent="0.35">
      <c r="A904" t="s">
        <v>1079</v>
      </c>
      <c r="B904" s="1">
        <v>45821</v>
      </c>
      <c r="C904" t="s">
        <v>543</v>
      </c>
      <c r="D904" t="s">
        <v>69</v>
      </c>
      <c r="E904" t="s">
        <v>70</v>
      </c>
      <c r="F904" t="s">
        <v>14</v>
      </c>
      <c r="G904">
        <v>584.61</v>
      </c>
      <c r="H904" t="s">
        <v>15</v>
      </c>
      <c r="I904" t="s">
        <v>36</v>
      </c>
      <c r="J904" t="s">
        <v>292</v>
      </c>
    </row>
    <row r="905" spans="1:10" x14ac:dyDescent="0.35">
      <c r="A905" t="s">
        <v>1080</v>
      </c>
      <c r="B905" s="1">
        <v>45821</v>
      </c>
      <c r="C905" t="s">
        <v>217</v>
      </c>
      <c r="D905" t="s">
        <v>80</v>
      </c>
      <c r="E905" t="s">
        <v>81</v>
      </c>
      <c r="F905" t="s">
        <v>14</v>
      </c>
      <c r="G905">
        <v>17.3</v>
      </c>
      <c r="H905" t="s">
        <v>98</v>
      </c>
      <c r="I905" t="s">
        <v>84</v>
      </c>
      <c r="J905" t="s">
        <v>180</v>
      </c>
    </row>
    <row r="906" spans="1:10" x14ac:dyDescent="0.35">
      <c r="A906" t="s">
        <v>1081</v>
      </c>
      <c r="B906" s="1">
        <v>45821</v>
      </c>
      <c r="C906" t="s">
        <v>130</v>
      </c>
      <c r="D906" t="s">
        <v>12</v>
      </c>
      <c r="E906" t="s">
        <v>26</v>
      </c>
      <c r="F906" t="s">
        <v>14</v>
      </c>
      <c r="G906">
        <v>52.45</v>
      </c>
      <c r="H906" t="s">
        <v>15</v>
      </c>
      <c r="I906" t="s">
        <v>22</v>
      </c>
      <c r="J906" t="s">
        <v>48</v>
      </c>
    </row>
    <row r="907" spans="1:10" x14ac:dyDescent="0.35">
      <c r="A907" t="s">
        <v>1082</v>
      </c>
      <c r="B907" s="1">
        <v>45821</v>
      </c>
      <c r="C907" t="s">
        <v>125</v>
      </c>
      <c r="D907" t="s">
        <v>12</v>
      </c>
      <c r="E907" t="s">
        <v>13</v>
      </c>
      <c r="F907" t="s">
        <v>14</v>
      </c>
      <c r="G907">
        <v>63.91</v>
      </c>
      <c r="H907" t="s">
        <v>15</v>
      </c>
      <c r="I907" t="s">
        <v>22</v>
      </c>
      <c r="J907" t="s">
        <v>44</v>
      </c>
    </row>
    <row r="908" spans="1:10" x14ac:dyDescent="0.35">
      <c r="A908" t="s">
        <v>1083</v>
      </c>
      <c r="B908" s="1">
        <v>45821</v>
      </c>
      <c r="C908" t="s">
        <v>267</v>
      </c>
      <c r="D908" t="s">
        <v>29</v>
      </c>
      <c r="E908" t="s">
        <v>30</v>
      </c>
      <c r="F908" t="s">
        <v>14</v>
      </c>
      <c r="G908">
        <v>23.77</v>
      </c>
      <c r="H908" t="s">
        <v>15</v>
      </c>
      <c r="I908" t="s">
        <v>16</v>
      </c>
      <c r="J908" t="s">
        <v>96</v>
      </c>
    </row>
    <row r="909" spans="1:10" x14ac:dyDescent="0.35">
      <c r="A909" t="s">
        <v>1084</v>
      </c>
      <c r="B909" s="1">
        <v>45821</v>
      </c>
      <c r="C909" t="s">
        <v>58</v>
      </c>
      <c r="D909" t="s">
        <v>59</v>
      </c>
      <c r="E909" t="s">
        <v>60</v>
      </c>
      <c r="F909" t="s">
        <v>14</v>
      </c>
      <c r="G909">
        <v>409.97</v>
      </c>
      <c r="H909" t="s">
        <v>15</v>
      </c>
      <c r="I909" t="s">
        <v>84</v>
      </c>
      <c r="J909" t="s">
        <v>61</v>
      </c>
    </row>
    <row r="910" spans="1:10" x14ac:dyDescent="0.35">
      <c r="A910" t="s">
        <v>1085</v>
      </c>
      <c r="B910" s="1">
        <v>45821</v>
      </c>
      <c r="C910" t="s">
        <v>143</v>
      </c>
      <c r="D910" t="s">
        <v>54</v>
      </c>
      <c r="E910" t="s">
        <v>55</v>
      </c>
      <c r="F910" t="s">
        <v>54</v>
      </c>
      <c r="G910">
        <v>751.38</v>
      </c>
      <c r="H910" t="s">
        <v>15</v>
      </c>
      <c r="I910" t="s">
        <v>47</v>
      </c>
      <c r="J910" t="s">
        <v>89</v>
      </c>
    </row>
    <row r="911" spans="1:10" x14ac:dyDescent="0.35">
      <c r="A911" t="s">
        <v>1086</v>
      </c>
      <c r="B911" s="1">
        <v>45822</v>
      </c>
      <c r="C911" t="s">
        <v>121</v>
      </c>
      <c r="D911" t="s">
        <v>34</v>
      </c>
      <c r="E911" t="s">
        <v>122</v>
      </c>
      <c r="F911" t="s">
        <v>14</v>
      </c>
      <c r="G911">
        <v>142.66999999999999</v>
      </c>
      <c r="H911" t="s">
        <v>15</v>
      </c>
      <c r="I911" t="s">
        <v>36</v>
      </c>
      <c r="J911" t="s">
        <v>123</v>
      </c>
    </row>
    <row r="912" spans="1:10" x14ac:dyDescent="0.35">
      <c r="A912" t="s">
        <v>1087</v>
      </c>
      <c r="B912" s="1">
        <v>45822</v>
      </c>
      <c r="C912" t="s">
        <v>248</v>
      </c>
      <c r="D912" t="s">
        <v>80</v>
      </c>
      <c r="E912" t="s">
        <v>81</v>
      </c>
      <c r="F912" t="s">
        <v>14</v>
      </c>
      <c r="G912">
        <v>50.65</v>
      </c>
      <c r="H912" t="s">
        <v>15</v>
      </c>
      <c r="I912" t="s">
        <v>22</v>
      </c>
      <c r="J912" t="s">
        <v>161</v>
      </c>
    </row>
    <row r="913" spans="1:10" x14ac:dyDescent="0.35">
      <c r="A913" t="s">
        <v>1088</v>
      </c>
      <c r="B913" s="1">
        <v>45822</v>
      </c>
      <c r="C913" t="s">
        <v>229</v>
      </c>
      <c r="D913" t="s">
        <v>54</v>
      </c>
      <c r="E913" t="s">
        <v>64</v>
      </c>
      <c r="F913" t="s">
        <v>54</v>
      </c>
      <c r="G913">
        <v>374.76</v>
      </c>
      <c r="H913" t="s">
        <v>15</v>
      </c>
      <c r="I913" t="s">
        <v>84</v>
      </c>
      <c r="J913" t="s">
        <v>56</v>
      </c>
    </row>
    <row r="914" spans="1:10" x14ac:dyDescent="0.35">
      <c r="A914" t="s">
        <v>1089</v>
      </c>
      <c r="B914" s="1">
        <v>45822</v>
      </c>
      <c r="C914" t="s">
        <v>43</v>
      </c>
      <c r="D914" t="s">
        <v>12</v>
      </c>
      <c r="E914" t="s">
        <v>26</v>
      </c>
      <c r="F914" t="s">
        <v>14</v>
      </c>
      <c r="G914">
        <v>26.13</v>
      </c>
      <c r="H914" t="s">
        <v>15</v>
      </c>
      <c r="I914" t="s">
        <v>47</v>
      </c>
      <c r="J914" t="s">
        <v>44</v>
      </c>
    </row>
    <row r="915" spans="1:10" x14ac:dyDescent="0.35">
      <c r="A915" t="s">
        <v>1090</v>
      </c>
      <c r="B915" s="1">
        <v>45822</v>
      </c>
      <c r="C915" t="s">
        <v>19</v>
      </c>
      <c r="D915" t="s">
        <v>12</v>
      </c>
      <c r="E915" t="s">
        <v>13</v>
      </c>
      <c r="F915" t="s">
        <v>14</v>
      </c>
      <c r="G915">
        <v>43.49</v>
      </c>
      <c r="H915" t="s">
        <v>21</v>
      </c>
      <c r="I915" t="s">
        <v>22</v>
      </c>
      <c r="J915" t="s">
        <v>23</v>
      </c>
    </row>
    <row r="916" spans="1:10" x14ac:dyDescent="0.35">
      <c r="A916" t="s">
        <v>1091</v>
      </c>
      <c r="B916" s="1">
        <v>45822</v>
      </c>
      <c r="C916" t="s">
        <v>125</v>
      </c>
      <c r="D916" t="s">
        <v>12</v>
      </c>
      <c r="E916" t="s">
        <v>13</v>
      </c>
      <c r="F916" t="s">
        <v>14</v>
      </c>
      <c r="G916">
        <v>62.01</v>
      </c>
      <c r="H916" t="s">
        <v>21</v>
      </c>
      <c r="I916" t="s">
        <v>36</v>
      </c>
      <c r="J916" t="s">
        <v>44</v>
      </c>
    </row>
    <row r="917" spans="1:10" x14ac:dyDescent="0.35">
      <c r="A917" t="s">
        <v>1092</v>
      </c>
      <c r="B917" s="1">
        <v>45822</v>
      </c>
      <c r="C917" t="s">
        <v>88</v>
      </c>
      <c r="D917" t="s">
        <v>54</v>
      </c>
      <c r="E917" t="s">
        <v>74</v>
      </c>
      <c r="F917" t="s">
        <v>54</v>
      </c>
      <c r="G917">
        <v>2725.53</v>
      </c>
      <c r="H917" t="s">
        <v>15</v>
      </c>
      <c r="I917" t="s">
        <v>47</v>
      </c>
      <c r="J917" t="s">
        <v>89</v>
      </c>
    </row>
    <row r="918" spans="1:10" x14ac:dyDescent="0.35">
      <c r="A918" t="s">
        <v>1093</v>
      </c>
      <c r="B918" s="1">
        <v>45823</v>
      </c>
      <c r="C918" t="s">
        <v>63</v>
      </c>
      <c r="D918" t="s">
        <v>54</v>
      </c>
      <c r="E918" t="s">
        <v>64</v>
      </c>
      <c r="F918" t="s">
        <v>54</v>
      </c>
      <c r="G918">
        <v>346.4</v>
      </c>
      <c r="H918" t="s">
        <v>15</v>
      </c>
      <c r="I918" t="s">
        <v>22</v>
      </c>
      <c r="J918" t="s">
        <v>65</v>
      </c>
    </row>
    <row r="919" spans="1:10" x14ac:dyDescent="0.35">
      <c r="A919" t="s">
        <v>1094</v>
      </c>
      <c r="B919" s="1">
        <v>45823</v>
      </c>
      <c r="C919" t="s">
        <v>121</v>
      </c>
      <c r="D919" t="s">
        <v>34</v>
      </c>
      <c r="E919" t="s">
        <v>122</v>
      </c>
      <c r="F919" t="s">
        <v>14</v>
      </c>
      <c r="G919">
        <v>84.17</v>
      </c>
      <c r="H919" t="s">
        <v>15</v>
      </c>
      <c r="I919" t="s">
        <v>16</v>
      </c>
      <c r="J919" t="s">
        <v>123</v>
      </c>
    </row>
    <row r="920" spans="1:10" x14ac:dyDescent="0.35">
      <c r="A920" t="s">
        <v>1095</v>
      </c>
      <c r="B920" s="1">
        <v>45823</v>
      </c>
      <c r="C920" t="s">
        <v>50</v>
      </c>
      <c r="D920" t="s">
        <v>12</v>
      </c>
      <c r="E920" t="s">
        <v>51</v>
      </c>
      <c r="F920" t="s">
        <v>14</v>
      </c>
      <c r="G920">
        <v>88.02</v>
      </c>
      <c r="H920" t="s">
        <v>15</v>
      </c>
      <c r="I920" t="s">
        <v>22</v>
      </c>
      <c r="J920" t="s">
        <v>44</v>
      </c>
    </row>
    <row r="921" spans="1:10" x14ac:dyDescent="0.35">
      <c r="A921" t="s">
        <v>1096</v>
      </c>
      <c r="B921" s="1">
        <v>45823</v>
      </c>
      <c r="C921" t="s">
        <v>198</v>
      </c>
      <c r="D921" t="s">
        <v>59</v>
      </c>
      <c r="E921" t="s">
        <v>199</v>
      </c>
      <c r="F921" t="s">
        <v>14</v>
      </c>
      <c r="G921">
        <v>114.22</v>
      </c>
      <c r="H921" t="s">
        <v>15</v>
      </c>
      <c r="I921" t="s">
        <v>36</v>
      </c>
      <c r="J921" t="s">
        <v>61</v>
      </c>
    </row>
    <row r="922" spans="1:10" x14ac:dyDescent="0.35">
      <c r="A922" t="s">
        <v>1097</v>
      </c>
      <c r="B922" s="1">
        <v>45823</v>
      </c>
      <c r="C922" t="s">
        <v>111</v>
      </c>
      <c r="D922" t="s">
        <v>12</v>
      </c>
      <c r="E922" t="s">
        <v>26</v>
      </c>
      <c r="F922" t="s">
        <v>14</v>
      </c>
      <c r="G922">
        <v>17.149999999999999</v>
      </c>
      <c r="H922" t="s">
        <v>15</v>
      </c>
      <c r="I922" t="s">
        <v>22</v>
      </c>
      <c r="J922" t="s">
        <v>23</v>
      </c>
    </row>
    <row r="923" spans="1:10" x14ac:dyDescent="0.35">
      <c r="A923" t="s">
        <v>1098</v>
      </c>
      <c r="B923" s="1">
        <v>45823</v>
      </c>
      <c r="C923" t="s">
        <v>138</v>
      </c>
      <c r="D923" t="s">
        <v>12</v>
      </c>
      <c r="E923" t="s">
        <v>26</v>
      </c>
      <c r="F923" t="s">
        <v>14</v>
      </c>
      <c r="G923">
        <v>29.23</v>
      </c>
      <c r="H923" t="s">
        <v>15</v>
      </c>
      <c r="I923" t="s">
        <v>22</v>
      </c>
      <c r="J923" t="s">
        <v>77</v>
      </c>
    </row>
    <row r="924" spans="1:10" x14ac:dyDescent="0.35">
      <c r="A924" t="s">
        <v>1099</v>
      </c>
      <c r="B924" s="1">
        <v>45823</v>
      </c>
      <c r="C924" t="s">
        <v>184</v>
      </c>
      <c r="D924" t="s">
        <v>59</v>
      </c>
      <c r="E924" t="s">
        <v>185</v>
      </c>
      <c r="F924" t="s">
        <v>14</v>
      </c>
      <c r="G924">
        <v>206.65</v>
      </c>
      <c r="H924" t="s">
        <v>21</v>
      </c>
      <c r="I924" t="s">
        <v>47</v>
      </c>
      <c r="J924" t="s">
        <v>61</v>
      </c>
    </row>
    <row r="925" spans="1:10" x14ac:dyDescent="0.35">
      <c r="A925" t="s">
        <v>1100</v>
      </c>
      <c r="B925" s="1">
        <v>45824</v>
      </c>
      <c r="C925" t="s">
        <v>464</v>
      </c>
      <c r="D925" t="s">
        <v>34</v>
      </c>
      <c r="E925" t="s">
        <v>122</v>
      </c>
      <c r="F925" t="s">
        <v>14</v>
      </c>
      <c r="G925">
        <v>170.25</v>
      </c>
      <c r="H925" t="s">
        <v>15</v>
      </c>
      <c r="I925" t="s">
        <v>22</v>
      </c>
      <c r="J925" t="s">
        <v>239</v>
      </c>
    </row>
    <row r="926" spans="1:10" x14ac:dyDescent="0.35">
      <c r="A926" t="s">
        <v>1101</v>
      </c>
      <c r="B926" s="1">
        <v>45824</v>
      </c>
      <c r="C926" t="s">
        <v>11</v>
      </c>
      <c r="D926" t="s">
        <v>12</v>
      </c>
      <c r="E926" t="s">
        <v>13</v>
      </c>
      <c r="F926" t="s">
        <v>14</v>
      </c>
      <c r="G926">
        <v>29.21</v>
      </c>
      <c r="H926" t="s">
        <v>15</v>
      </c>
      <c r="I926" t="s">
        <v>16</v>
      </c>
      <c r="J926" t="s">
        <v>17</v>
      </c>
    </row>
    <row r="927" spans="1:10" x14ac:dyDescent="0.35">
      <c r="A927" t="s">
        <v>1102</v>
      </c>
      <c r="B927" s="1">
        <v>45824</v>
      </c>
      <c r="C927" t="s">
        <v>153</v>
      </c>
      <c r="D927" t="s">
        <v>34</v>
      </c>
      <c r="E927" t="s">
        <v>122</v>
      </c>
      <c r="F927" t="s">
        <v>14</v>
      </c>
      <c r="G927">
        <v>131.94</v>
      </c>
      <c r="H927" t="s">
        <v>21</v>
      </c>
      <c r="I927" t="s">
        <v>22</v>
      </c>
      <c r="J927" t="s">
        <v>41</v>
      </c>
    </row>
    <row r="928" spans="1:10" x14ac:dyDescent="0.35">
      <c r="A928" t="s">
        <v>1103</v>
      </c>
      <c r="B928" s="1">
        <v>45824</v>
      </c>
      <c r="C928" t="s">
        <v>76</v>
      </c>
      <c r="D928" t="s">
        <v>12</v>
      </c>
      <c r="E928" t="s">
        <v>13</v>
      </c>
      <c r="F928" t="s">
        <v>14</v>
      </c>
      <c r="G928">
        <v>45.2</v>
      </c>
      <c r="H928" t="s">
        <v>15</v>
      </c>
      <c r="I928" t="s">
        <v>16</v>
      </c>
      <c r="J928" t="s">
        <v>77</v>
      </c>
    </row>
    <row r="929" spans="1:10" x14ac:dyDescent="0.35">
      <c r="A929" t="s">
        <v>1104</v>
      </c>
      <c r="B929" s="1">
        <v>45825</v>
      </c>
      <c r="C929" t="s">
        <v>73</v>
      </c>
      <c r="D929" t="s">
        <v>54</v>
      </c>
      <c r="E929" t="s">
        <v>74</v>
      </c>
      <c r="F929" t="s">
        <v>54</v>
      </c>
      <c r="G929">
        <v>2774.24</v>
      </c>
      <c r="H929" t="s">
        <v>98</v>
      </c>
      <c r="I929" t="s">
        <v>22</v>
      </c>
      <c r="J929" t="s">
        <v>65</v>
      </c>
    </row>
    <row r="930" spans="1:10" x14ac:dyDescent="0.35">
      <c r="A930" t="s">
        <v>1105</v>
      </c>
      <c r="B930" s="1">
        <v>45825</v>
      </c>
      <c r="C930" t="s">
        <v>76</v>
      </c>
      <c r="D930" t="s">
        <v>12</v>
      </c>
      <c r="E930" t="s">
        <v>13</v>
      </c>
      <c r="F930" t="s">
        <v>14</v>
      </c>
      <c r="G930">
        <v>39.21</v>
      </c>
      <c r="H930" t="s">
        <v>15</v>
      </c>
      <c r="I930" t="s">
        <v>22</v>
      </c>
      <c r="J930" t="s">
        <v>77</v>
      </c>
    </row>
    <row r="931" spans="1:10" x14ac:dyDescent="0.35">
      <c r="A931" t="s">
        <v>1106</v>
      </c>
      <c r="B931" s="1">
        <v>45825</v>
      </c>
      <c r="C931" t="s">
        <v>50</v>
      </c>
      <c r="D931" t="s">
        <v>12</v>
      </c>
      <c r="E931" t="s">
        <v>51</v>
      </c>
      <c r="F931" t="s">
        <v>14</v>
      </c>
      <c r="G931">
        <v>36.25</v>
      </c>
      <c r="H931" t="s">
        <v>15</v>
      </c>
      <c r="I931" t="s">
        <v>22</v>
      </c>
      <c r="J931" t="s">
        <v>44</v>
      </c>
    </row>
    <row r="932" spans="1:10" x14ac:dyDescent="0.35">
      <c r="A932" t="s">
        <v>1107</v>
      </c>
      <c r="B932" s="1">
        <v>45825</v>
      </c>
      <c r="C932" t="s">
        <v>256</v>
      </c>
      <c r="D932" t="s">
        <v>34</v>
      </c>
      <c r="E932" t="s">
        <v>40</v>
      </c>
      <c r="F932" t="s">
        <v>14</v>
      </c>
      <c r="G932">
        <v>347.74</v>
      </c>
      <c r="H932" t="s">
        <v>15</v>
      </c>
      <c r="I932" t="s">
        <v>22</v>
      </c>
      <c r="J932" t="s">
        <v>239</v>
      </c>
    </row>
    <row r="933" spans="1:10" x14ac:dyDescent="0.35">
      <c r="A933" t="s">
        <v>1108</v>
      </c>
      <c r="B933" s="1">
        <v>45825</v>
      </c>
      <c r="C933" t="s">
        <v>19</v>
      </c>
      <c r="D933" t="s">
        <v>12</v>
      </c>
      <c r="E933" t="s">
        <v>13</v>
      </c>
      <c r="F933" t="s">
        <v>14</v>
      </c>
      <c r="G933">
        <v>64.09</v>
      </c>
      <c r="H933" t="s">
        <v>21</v>
      </c>
      <c r="I933" t="s">
        <v>257</v>
      </c>
      <c r="J933" t="s">
        <v>23</v>
      </c>
    </row>
    <row r="934" spans="1:10" x14ac:dyDescent="0.35">
      <c r="A934" t="s">
        <v>1109</v>
      </c>
      <c r="B934" s="1">
        <v>45825</v>
      </c>
      <c r="C934" t="s">
        <v>53</v>
      </c>
      <c r="D934" t="s">
        <v>54</v>
      </c>
      <c r="E934" t="s">
        <v>55</v>
      </c>
      <c r="F934" t="s">
        <v>54</v>
      </c>
      <c r="G934">
        <v>705.91</v>
      </c>
      <c r="H934" t="s">
        <v>21</v>
      </c>
      <c r="I934" t="s">
        <v>47</v>
      </c>
      <c r="J934" t="s">
        <v>56</v>
      </c>
    </row>
    <row r="935" spans="1:10" x14ac:dyDescent="0.35">
      <c r="A935" t="s">
        <v>1110</v>
      </c>
      <c r="B935" s="1">
        <v>45826</v>
      </c>
      <c r="C935" t="s">
        <v>19</v>
      </c>
      <c r="D935" t="s">
        <v>12</v>
      </c>
      <c r="E935" t="s">
        <v>13</v>
      </c>
      <c r="F935" t="s">
        <v>14</v>
      </c>
      <c r="G935">
        <v>49.47</v>
      </c>
      <c r="H935" t="s">
        <v>21</v>
      </c>
      <c r="I935" t="s">
        <v>36</v>
      </c>
      <c r="J935" t="s">
        <v>23</v>
      </c>
    </row>
    <row r="936" spans="1:10" x14ac:dyDescent="0.35">
      <c r="A936" t="s">
        <v>1111</v>
      </c>
      <c r="B936" s="1">
        <v>45826</v>
      </c>
      <c r="C936" t="s">
        <v>331</v>
      </c>
      <c r="D936" t="s">
        <v>29</v>
      </c>
      <c r="E936" t="s">
        <v>95</v>
      </c>
      <c r="F936" t="s">
        <v>14</v>
      </c>
      <c r="G936">
        <v>51.4</v>
      </c>
      <c r="H936" t="s">
        <v>15</v>
      </c>
      <c r="I936" t="s">
        <v>36</v>
      </c>
      <c r="J936" t="s">
        <v>151</v>
      </c>
    </row>
    <row r="937" spans="1:10" x14ac:dyDescent="0.35">
      <c r="A937" t="s">
        <v>1112</v>
      </c>
      <c r="B937" s="1">
        <v>45826</v>
      </c>
      <c r="C937" t="s">
        <v>210</v>
      </c>
      <c r="D937" t="s">
        <v>59</v>
      </c>
      <c r="E937" t="s">
        <v>185</v>
      </c>
      <c r="F937" t="s">
        <v>14</v>
      </c>
      <c r="G937">
        <v>65</v>
      </c>
      <c r="H937" t="s">
        <v>21</v>
      </c>
      <c r="I937" t="s">
        <v>22</v>
      </c>
      <c r="J937" t="s">
        <v>211</v>
      </c>
    </row>
    <row r="938" spans="1:10" x14ac:dyDescent="0.35">
      <c r="A938" t="s">
        <v>1113</v>
      </c>
      <c r="B938" s="1">
        <v>45826</v>
      </c>
      <c r="C938" t="s">
        <v>25</v>
      </c>
      <c r="D938" t="s">
        <v>12</v>
      </c>
      <c r="E938" t="s">
        <v>26</v>
      </c>
      <c r="F938" t="s">
        <v>14</v>
      </c>
      <c r="G938">
        <v>21.56</v>
      </c>
      <c r="H938" t="s">
        <v>21</v>
      </c>
      <c r="I938" t="s">
        <v>84</v>
      </c>
      <c r="J938" t="s">
        <v>17</v>
      </c>
    </row>
    <row r="939" spans="1:10" x14ac:dyDescent="0.35">
      <c r="A939" t="s">
        <v>1114</v>
      </c>
      <c r="B939" s="1">
        <v>45827</v>
      </c>
      <c r="C939" t="s">
        <v>177</v>
      </c>
      <c r="D939" t="s">
        <v>54</v>
      </c>
      <c r="E939" t="s">
        <v>74</v>
      </c>
      <c r="F939" t="s">
        <v>54</v>
      </c>
      <c r="G939">
        <v>2678.13</v>
      </c>
      <c r="H939" t="s">
        <v>15</v>
      </c>
      <c r="I939" t="s">
        <v>47</v>
      </c>
      <c r="J939" t="s">
        <v>56</v>
      </c>
    </row>
    <row r="940" spans="1:10" x14ac:dyDescent="0.35">
      <c r="A940" t="s">
        <v>1115</v>
      </c>
      <c r="B940" s="1">
        <v>45827</v>
      </c>
      <c r="C940" t="s">
        <v>298</v>
      </c>
      <c r="D940" t="s">
        <v>59</v>
      </c>
      <c r="E940" t="s">
        <v>185</v>
      </c>
      <c r="F940" t="s">
        <v>14</v>
      </c>
      <c r="G940">
        <v>98.13</v>
      </c>
      <c r="H940" t="s">
        <v>15</v>
      </c>
      <c r="I940" t="s">
        <v>16</v>
      </c>
      <c r="J940" t="s">
        <v>170</v>
      </c>
    </row>
    <row r="941" spans="1:10" x14ac:dyDescent="0.35">
      <c r="A941" t="s">
        <v>1116</v>
      </c>
      <c r="B941" s="1">
        <v>45827</v>
      </c>
      <c r="C941" t="s">
        <v>415</v>
      </c>
      <c r="D941" t="s">
        <v>12</v>
      </c>
      <c r="E941" t="s">
        <v>51</v>
      </c>
      <c r="F941" t="s">
        <v>14</v>
      </c>
      <c r="G941">
        <v>154.61000000000001</v>
      </c>
      <c r="H941" t="s">
        <v>21</v>
      </c>
      <c r="I941" t="s">
        <v>22</v>
      </c>
      <c r="J941" t="s">
        <v>77</v>
      </c>
    </row>
    <row r="942" spans="1:10" x14ac:dyDescent="0.35">
      <c r="A942" t="s">
        <v>1117</v>
      </c>
      <c r="B942" s="1">
        <v>45827</v>
      </c>
      <c r="C942" t="s">
        <v>160</v>
      </c>
      <c r="D942" t="s">
        <v>80</v>
      </c>
      <c r="E942" t="s">
        <v>117</v>
      </c>
      <c r="F942" t="s">
        <v>14</v>
      </c>
      <c r="G942">
        <v>90.79</v>
      </c>
      <c r="H942" t="s">
        <v>15</v>
      </c>
      <c r="I942" t="s">
        <v>47</v>
      </c>
      <c r="J942" t="s">
        <v>161</v>
      </c>
    </row>
    <row r="943" spans="1:10" x14ac:dyDescent="0.35">
      <c r="A943" t="s">
        <v>1118</v>
      </c>
      <c r="B943" s="1">
        <v>45827</v>
      </c>
      <c r="C943" t="s">
        <v>46</v>
      </c>
      <c r="D943" t="s">
        <v>12</v>
      </c>
      <c r="E943" t="s">
        <v>13</v>
      </c>
      <c r="F943" t="s">
        <v>14</v>
      </c>
      <c r="G943">
        <v>46.96</v>
      </c>
      <c r="H943" t="s">
        <v>21</v>
      </c>
      <c r="I943" t="s">
        <v>36</v>
      </c>
      <c r="J943" t="s">
        <v>48</v>
      </c>
    </row>
    <row r="944" spans="1:10" x14ac:dyDescent="0.35">
      <c r="A944" t="s">
        <v>1119</v>
      </c>
      <c r="B944" s="1">
        <v>45827</v>
      </c>
      <c r="C944" t="s">
        <v>155</v>
      </c>
      <c r="D944" t="s">
        <v>12</v>
      </c>
      <c r="E944" t="s">
        <v>51</v>
      </c>
      <c r="F944" t="s">
        <v>14</v>
      </c>
      <c r="G944">
        <v>53.59</v>
      </c>
      <c r="H944" t="s">
        <v>15</v>
      </c>
      <c r="I944" t="s">
        <v>22</v>
      </c>
      <c r="J944" t="s">
        <v>48</v>
      </c>
    </row>
    <row r="945" spans="1:10" x14ac:dyDescent="0.35">
      <c r="A945" t="s">
        <v>1120</v>
      </c>
      <c r="B945" s="1">
        <v>45828</v>
      </c>
      <c r="C945" t="s">
        <v>73</v>
      </c>
      <c r="D945" t="s">
        <v>54</v>
      </c>
      <c r="E945" t="s">
        <v>74</v>
      </c>
      <c r="F945" t="s">
        <v>54</v>
      </c>
      <c r="G945">
        <v>2032.33</v>
      </c>
      <c r="H945" t="s">
        <v>21</v>
      </c>
      <c r="I945" t="s">
        <v>22</v>
      </c>
      <c r="J945" t="s">
        <v>65</v>
      </c>
    </row>
    <row r="946" spans="1:10" x14ac:dyDescent="0.35">
      <c r="A946" t="s">
        <v>1121</v>
      </c>
      <c r="B946" s="1">
        <v>45828</v>
      </c>
      <c r="C946" t="s">
        <v>875</v>
      </c>
      <c r="D946" t="s">
        <v>69</v>
      </c>
      <c r="E946" t="s">
        <v>291</v>
      </c>
      <c r="F946" t="s">
        <v>14</v>
      </c>
      <c r="G946">
        <v>308.99</v>
      </c>
      <c r="H946" t="s">
        <v>15</v>
      </c>
      <c r="I946" t="s">
        <v>22</v>
      </c>
      <c r="J946" t="s">
        <v>133</v>
      </c>
    </row>
    <row r="947" spans="1:10" x14ac:dyDescent="0.35">
      <c r="A947" t="s">
        <v>1122</v>
      </c>
      <c r="B947" s="1">
        <v>45828</v>
      </c>
      <c r="C947" t="s">
        <v>464</v>
      </c>
      <c r="D947" t="s">
        <v>34</v>
      </c>
      <c r="E947" t="s">
        <v>122</v>
      </c>
      <c r="F947" t="s">
        <v>14</v>
      </c>
      <c r="G947">
        <v>41.57</v>
      </c>
      <c r="H947" t="s">
        <v>21</v>
      </c>
      <c r="I947" t="s">
        <v>22</v>
      </c>
      <c r="J947" t="s">
        <v>239</v>
      </c>
    </row>
    <row r="948" spans="1:10" x14ac:dyDescent="0.35">
      <c r="A948" t="s">
        <v>1123</v>
      </c>
      <c r="B948" s="1">
        <v>45828</v>
      </c>
      <c r="C948" t="s">
        <v>424</v>
      </c>
      <c r="D948" t="s">
        <v>101</v>
      </c>
      <c r="E948" t="s">
        <v>136</v>
      </c>
      <c r="F948" t="s">
        <v>14</v>
      </c>
      <c r="G948">
        <v>23.93</v>
      </c>
      <c r="H948" t="s">
        <v>15</v>
      </c>
      <c r="I948" t="s">
        <v>22</v>
      </c>
      <c r="J948" t="s">
        <v>102</v>
      </c>
    </row>
    <row r="949" spans="1:10" x14ac:dyDescent="0.35">
      <c r="A949" t="s">
        <v>1124</v>
      </c>
      <c r="B949" s="1">
        <v>45828</v>
      </c>
      <c r="C949" t="s">
        <v>50</v>
      </c>
      <c r="D949" t="s">
        <v>12</v>
      </c>
      <c r="E949" t="s">
        <v>51</v>
      </c>
      <c r="F949" t="s">
        <v>14</v>
      </c>
      <c r="G949">
        <v>41.07</v>
      </c>
      <c r="H949" t="s">
        <v>21</v>
      </c>
      <c r="I949" t="s">
        <v>22</v>
      </c>
      <c r="J949" t="s">
        <v>44</v>
      </c>
    </row>
    <row r="950" spans="1:10" x14ac:dyDescent="0.35">
      <c r="A950" t="s">
        <v>1125</v>
      </c>
      <c r="B950" s="1">
        <v>45829</v>
      </c>
      <c r="C950" t="s">
        <v>192</v>
      </c>
      <c r="D950" t="s">
        <v>80</v>
      </c>
      <c r="E950" t="s">
        <v>92</v>
      </c>
      <c r="F950" t="s">
        <v>14</v>
      </c>
      <c r="G950">
        <v>69.599999999999994</v>
      </c>
      <c r="H950" t="s">
        <v>15</v>
      </c>
      <c r="I950" t="s">
        <v>36</v>
      </c>
      <c r="J950" t="s">
        <v>180</v>
      </c>
    </row>
    <row r="951" spans="1:10" x14ac:dyDescent="0.35">
      <c r="A951" t="s">
        <v>1126</v>
      </c>
      <c r="B951" s="1">
        <v>45829</v>
      </c>
      <c r="C951" t="s">
        <v>415</v>
      </c>
      <c r="D951" t="s">
        <v>12</v>
      </c>
      <c r="E951" t="s">
        <v>51</v>
      </c>
      <c r="F951" t="s">
        <v>14</v>
      </c>
      <c r="G951">
        <v>110.17</v>
      </c>
      <c r="H951" t="s">
        <v>21</v>
      </c>
      <c r="I951" t="s">
        <v>22</v>
      </c>
      <c r="J951" t="s">
        <v>77</v>
      </c>
    </row>
    <row r="952" spans="1:10" x14ac:dyDescent="0.35">
      <c r="A952" t="s">
        <v>1127</v>
      </c>
      <c r="B952" s="1">
        <v>45829</v>
      </c>
      <c r="C952" t="s">
        <v>308</v>
      </c>
      <c r="D952" t="s">
        <v>54</v>
      </c>
      <c r="E952" t="s">
        <v>64</v>
      </c>
      <c r="F952" t="s">
        <v>54</v>
      </c>
      <c r="G952">
        <v>314.3</v>
      </c>
      <c r="H952" t="s">
        <v>15</v>
      </c>
      <c r="I952" t="s">
        <v>16</v>
      </c>
      <c r="J952" t="s">
        <v>89</v>
      </c>
    </row>
    <row r="953" spans="1:10" x14ac:dyDescent="0.35">
      <c r="A953" t="s">
        <v>1128</v>
      </c>
      <c r="B953" s="1">
        <v>45829</v>
      </c>
      <c r="C953" t="s">
        <v>140</v>
      </c>
      <c r="D953" t="s">
        <v>80</v>
      </c>
      <c r="E953" t="s">
        <v>81</v>
      </c>
      <c r="F953" t="s">
        <v>14</v>
      </c>
      <c r="G953">
        <v>36.79</v>
      </c>
      <c r="H953" t="s">
        <v>15</v>
      </c>
      <c r="I953" t="s">
        <v>47</v>
      </c>
      <c r="J953" t="s">
        <v>141</v>
      </c>
    </row>
    <row r="954" spans="1:10" x14ac:dyDescent="0.35">
      <c r="A954" t="s">
        <v>1129</v>
      </c>
      <c r="B954" s="1">
        <v>45829</v>
      </c>
      <c r="C954" t="s">
        <v>238</v>
      </c>
      <c r="D954" t="s">
        <v>34</v>
      </c>
      <c r="E954" t="s">
        <v>35</v>
      </c>
      <c r="F954" t="s">
        <v>14</v>
      </c>
      <c r="G954">
        <v>114.96</v>
      </c>
      <c r="H954" t="s">
        <v>15</v>
      </c>
      <c r="I954" t="s">
        <v>22</v>
      </c>
      <c r="J954" t="s">
        <v>239</v>
      </c>
    </row>
    <row r="955" spans="1:10" x14ac:dyDescent="0.35">
      <c r="A955" t="s">
        <v>1130</v>
      </c>
      <c r="B955" s="1">
        <v>45829</v>
      </c>
      <c r="C955" t="s">
        <v>73</v>
      </c>
      <c r="D955" t="s">
        <v>54</v>
      </c>
      <c r="E955" t="s">
        <v>74</v>
      </c>
      <c r="F955" t="s">
        <v>54</v>
      </c>
      <c r="G955">
        <v>2339.5300000000002</v>
      </c>
      <c r="H955" t="s">
        <v>15</v>
      </c>
      <c r="I955" t="s">
        <v>36</v>
      </c>
      <c r="J955" t="s">
        <v>65</v>
      </c>
    </row>
    <row r="956" spans="1:10" x14ac:dyDescent="0.35">
      <c r="A956" t="s">
        <v>1131</v>
      </c>
      <c r="B956" s="1">
        <v>45830</v>
      </c>
      <c r="C956" t="s">
        <v>580</v>
      </c>
      <c r="D956" t="s">
        <v>80</v>
      </c>
      <c r="E956" t="s">
        <v>81</v>
      </c>
      <c r="F956" t="s">
        <v>14</v>
      </c>
      <c r="G956">
        <v>85.82</v>
      </c>
      <c r="H956" t="s">
        <v>15</v>
      </c>
      <c r="I956" t="s">
        <v>22</v>
      </c>
      <c r="J956" t="s">
        <v>118</v>
      </c>
    </row>
    <row r="957" spans="1:10" x14ac:dyDescent="0.35">
      <c r="A957" t="s">
        <v>1132</v>
      </c>
      <c r="B957" s="1">
        <v>45830</v>
      </c>
      <c r="C957" t="s">
        <v>155</v>
      </c>
      <c r="D957" t="s">
        <v>12</v>
      </c>
      <c r="E957" t="s">
        <v>51</v>
      </c>
      <c r="F957" t="s">
        <v>14</v>
      </c>
      <c r="G957">
        <v>32.56</v>
      </c>
      <c r="H957" t="s">
        <v>15</v>
      </c>
      <c r="I957" t="s">
        <v>22</v>
      </c>
      <c r="J957" t="s">
        <v>48</v>
      </c>
    </row>
    <row r="958" spans="1:10" x14ac:dyDescent="0.35">
      <c r="A958" t="s">
        <v>1133</v>
      </c>
      <c r="B958" s="1">
        <v>45830</v>
      </c>
      <c r="C958" t="s">
        <v>272</v>
      </c>
      <c r="D958" t="s">
        <v>54</v>
      </c>
      <c r="E958" t="s">
        <v>55</v>
      </c>
      <c r="F958" t="s">
        <v>54</v>
      </c>
      <c r="G958">
        <v>698.3</v>
      </c>
      <c r="H958" t="s">
        <v>15</v>
      </c>
      <c r="I958" t="s">
        <v>16</v>
      </c>
      <c r="J958" t="s">
        <v>65</v>
      </c>
    </row>
    <row r="959" spans="1:10" x14ac:dyDescent="0.35">
      <c r="A959" t="s">
        <v>1134</v>
      </c>
      <c r="B959" s="1">
        <v>45830</v>
      </c>
      <c r="C959" t="s">
        <v>229</v>
      </c>
      <c r="D959" t="s">
        <v>54</v>
      </c>
      <c r="E959" t="s">
        <v>64</v>
      </c>
      <c r="F959" t="s">
        <v>54</v>
      </c>
      <c r="G959">
        <v>341.32</v>
      </c>
      <c r="H959" t="s">
        <v>15</v>
      </c>
      <c r="I959" t="s">
        <v>22</v>
      </c>
      <c r="J959" t="s">
        <v>56</v>
      </c>
    </row>
    <row r="960" spans="1:10" x14ac:dyDescent="0.35">
      <c r="A960" t="s">
        <v>1135</v>
      </c>
      <c r="B960" s="1">
        <v>45830</v>
      </c>
      <c r="C960" t="s">
        <v>267</v>
      </c>
      <c r="D960" t="s">
        <v>29</v>
      </c>
      <c r="E960" t="s">
        <v>30</v>
      </c>
      <c r="F960" t="s">
        <v>14</v>
      </c>
      <c r="G960">
        <v>22.11</v>
      </c>
      <c r="H960" t="s">
        <v>21</v>
      </c>
      <c r="I960" t="s">
        <v>22</v>
      </c>
      <c r="J960" t="s">
        <v>96</v>
      </c>
    </row>
    <row r="961" spans="1:10" x14ac:dyDescent="0.35">
      <c r="A961" t="s">
        <v>1136</v>
      </c>
      <c r="B961" s="1">
        <v>45830</v>
      </c>
      <c r="C961" t="s">
        <v>43</v>
      </c>
      <c r="D961" t="s">
        <v>12</v>
      </c>
      <c r="E961" t="s">
        <v>26</v>
      </c>
      <c r="F961" t="s">
        <v>14</v>
      </c>
      <c r="G961">
        <v>45.12</v>
      </c>
      <c r="H961" t="s">
        <v>21</v>
      </c>
      <c r="I961" t="s">
        <v>22</v>
      </c>
      <c r="J961" t="s">
        <v>44</v>
      </c>
    </row>
    <row r="962" spans="1:10" x14ac:dyDescent="0.35">
      <c r="A962" t="s">
        <v>1137</v>
      </c>
      <c r="B962" s="1">
        <v>45831</v>
      </c>
      <c r="C962" t="s">
        <v>130</v>
      </c>
      <c r="D962" t="s">
        <v>12</v>
      </c>
      <c r="E962" t="s">
        <v>26</v>
      </c>
      <c r="F962" t="s">
        <v>14</v>
      </c>
      <c r="G962">
        <v>19.12</v>
      </c>
      <c r="H962" t="s">
        <v>15</v>
      </c>
      <c r="I962" t="s">
        <v>36</v>
      </c>
      <c r="J962" t="s">
        <v>48</v>
      </c>
    </row>
    <row r="963" spans="1:10" x14ac:dyDescent="0.35">
      <c r="A963" t="s">
        <v>1138</v>
      </c>
      <c r="B963" s="1">
        <v>45831</v>
      </c>
      <c r="C963" t="s">
        <v>194</v>
      </c>
      <c r="D963" t="s">
        <v>101</v>
      </c>
      <c r="E963" t="s">
        <v>136</v>
      </c>
      <c r="F963" t="s">
        <v>14</v>
      </c>
      <c r="G963">
        <v>121.38</v>
      </c>
      <c r="H963" t="s">
        <v>15</v>
      </c>
      <c r="I963" t="s">
        <v>36</v>
      </c>
      <c r="J963" t="s">
        <v>103</v>
      </c>
    </row>
    <row r="964" spans="1:10" x14ac:dyDescent="0.35">
      <c r="A964" t="s">
        <v>1139</v>
      </c>
      <c r="B964" s="1">
        <v>45831</v>
      </c>
      <c r="C964" t="s">
        <v>184</v>
      </c>
      <c r="D964" t="s">
        <v>59</v>
      </c>
      <c r="E964" t="s">
        <v>185</v>
      </c>
      <c r="F964" t="s">
        <v>14</v>
      </c>
      <c r="G964">
        <v>75.92</v>
      </c>
      <c r="H964" t="s">
        <v>15</v>
      </c>
      <c r="I964" t="s">
        <v>22</v>
      </c>
      <c r="J964" t="s">
        <v>61</v>
      </c>
    </row>
    <row r="965" spans="1:10" x14ac:dyDescent="0.35">
      <c r="A965" t="s">
        <v>1140</v>
      </c>
      <c r="B965" s="1">
        <v>45831</v>
      </c>
      <c r="C965" t="s">
        <v>331</v>
      </c>
      <c r="D965" t="s">
        <v>29</v>
      </c>
      <c r="E965" t="s">
        <v>95</v>
      </c>
      <c r="F965" t="s">
        <v>14</v>
      </c>
      <c r="G965">
        <v>38.74</v>
      </c>
      <c r="H965" t="s">
        <v>15</v>
      </c>
      <c r="I965" t="s">
        <v>22</v>
      </c>
      <c r="J965" t="s">
        <v>151</v>
      </c>
    </row>
    <row r="966" spans="1:10" x14ac:dyDescent="0.35">
      <c r="A966" t="s">
        <v>1141</v>
      </c>
      <c r="B966" s="1">
        <v>45831</v>
      </c>
      <c r="C966" t="s">
        <v>116</v>
      </c>
      <c r="D966" t="s">
        <v>80</v>
      </c>
      <c r="E966" t="s">
        <v>117</v>
      </c>
      <c r="F966" t="s">
        <v>14</v>
      </c>
      <c r="G966">
        <v>73.91</v>
      </c>
      <c r="H966" t="s">
        <v>21</v>
      </c>
      <c r="I966" t="s">
        <v>16</v>
      </c>
      <c r="J966" t="s">
        <v>118</v>
      </c>
    </row>
    <row r="967" spans="1:10" x14ac:dyDescent="0.35">
      <c r="A967" t="s">
        <v>1142</v>
      </c>
      <c r="B967" s="1">
        <v>45831</v>
      </c>
      <c r="C967" t="s">
        <v>46</v>
      </c>
      <c r="D967" t="s">
        <v>12</v>
      </c>
      <c r="E967" t="s">
        <v>13</v>
      </c>
      <c r="F967" t="s">
        <v>14</v>
      </c>
      <c r="G967">
        <v>180</v>
      </c>
      <c r="H967" t="s">
        <v>15</v>
      </c>
      <c r="I967" t="s">
        <v>47</v>
      </c>
      <c r="J967" t="s">
        <v>48</v>
      </c>
    </row>
    <row r="968" spans="1:10" x14ac:dyDescent="0.35">
      <c r="A968" t="s">
        <v>1143</v>
      </c>
      <c r="B968" s="1">
        <v>45831</v>
      </c>
      <c r="C968" t="s">
        <v>46</v>
      </c>
      <c r="D968" t="s">
        <v>12</v>
      </c>
      <c r="E968" t="s">
        <v>13</v>
      </c>
      <c r="F968" t="s">
        <v>14</v>
      </c>
      <c r="G968">
        <v>81.41</v>
      </c>
      <c r="H968" t="s">
        <v>98</v>
      </c>
      <c r="I968" t="s">
        <v>47</v>
      </c>
      <c r="J968" t="s">
        <v>48</v>
      </c>
    </row>
    <row r="969" spans="1:10" x14ac:dyDescent="0.35">
      <c r="A969" t="s">
        <v>1144</v>
      </c>
      <c r="B969" s="1">
        <v>45832</v>
      </c>
      <c r="C969" t="s">
        <v>88</v>
      </c>
      <c r="D969" t="s">
        <v>54</v>
      </c>
      <c r="E969" t="s">
        <v>74</v>
      </c>
      <c r="F969" t="s">
        <v>54</v>
      </c>
      <c r="G969">
        <v>2146.12</v>
      </c>
      <c r="H969" t="s">
        <v>15</v>
      </c>
      <c r="I969" t="s">
        <v>36</v>
      </c>
      <c r="J969" t="s">
        <v>89</v>
      </c>
    </row>
    <row r="970" spans="1:10" x14ac:dyDescent="0.35">
      <c r="A970" t="s">
        <v>1145</v>
      </c>
      <c r="B970" s="1">
        <v>45832</v>
      </c>
      <c r="C970" t="s">
        <v>88</v>
      </c>
      <c r="D970" t="s">
        <v>54</v>
      </c>
      <c r="E970" t="s">
        <v>74</v>
      </c>
      <c r="F970" t="s">
        <v>54</v>
      </c>
      <c r="G970">
        <v>2364.11</v>
      </c>
      <c r="H970" t="s">
        <v>98</v>
      </c>
      <c r="I970" t="s">
        <v>36</v>
      </c>
      <c r="J970" t="s">
        <v>89</v>
      </c>
    </row>
    <row r="971" spans="1:10" x14ac:dyDescent="0.35">
      <c r="A971" t="s">
        <v>1146</v>
      </c>
      <c r="B971" s="1">
        <v>45832</v>
      </c>
      <c r="C971" t="s">
        <v>125</v>
      </c>
      <c r="D971" t="s">
        <v>12</v>
      </c>
      <c r="E971" t="s">
        <v>13</v>
      </c>
      <c r="F971" t="s">
        <v>14</v>
      </c>
      <c r="G971">
        <v>49.58</v>
      </c>
      <c r="H971" t="s">
        <v>15</v>
      </c>
      <c r="I971" t="s">
        <v>22</v>
      </c>
      <c r="J971" t="s">
        <v>44</v>
      </c>
    </row>
    <row r="972" spans="1:10" x14ac:dyDescent="0.35">
      <c r="A972" t="s">
        <v>1147</v>
      </c>
      <c r="B972" s="1">
        <v>45832</v>
      </c>
      <c r="C972" t="s">
        <v>121</v>
      </c>
      <c r="D972" t="s">
        <v>34</v>
      </c>
      <c r="E972" t="s">
        <v>122</v>
      </c>
      <c r="F972" t="s">
        <v>14</v>
      </c>
      <c r="G972">
        <v>317.97000000000003</v>
      </c>
      <c r="H972" t="s">
        <v>15</v>
      </c>
      <c r="I972" t="s">
        <v>22</v>
      </c>
      <c r="J972" t="s">
        <v>123</v>
      </c>
    </row>
    <row r="973" spans="1:10" x14ac:dyDescent="0.35">
      <c r="A973" t="s">
        <v>1148</v>
      </c>
      <c r="B973" s="1">
        <v>45832</v>
      </c>
      <c r="C973" t="s">
        <v>198</v>
      </c>
      <c r="D973" t="s">
        <v>59</v>
      </c>
      <c r="E973" t="s">
        <v>199</v>
      </c>
      <c r="F973" t="s">
        <v>14</v>
      </c>
      <c r="G973">
        <v>53.1</v>
      </c>
      <c r="H973" t="s">
        <v>21</v>
      </c>
      <c r="I973" t="s">
        <v>22</v>
      </c>
      <c r="J973" t="s">
        <v>61</v>
      </c>
    </row>
    <row r="974" spans="1:10" x14ac:dyDescent="0.35">
      <c r="A974" t="s">
        <v>1149</v>
      </c>
      <c r="B974" s="1">
        <v>45833</v>
      </c>
      <c r="C974" t="s">
        <v>25</v>
      </c>
      <c r="D974" t="s">
        <v>12</v>
      </c>
      <c r="E974" t="s">
        <v>26</v>
      </c>
      <c r="F974" t="s">
        <v>14</v>
      </c>
      <c r="G974">
        <v>25.77</v>
      </c>
      <c r="H974" t="s">
        <v>15</v>
      </c>
      <c r="I974" t="s">
        <v>22</v>
      </c>
      <c r="J974" t="s">
        <v>17</v>
      </c>
    </row>
    <row r="975" spans="1:10" x14ac:dyDescent="0.35">
      <c r="A975" t="s">
        <v>1150</v>
      </c>
      <c r="B975" s="1">
        <v>45833</v>
      </c>
      <c r="C975" t="s">
        <v>94</v>
      </c>
      <c r="D975" t="s">
        <v>29</v>
      </c>
      <c r="E975" t="s">
        <v>95</v>
      </c>
      <c r="F975" t="s">
        <v>14</v>
      </c>
      <c r="G975">
        <v>37.72</v>
      </c>
      <c r="H975" t="s">
        <v>15</v>
      </c>
      <c r="I975" t="s">
        <v>22</v>
      </c>
      <c r="J975" t="s">
        <v>96</v>
      </c>
    </row>
    <row r="976" spans="1:10" x14ac:dyDescent="0.35">
      <c r="A976" t="s">
        <v>1151</v>
      </c>
      <c r="B976" s="1">
        <v>45833</v>
      </c>
      <c r="C976" t="s">
        <v>229</v>
      </c>
      <c r="D976" t="s">
        <v>54</v>
      </c>
      <c r="E976" t="s">
        <v>64</v>
      </c>
      <c r="F976" t="s">
        <v>54</v>
      </c>
      <c r="G976">
        <v>329.4</v>
      </c>
      <c r="H976" t="s">
        <v>21</v>
      </c>
      <c r="I976" t="s">
        <v>47</v>
      </c>
      <c r="J976" t="s">
        <v>56</v>
      </c>
    </row>
    <row r="977" spans="1:10" x14ac:dyDescent="0.35">
      <c r="A977" t="s">
        <v>1152</v>
      </c>
      <c r="B977" s="1">
        <v>45833</v>
      </c>
      <c r="C977" t="s">
        <v>298</v>
      </c>
      <c r="D977" t="s">
        <v>59</v>
      </c>
      <c r="E977" t="s">
        <v>185</v>
      </c>
      <c r="F977" t="s">
        <v>14</v>
      </c>
      <c r="G977">
        <v>101.51</v>
      </c>
      <c r="H977" t="s">
        <v>15</v>
      </c>
      <c r="I977" t="s">
        <v>16</v>
      </c>
      <c r="J977" t="s">
        <v>170</v>
      </c>
    </row>
    <row r="978" spans="1:10" x14ac:dyDescent="0.35">
      <c r="A978" t="s">
        <v>1153</v>
      </c>
      <c r="B978" s="1">
        <v>45833</v>
      </c>
      <c r="C978" t="s">
        <v>411</v>
      </c>
      <c r="D978" t="s">
        <v>29</v>
      </c>
      <c r="E978" t="s">
        <v>151</v>
      </c>
      <c r="F978" t="s">
        <v>14</v>
      </c>
      <c r="G978">
        <v>9.17</v>
      </c>
      <c r="H978" t="s">
        <v>15</v>
      </c>
      <c r="I978" t="s">
        <v>47</v>
      </c>
      <c r="J978" t="s">
        <v>151</v>
      </c>
    </row>
    <row r="979" spans="1:10" x14ac:dyDescent="0.35">
      <c r="A979" t="s">
        <v>1154</v>
      </c>
      <c r="B979" s="1">
        <v>45833</v>
      </c>
      <c r="C979" t="s">
        <v>298</v>
      </c>
      <c r="D979" t="s">
        <v>59</v>
      </c>
      <c r="E979" t="s">
        <v>185</v>
      </c>
      <c r="F979" t="s">
        <v>14</v>
      </c>
      <c r="G979">
        <v>237.87</v>
      </c>
      <c r="H979" t="s">
        <v>21</v>
      </c>
      <c r="I979" t="s">
        <v>36</v>
      </c>
      <c r="J979" t="s">
        <v>170</v>
      </c>
    </row>
    <row r="980" spans="1:10" x14ac:dyDescent="0.35">
      <c r="A980" t="s">
        <v>1155</v>
      </c>
      <c r="B980" s="1">
        <v>45833</v>
      </c>
      <c r="C980" t="s">
        <v>53</v>
      </c>
      <c r="D980" t="s">
        <v>54</v>
      </c>
      <c r="E980" t="s">
        <v>55</v>
      </c>
      <c r="F980" t="s">
        <v>54</v>
      </c>
      <c r="G980">
        <v>838.24</v>
      </c>
      <c r="H980" t="s">
        <v>15</v>
      </c>
      <c r="I980" t="s">
        <v>16</v>
      </c>
      <c r="J980" t="s">
        <v>56</v>
      </c>
    </row>
    <row r="981" spans="1:10" x14ac:dyDescent="0.35">
      <c r="A981" t="s">
        <v>1156</v>
      </c>
      <c r="B981" s="1">
        <v>45833</v>
      </c>
      <c r="C981" t="s">
        <v>184</v>
      </c>
      <c r="D981" t="s">
        <v>59</v>
      </c>
      <c r="E981" t="s">
        <v>185</v>
      </c>
      <c r="F981" t="s">
        <v>14</v>
      </c>
      <c r="G981">
        <v>101.91</v>
      </c>
      <c r="H981" t="s">
        <v>15</v>
      </c>
      <c r="I981" t="s">
        <v>36</v>
      </c>
      <c r="J981" t="s">
        <v>61</v>
      </c>
    </row>
    <row r="982" spans="1:10" x14ac:dyDescent="0.35">
      <c r="A982" t="s">
        <v>1157</v>
      </c>
      <c r="B982" s="1">
        <v>45833</v>
      </c>
      <c r="C982" t="s">
        <v>73</v>
      </c>
      <c r="D982" t="s">
        <v>54</v>
      </c>
      <c r="E982" t="s">
        <v>74</v>
      </c>
      <c r="F982" t="s">
        <v>54</v>
      </c>
      <c r="G982">
        <v>2481.52</v>
      </c>
      <c r="H982" t="s">
        <v>15</v>
      </c>
      <c r="I982" t="s">
        <v>22</v>
      </c>
      <c r="J982" t="s">
        <v>65</v>
      </c>
    </row>
    <row r="983" spans="1:10" x14ac:dyDescent="0.35">
      <c r="A983" t="s">
        <v>1158</v>
      </c>
      <c r="B983" s="1">
        <v>45833</v>
      </c>
      <c r="C983" t="s">
        <v>347</v>
      </c>
      <c r="D983" t="s">
        <v>29</v>
      </c>
      <c r="E983" t="s">
        <v>151</v>
      </c>
      <c r="F983" t="s">
        <v>14</v>
      </c>
      <c r="G983">
        <v>9.01</v>
      </c>
      <c r="H983" t="s">
        <v>21</v>
      </c>
      <c r="I983" t="s">
        <v>22</v>
      </c>
      <c r="J983" t="s">
        <v>96</v>
      </c>
    </row>
    <row r="984" spans="1:10" x14ac:dyDescent="0.35">
      <c r="A984" t="s">
        <v>1159</v>
      </c>
      <c r="B984" s="1">
        <v>45834</v>
      </c>
      <c r="C984" t="s">
        <v>232</v>
      </c>
      <c r="D984" t="s">
        <v>69</v>
      </c>
      <c r="E984" t="s">
        <v>233</v>
      </c>
      <c r="F984" t="s">
        <v>14</v>
      </c>
      <c r="G984">
        <v>470.42</v>
      </c>
      <c r="H984" t="s">
        <v>21</v>
      </c>
      <c r="I984" t="s">
        <v>22</v>
      </c>
      <c r="J984" t="s">
        <v>71</v>
      </c>
    </row>
    <row r="985" spans="1:10" x14ac:dyDescent="0.35">
      <c r="A985" t="s">
        <v>1160</v>
      </c>
      <c r="B985" s="1">
        <v>45834</v>
      </c>
      <c r="C985" t="s">
        <v>238</v>
      </c>
      <c r="D985" t="s">
        <v>34</v>
      </c>
      <c r="E985" t="s">
        <v>35</v>
      </c>
      <c r="F985" t="s">
        <v>14</v>
      </c>
      <c r="G985">
        <v>44.17</v>
      </c>
      <c r="H985" t="s">
        <v>15</v>
      </c>
      <c r="I985" t="s">
        <v>22</v>
      </c>
      <c r="J985" t="s">
        <v>239</v>
      </c>
    </row>
    <row r="986" spans="1:10" x14ac:dyDescent="0.35">
      <c r="A986" t="s">
        <v>1161</v>
      </c>
      <c r="B986" s="1">
        <v>45834</v>
      </c>
      <c r="C986" t="s">
        <v>163</v>
      </c>
      <c r="D986" t="s">
        <v>80</v>
      </c>
      <c r="E986" t="s">
        <v>92</v>
      </c>
      <c r="F986" t="s">
        <v>14</v>
      </c>
      <c r="G986">
        <v>44.87</v>
      </c>
      <c r="H986" t="s">
        <v>15</v>
      </c>
      <c r="I986" t="s">
        <v>22</v>
      </c>
      <c r="J986" t="s">
        <v>118</v>
      </c>
    </row>
    <row r="987" spans="1:10" x14ac:dyDescent="0.35">
      <c r="A987" t="s">
        <v>1162</v>
      </c>
      <c r="B987" s="1">
        <v>45834</v>
      </c>
      <c r="C987" t="s">
        <v>155</v>
      </c>
      <c r="D987" t="s">
        <v>12</v>
      </c>
      <c r="E987" t="s">
        <v>51</v>
      </c>
      <c r="F987" t="s">
        <v>14</v>
      </c>
      <c r="G987">
        <v>40.85</v>
      </c>
      <c r="H987" t="s">
        <v>98</v>
      </c>
      <c r="I987" t="s">
        <v>22</v>
      </c>
      <c r="J987" t="s">
        <v>48</v>
      </c>
    </row>
    <row r="988" spans="1:10" x14ac:dyDescent="0.35">
      <c r="A988" t="s">
        <v>1163</v>
      </c>
      <c r="B988" s="1">
        <v>45834</v>
      </c>
      <c r="C988" t="s">
        <v>229</v>
      </c>
      <c r="D988" t="s">
        <v>54</v>
      </c>
      <c r="E988" t="s">
        <v>64</v>
      </c>
      <c r="F988" t="s">
        <v>54</v>
      </c>
      <c r="G988">
        <v>291.19</v>
      </c>
      <c r="H988" t="s">
        <v>15</v>
      </c>
      <c r="I988" t="s">
        <v>22</v>
      </c>
      <c r="J988" t="s">
        <v>56</v>
      </c>
    </row>
    <row r="989" spans="1:10" x14ac:dyDescent="0.35">
      <c r="A989" t="s">
        <v>1164</v>
      </c>
      <c r="B989" s="1">
        <v>45834</v>
      </c>
      <c r="C989" t="s">
        <v>272</v>
      </c>
      <c r="D989" t="s">
        <v>54</v>
      </c>
      <c r="E989" t="s">
        <v>55</v>
      </c>
      <c r="F989" t="s">
        <v>54</v>
      </c>
      <c r="G989">
        <v>732.7</v>
      </c>
      <c r="H989" t="s">
        <v>15</v>
      </c>
      <c r="I989" t="s">
        <v>22</v>
      </c>
      <c r="J989" t="s">
        <v>65</v>
      </c>
    </row>
    <row r="990" spans="1:10" x14ac:dyDescent="0.35">
      <c r="A990" t="s">
        <v>1165</v>
      </c>
      <c r="B990" s="1">
        <v>45834</v>
      </c>
      <c r="C990" t="s">
        <v>243</v>
      </c>
      <c r="D990" t="s">
        <v>101</v>
      </c>
      <c r="E990" t="s">
        <v>244</v>
      </c>
      <c r="F990" t="s">
        <v>14</v>
      </c>
      <c r="G990">
        <v>79.78</v>
      </c>
      <c r="H990" t="s">
        <v>98</v>
      </c>
      <c r="I990" t="s">
        <v>22</v>
      </c>
      <c r="J990" t="s">
        <v>102</v>
      </c>
    </row>
    <row r="991" spans="1:10" x14ac:dyDescent="0.35">
      <c r="A991" t="s">
        <v>1166</v>
      </c>
      <c r="B991" s="1">
        <v>45834</v>
      </c>
      <c r="C991" t="s">
        <v>220</v>
      </c>
      <c r="D991" t="s">
        <v>59</v>
      </c>
      <c r="E991" t="s">
        <v>199</v>
      </c>
      <c r="F991" t="s">
        <v>14</v>
      </c>
      <c r="G991">
        <v>483.1</v>
      </c>
      <c r="H991" t="s">
        <v>15</v>
      </c>
      <c r="I991" t="s">
        <v>22</v>
      </c>
      <c r="J991" t="s">
        <v>211</v>
      </c>
    </row>
    <row r="992" spans="1:10" x14ac:dyDescent="0.35">
      <c r="A992" t="s">
        <v>1167</v>
      </c>
      <c r="B992" s="1">
        <v>45835</v>
      </c>
      <c r="C992" t="s">
        <v>33</v>
      </c>
      <c r="D992" t="s">
        <v>34</v>
      </c>
      <c r="E992" t="s">
        <v>35</v>
      </c>
      <c r="F992" t="s">
        <v>14</v>
      </c>
      <c r="G992">
        <v>212.06</v>
      </c>
      <c r="H992" t="s">
        <v>15</v>
      </c>
      <c r="I992" t="s">
        <v>22</v>
      </c>
      <c r="J992" t="s">
        <v>37</v>
      </c>
    </row>
    <row r="993" spans="1:10" x14ac:dyDescent="0.35">
      <c r="A993" t="s">
        <v>1168</v>
      </c>
      <c r="B993" s="1">
        <v>45835</v>
      </c>
      <c r="C993" t="s">
        <v>350</v>
      </c>
      <c r="D993" t="s">
        <v>29</v>
      </c>
      <c r="E993" t="s">
        <v>151</v>
      </c>
      <c r="F993" t="s">
        <v>14</v>
      </c>
      <c r="G993">
        <v>10.46</v>
      </c>
      <c r="H993" t="s">
        <v>15</v>
      </c>
      <c r="I993" t="s">
        <v>22</v>
      </c>
      <c r="J993" t="s">
        <v>158</v>
      </c>
    </row>
    <row r="994" spans="1:10" x14ac:dyDescent="0.35">
      <c r="A994" t="s">
        <v>1169</v>
      </c>
      <c r="B994" s="1">
        <v>45836</v>
      </c>
      <c r="C994" t="s">
        <v>28</v>
      </c>
      <c r="D994" t="s">
        <v>29</v>
      </c>
      <c r="E994" t="s">
        <v>30</v>
      </c>
      <c r="F994" t="s">
        <v>14</v>
      </c>
      <c r="G994">
        <v>81.27</v>
      </c>
      <c r="H994" t="s">
        <v>21</v>
      </c>
      <c r="I994" t="s">
        <v>22</v>
      </c>
      <c r="J994" t="s">
        <v>31</v>
      </c>
    </row>
    <row r="995" spans="1:10" x14ac:dyDescent="0.35">
      <c r="A995" t="s">
        <v>1170</v>
      </c>
      <c r="B995" s="1">
        <v>45836</v>
      </c>
      <c r="C995" t="s">
        <v>227</v>
      </c>
      <c r="D995" t="s">
        <v>12</v>
      </c>
      <c r="E995" t="s">
        <v>51</v>
      </c>
      <c r="F995" t="s">
        <v>14</v>
      </c>
      <c r="G995">
        <v>69.73</v>
      </c>
      <c r="H995" t="s">
        <v>15</v>
      </c>
      <c r="I995" t="s">
        <v>16</v>
      </c>
      <c r="J995" t="s">
        <v>17</v>
      </c>
    </row>
    <row r="996" spans="1:10" x14ac:dyDescent="0.35">
      <c r="A996" t="s">
        <v>1171</v>
      </c>
      <c r="B996" s="1">
        <v>45836</v>
      </c>
      <c r="C996" t="s">
        <v>138</v>
      </c>
      <c r="D996" t="s">
        <v>12</v>
      </c>
      <c r="E996" t="s">
        <v>26</v>
      </c>
      <c r="F996" t="s">
        <v>14</v>
      </c>
      <c r="G996">
        <v>40.51</v>
      </c>
      <c r="H996" t="s">
        <v>98</v>
      </c>
      <c r="I996" t="s">
        <v>36</v>
      </c>
      <c r="J996" t="s">
        <v>77</v>
      </c>
    </row>
    <row r="997" spans="1:10" x14ac:dyDescent="0.35">
      <c r="A997" t="s">
        <v>1172</v>
      </c>
      <c r="B997" s="1">
        <v>45836</v>
      </c>
      <c r="C997" t="s">
        <v>153</v>
      </c>
      <c r="D997" t="s">
        <v>34</v>
      </c>
      <c r="E997" t="s">
        <v>122</v>
      </c>
      <c r="F997" t="s">
        <v>14</v>
      </c>
      <c r="G997">
        <v>129.13999999999999</v>
      </c>
      <c r="H997" t="s">
        <v>21</v>
      </c>
      <c r="I997" t="s">
        <v>16</v>
      </c>
      <c r="J997" t="s">
        <v>41</v>
      </c>
    </row>
    <row r="998" spans="1:10" x14ac:dyDescent="0.35">
      <c r="A998" t="s">
        <v>1173</v>
      </c>
      <c r="B998" s="1">
        <v>45836</v>
      </c>
      <c r="C998" t="s">
        <v>160</v>
      </c>
      <c r="D998" t="s">
        <v>80</v>
      </c>
      <c r="E998" t="s">
        <v>117</v>
      </c>
      <c r="F998" t="s">
        <v>14</v>
      </c>
      <c r="G998">
        <v>250</v>
      </c>
      <c r="H998" t="s">
        <v>21</v>
      </c>
      <c r="I998" t="s">
        <v>36</v>
      </c>
      <c r="J998" t="s">
        <v>161</v>
      </c>
    </row>
    <row r="999" spans="1:10" x14ac:dyDescent="0.35">
      <c r="A999" t="s">
        <v>1174</v>
      </c>
      <c r="B999" s="1">
        <v>45836</v>
      </c>
      <c r="C999" t="s">
        <v>88</v>
      </c>
      <c r="D999" t="s">
        <v>54</v>
      </c>
      <c r="E999" t="s">
        <v>74</v>
      </c>
      <c r="F999" t="s">
        <v>54</v>
      </c>
      <c r="G999">
        <v>2297.7399999999998</v>
      </c>
      <c r="H999" t="s">
        <v>15</v>
      </c>
      <c r="I999" t="s">
        <v>22</v>
      </c>
      <c r="J999" t="s">
        <v>89</v>
      </c>
    </row>
    <row r="1000" spans="1:10" x14ac:dyDescent="0.35">
      <c r="A1000" t="s">
        <v>1175</v>
      </c>
      <c r="B1000" s="1">
        <v>45837</v>
      </c>
      <c r="C1000" t="s">
        <v>53</v>
      </c>
      <c r="D1000" t="s">
        <v>54</v>
      </c>
      <c r="E1000" t="s">
        <v>55</v>
      </c>
      <c r="F1000" t="s">
        <v>54</v>
      </c>
      <c r="G1000">
        <v>817.27</v>
      </c>
      <c r="H1000" t="s">
        <v>15</v>
      </c>
      <c r="I1000" t="s">
        <v>47</v>
      </c>
      <c r="J1000" t="s">
        <v>56</v>
      </c>
    </row>
    <row r="1001" spans="1:10" x14ac:dyDescent="0.35">
      <c r="A1001" t="s">
        <v>1176</v>
      </c>
      <c r="B1001" s="1">
        <v>45837</v>
      </c>
      <c r="C1001" t="s">
        <v>347</v>
      </c>
      <c r="D1001" t="s">
        <v>29</v>
      </c>
      <c r="E1001" t="s">
        <v>151</v>
      </c>
      <c r="F1001" t="s">
        <v>14</v>
      </c>
      <c r="G1001">
        <v>53.5</v>
      </c>
      <c r="H1001" t="s">
        <v>21</v>
      </c>
      <c r="I1001" t="s">
        <v>36</v>
      </c>
      <c r="J1001" t="s">
        <v>96</v>
      </c>
    </row>
    <row r="1002" spans="1:10" x14ac:dyDescent="0.35">
      <c r="A1002" t="s">
        <v>1177</v>
      </c>
      <c r="B1002" s="1">
        <v>45837</v>
      </c>
      <c r="C1002" t="s">
        <v>79</v>
      </c>
      <c r="D1002" t="s">
        <v>80</v>
      </c>
      <c r="E1002" t="s">
        <v>81</v>
      </c>
      <c r="F1002" t="s">
        <v>14</v>
      </c>
      <c r="G1002">
        <v>51.58</v>
      </c>
      <c r="H1002" t="s">
        <v>15</v>
      </c>
      <c r="I1002" t="s">
        <v>36</v>
      </c>
      <c r="J1002" t="s">
        <v>82</v>
      </c>
    </row>
    <row r="1003" spans="1:10" x14ac:dyDescent="0.35">
      <c r="A1003" t="s">
        <v>1178</v>
      </c>
      <c r="B1003" s="1">
        <v>45837</v>
      </c>
      <c r="C1003" t="s">
        <v>331</v>
      </c>
      <c r="D1003" t="s">
        <v>29</v>
      </c>
      <c r="E1003" t="s">
        <v>95</v>
      </c>
      <c r="F1003" t="s">
        <v>14</v>
      </c>
      <c r="G1003">
        <v>29.15</v>
      </c>
      <c r="H1003" t="s">
        <v>15</v>
      </c>
      <c r="I1003" t="s">
        <v>16</v>
      </c>
      <c r="J1003" t="s">
        <v>151</v>
      </c>
    </row>
    <row r="1004" spans="1:10" x14ac:dyDescent="0.35">
      <c r="A1004" t="s">
        <v>1179</v>
      </c>
      <c r="B1004" s="1">
        <v>45837</v>
      </c>
      <c r="C1004" t="s">
        <v>150</v>
      </c>
      <c r="D1004" t="s">
        <v>29</v>
      </c>
      <c r="E1004" t="s">
        <v>30</v>
      </c>
      <c r="F1004" t="s">
        <v>14</v>
      </c>
      <c r="G1004">
        <v>62.17</v>
      </c>
      <c r="H1004" t="s">
        <v>21</v>
      </c>
      <c r="I1004" t="s">
        <v>22</v>
      </c>
      <c r="J1004" t="s">
        <v>151</v>
      </c>
    </row>
    <row r="1005" spans="1:10" x14ac:dyDescent="0.35">
      <c r="A1005" t="s">
        <v>1180</v>
      </c>
      <c r="B1005" s="1">
        <v>45837</v>
      </c>
      <c r="C1005" t="s">
        <v>262</v>
      </c>
      <c r="D1005" t="s">
        <v>101</v>
      </c>
      <c r="E1005" t="s">
        <v>244</v>
      </c>
      <c r="F1005" t="s">
        <v>14</v>
      </c>
      <c r="G1005">
        <v>85.64</v>
      </c>
      <c r="H1005" t="s">
        <v>21</v>
      </c>
      <c r="I1005" t="s">
        <v>36</v>
      </c>
      <c r="J1005" t="s">
        <v>136</v>
      </c>
    </row>
    <row r="1006" spans="1:10" x14ac:dyDescent="0.35">
      <c r="A1006" t="s">
        <v>1181</v>
      </c>
      <c r="B1006" s="1">
        <v>45837</v>
      </c>
      <c r="C1006" t="s">
        <v>63</v>
      </c>
      <c r="D1006" t="s">
        <v>54</v>
      </c>
      <c r="E1006" t="s">
        <v>64</v>
      </c>
      <c r="F1006" t="s">
        <v>54</v>
      </c>
      <c r="G1006">
        <v>386.22</v>
      </c>
      <c r="H1006" t="s">
        <v>21</v>
      </c>
      <c r="I1006" t="s">
        <v>22</v>
      </c>
      <c r="J1006" t="s">
        <v>65</v>
      </c>
    </row>
    <row r="1007" spans="1:10" x14ac:dyDescent="0.35">
      <c r="A1007" t="s">
        <v>1182</v>
      </c>
      <c r="B1007" s="1">
        <v>45838</v>
      </c>
      <c r="C1007" t="s">
        <v>157</v>
      </c>
      <c r="D1007" t="s">
        <v>29</v>
      </c>
      <c r="E1007" t="s">
        <v>95</v>
      </c>
      <c r="F1007" t="s">
        <v>14</v>
      </c>
      <c r="G1007">
        <v>19.84</v>
      </c>
      <c r="H1007" t="s">
        <v>15</v>
      </c>
      <c r="I1007" t="s">
        <v>47</v>
      </c>
      <c r="J1007" t="s">
        <v>158</v>
      </c>
    </row>
    <row r="1008" spans="1:10" x14ac:dyDescent="0.35">
      <c r="A1008" t="s">
        <v>1183</v>
      </c>
      <c r="B1008" s="1">
        <v>45838</v>
      </c>
      <c r="C1008" t="s">
        <v>210</v>
      </c>
      <c r="D1008" t="s">
        <v>59</v>
      </c>
      <c r="E1008" t="s">
        <v>185</v>
      </c>
      <c r="F1008" t="s">
        <v>14</v>
      </c>
      <c r="G1008">
        <v>210.4</v>
      </c>
      <c r="H1008" t="s">
        <v>15</v>
      </c>
      <c r="I1008" t="s">
        <v>36</v>
      </c>
      <c r="J1008" t="s">
        <v>211</v>
      </c>
    </row>
    <row r="1009" spans="1:10" x14ac:dyDescent="0.35">
      <c r="A1009" t="s">
        <v>1184</v>
      </c>
      <c r="B1009" s="1">
        <v>45838</v>
      </c>
      <c r="C1009" t="s">
        <v>411</v>
      </c>
      <c r="D1009" t="s">
        <v>29</v>
      </c>
      <c r="E1009" t="s">
        <v>151</v>
      </c>
      <c r="F1009" t="s">
        <v>14</v>
      </c>
      <c r="G1009">
        <v>18.149999999999999</v>
      </c>
      <c r="H1009" t="s">
        <v>21</v>
      </c>
      <c r="I1009" t="s">
        <v>36</v>
      </c>
      <c r="J1009" t="s">
        <v>151</v>
      </c>
    </row>
    <row r="1010" spans="1:10" x14ac:dyDescent="0.35">
      <c r="A1010" t="s">
        <v>1185</v>
      </c>
      <c r="B1010" s="1">
        <v>45838</v>
      </c>
      <c r="C1010" t="s">
        <v>63</v>
      </c>
      <c r="D1010" t="s">
        <v>54</v>
      </c>
      <c r="E1010" t="s">
        <v>64</v>
      </c>
      <c r="F1010" t="s">
        <v>54</v>
      </c>
      <c r="G1010">
        <v>347.64</v>
      </c>
      <c r="H1010" t="s">
        <v>15</v>
      </c>
      <c r="I1010" t="s">
        <v>16</v>
      </c>
      <c r="J1010" t="s">
        <v>65</v>
      </c>
    </row>
    <row r="1011" spans="1:10" x14ac:dyDescent="0.35">
      <c r="A1011" t="s">
        <v>1186</v>
      </c>
      <c r="B1011" s="1">
        <v>45839</v>
      </c>
      <c r="C1011" t="s">
        <v>217</v>
      </c>
      <c r="D1011" t="s">
        <v>80</v>
      </c>
      <c r="E1011" t="s">
        <v>81</v>
      </c>
      <c r="F1011" t="s">
        <v>14</v>
      </c>
      <c r="G1011">
        <v>102.11</v>
      </c>
      <c r="H1011" t="s">
        <v>21</v>
      </c>
      <c r="I1011" t="s">
        <v>16</v>
      </c>
      <c r="J1011" t="s">
        <v>180</v>
      </c>
    </row>
    <row r="1012" spans="1:10" x14ac:dyDescent="0.35">
      <c r="A1012" t="s">
        <v>1187</v>
      </c>
      <c r="B1012" s="1">
        <v>45839</v>
      </c>
      <c r="C1012" t="s">
        <v>253</v>
      </c>
      <c r="D1012" t="s">
        <v>29</v>
      </c>
      <c r="E1012" t="s">
        <v>30</v>
      </c>
      <c r="F1012" t="s">
        <v>14</v>
      </c>
      <c r="G1012">
        <v>17.899999999999999</v>
      </c>
      <c r="H1012" t="s">
        <v>15</v>
      </c>
      <c r="I1012" t="s">
        <v>47</v>
      </c>
      <c r="J1012" t="s">
        <v>158</v>
      </c>
    </row>
    <row r="1013" spans="1:10" x14ac:dyDescent="0.35">
      <c r="A1013" t="s">
        <v>1188</v>
      </c>
      <c r="B1013" s="1">
        <v>45839</v>
      </c>
      <c r="C1013" t="s">
        <v>875</v>
      </c>
      <c r="D1013" t="s">
        <v>69</v>
      </c>
      <c r="E1013" t="s">
        <v>291</v>
      </c>
      <c r="F1013" t="s">
        <v>14</v>
      </c>
      <c r="G1013">
        <v>894.03</v>
      </c>
      <c r="H1013" t="s">
        <v>21</v>
      </c>
      <c r="I1013" t="s">
        <v>84</v>
      </c>
      <c r="J1013" t="s">
        <v>133</v>
      </c>
    </row>
    <row r="1014" spans="1:10" x14ac:dyDescent="0.35">
      <c r="A1014" t="s">
        <v>1189</v>
      </c>
      <c r="B1014" s="1">
        <v>45839</v>
      </c>
      <c r="C1014" t="s">
        <v>220</v>
      </c>
      <c r="D1014" t="s">
        <v>59</v>
      </c>
      <c r="E1014" t="s">
        <v>199</v>
      </c>
      <c r="F1014" t="s">
        <v>14</v>
      </c>
      <c r="G1014">
        <v>97.91</v>
      </c>
      <c r="H1014" t="s">
        <v>15</v>
      </c>
      <c r="I1014" t="s">
        <v>22</v>
      </c>
      <c r="J1014" t="s">
        <v>211</v>
      </c>
    </row>
    <row r="1015" spans="1:10" x14ac:dyDescent="0.35">
      <c r="A1015" t="s">
        <v>1190</v>
      </c>
      <c r="B1015" s="1">
        <v>45840</v>
      </c>
      <c r="C1015" t="s">
        <v>28</v>
      </c>
      <c r="D1015" t="s">
        <v>29</v>
      </c>
      <c r="E1015" t="s">
        <v>30</v>
      </c>
      <c r="F1015" t="s">
        <v>14</v>
      </c>
      <c r="G1015">
        <v>25.13</v>
      </c>
      <c r="H1015" t="s">
        <v>21</v>
      </c>
      <c r="I1015" t="s">
        <v>16</v>
      </c>
      <c r="J1015" t="s">
        <v>31</v>
      </c>
    </row>
    <row r="1016" spans="1:10" x14ac:dyDescent="0.35">
      <c r="A1016" t="s">
        <v>1191</v>
      </c>
      <c r="B1016" s="1">
        <v>45840</v>
      </c>
      <c r="C1016" t="s">
        <v>125</v>
      </c>
      <c r="D1016" t="s">
        <v>12</v>
      </c>
      <c r="E1016" t="s">
        <v>13</v>
      </c>
      <c r="F1016" t="s">
        <v>14</v>
      </c>
      <c r="G1016">
        <v>23.92</v>
      </c>
      <c r="H1016" t="s">
        <v>15</v>
      </c>
      <c r="I1016" t="s">
        <v>36</v>
      </c>
      <c r="J1016" t="s">
        <v>44</v>
      </c>
    </row>
    <row r="1017" spans="1:10" x14ac:dyDescent="0.35">
      <c r="A1017" t="s">
        <v>1192</v>
      </c>
      <c r="B1017" s="1">
        <v>45841</v>
      </c>
      <c r="C1017" t="s">
        <v>227</v>
      </c>
      <c r="D1017" t="s">
        <v>12</v>
      </c>
      <c r="E1017" t="s">
        <v>51</v>
      </c>
      <c r="F1017" t="s">
        <v>14</v>
      </c>
      <c r="G1017">
        <v>95.04</v>
      </c>
      <c r="H1017" t="s">
        <v>15</v>
      </c>
      <c r="I1017" t="s">
        <v>22</v>
      </c>
      <c r="J1017" t="s">
        <v>17</v>
      </c>
    </row>
    <row r="1018" spans="1:10" x14ac:dyDescent="0.35">
      <c r="A1018" t="s">
        <v>1193</v>
      </c>
      <c r="B1018" s="1">
        <v>45841</v>
      </c>
      <c r="C1018" t="s">
        <v>88</v>
      </c>
      <c r="D1018" t="s">
        <v>54</v>
      </c>
      <c r="E1018" t="s">
        <v>74</v>
      </c>
      <c r="F1018" t="s">
        <v>54</v>
      </c>
      <c r="G1018">
        <v>2701.79</v>
      </c>
      <c r="H1018" t="s">
        <v>21</v>
      </c>
      <c r="I1018" t="s">
        <v>22</v>
      </c>
      <c r="J1018" t="s">
        <v>89</v>
      </c>
    </row>
    <row r="1019" spans="1:10" x14ac:dyDescent="0.35">
      <c r="A1019" t="s">
        <v>1194</v>
      </c>
      <c r="B1019" s="1">
        <v>45841</v>
      </c>
      <c r="C1019" t="s">
        <v>204</v>
      </c>
      <c r="D1019" t="s">
        <v>12</v>
      </c>
      <c r="E1019" t="s">
        <v>51</v>
      </c>
      <c r="F1019" t="s">
        <v>14</v>
      </c>
      <c r="G1019">
        <v>42.41</v>
      </c>
      <c r="H1019" t="s">
        <v>21</v>
      </c>
      <c r="I1019" t="s">
        <v>36</v>
      </c>
      <c r="J1019" t="s">
        <v>23</v>
      </c>
    </row>
    <row r="1020" spans="1:10" x14ac:dyDescent="0.35">
      <c r="A1020" t="s">
        <v>1195</v>
      </c>
      <c r="B1020" s="1">
        <v>45841</v>
      </c>
      <c r="C1020" t="s">
        <v>157</v>
      </c>
      <c r="D1020" t="s">
        <v>29</v>
      </c>
      <c r="E1020" t="s">
        <v>95</v>
      </c>
      <c r="F1020" t="s">
        <v>14</v>
      </c>
      <c r="G1020">
        <v>20.32</v>
      </c>
      <c r="H1020" t="s">
        <v>15</v>
      </c>
      <c r="I1020" t="s">
        <v>16</v>
      </c>
      <c r="J1020" t="s">
        <v>158</v>
      </c>
    </row>
    <row r="1021" spans="1:10" x14ac:dyDescent="0.35">
      <c r="A1021" t="s">
        <v>1196</v>
      </c>
      <c r="B1021" s="1">
        <v>45841</v>
      </c>
      <c r="C1021" t="s">
        <v>130</v>
      </c>
      <c r="D1021" t="s">
        <v>20</v>
      </c>
      <c r="E1021" t="s">
        <v>26</v>
      </c>
      <c r="F1021" t="s">
        <v>14</v>
      </c>
      <c r="G1021">
        <v>30.31</v>
      </c>
      <c r="H1021" t="s">
        <v>21</v>
      </c>
      <c r="I1021" t="s">
        <v>36</v>
      </c>
      <c r="J1021" t="s">
        <v>48</v>
      </c>
    </row>
    <row r="1022" spans="1:10" x14ac:dyDescent="0.35">
      <c r="A1022" t="s">
        <v>1197</v>
      </c>
      <c r="B1022" s="1">
        <v>45841</v>
      </c>
      <c r="C1022" t="s">
        <v>415</v>
      </c>
      <c r="D1022" t="s">
        <v>12</v>
      </c>
      <c r="E1022" t="s">
        <v>51</v>
      </c>
      <c r="F1022" t="s">
        <v>14</v>
      </c>
      <c r="G1022">
        <v>122.03</v>
      </c>
      <c r="H1022" t="s">
        <v>15</v>
      </c>
      <c r="I1022" t="s">
        <v>36</v>
      </c>
      <c r="J1022" t="s">
        <v>77</v>
      </c>
    </row>
    <row r="1023" spans="1:10" x14ac:dyDescent="0.35">
      <c r="A1023" t="s">
        <v>1198</v>
      </c>
      <c r="B1023" s="1">
        <v>45841</v>
      </c>
      <c r="C1023" t="s">
        <v>53</v>
      </c>
      <c r="D1023" t="s">
        <v>54</v>
      </c>
      <c r="E1023" t="s">
        <v>55</v>
      </c>
      <c r="F1023" t="s">
        <v>54</v>
      </c>
      <c r="G1023">
        <v>599.49</v>
      </c>
      <c r="H1023" t="s">
        <v>15</v>
      </c>
      <c r="I1023" t="s">
        <v>16</v>
      </c>
      <c r="J1023" t="s">
        <v>56</v>
      </c>
    </row>
    <row r="1024" spans="1:10" x14ac:dyDescent="0.35">
      <c r="A1024" t="s">
        <v>1199</v>
      </c>
      <c r="B1024" s="1">
        <v>45841</v>
      </c>
      <c r="C1024" t="s">
        <v>296</v>
      </c>
      <c r="D1024" t="s">
        <v>101</v>
      </c>
      <c r="E1024" t="s">
        <v>136</v>
      </c>
      <c r="F1024" t="s">
        <v>14</v>
      </c>
      <c r="G1024">
        <v>36.43</v>
      </c>
      <c r="H1024" t="s">
        <v>15</v>
      </c>
      <c r="I1024" t="s">
        <v>22</v>
      </c>
      <c r="J1024" t="s">
        <v>136</v>
      </c>
    </row>
    <row r="1025" spans="1:10" x14ac:dyDescent="0.35">
      <c r="A1025" t="s">
        <v>1200</v>
      </c>
      <c r="B1025" s="1">
        <v>45842</v>
      </c>
      <c r="C1025" t="s">
        <v>229</v>
      </c>
      <c r="D1025" t="s">
        <v>54</v>
      </c>
      <c r="E1025" t="s">
        <v>64</v>
      </c>
      <c r="F1025" t="s">
        <v>54</v>
      </c>
      <c r="G1025">
        <v>394.42</v>
      </c>
      <c r="H1025" t="s">
        <v>15</v>
      </c>
      <c r="I1025" t="s">
        <v>22</v>
      </c>
      <c r="J1025" t="s">
        <v>56</v>
      </c>
    </row>
    <row r="1026" spans="1:10" x14ac:dyDescent="0.35">
      <c r="A1026" t="s">
        <v>1201</v>
      </c>
      <c r="B1026" s="1">
        <v>45842</v>
      </c>
      <c r="C1026" t="s">
        <v>734</v>
      </c>
      <c r="D1026" t="s">
        <v>69</v>
      </c>
      <c r="E1026" t="s">
        <v>291</v>
      </c>
      <c r="F1026" t="s">
        <v>14</v>
      </c>
      <c r="G1026">
        <v>197.82</v>
      </c>
      <c r="H1026" t="s">
        <v>98</v>
      </c>
      <c r="I1026" t="s">
        <v>47</v>
      </c>
      <c r="J1026" t="s">
        <v>71</v>
      </c>
    </row>
    <row r="1027" spans="1:10" x14ac:dyDescent="0.35">
      <c r="A1027" t="s">
        <v>1202</v>
      </c>
      <c r="B1027" s="1">
        <v>45842</v>
      </c>
      <c r="C1027" t="s">
        <v>210</v>
      </c>
      <c r="D1027" t="s">
        <v>59</v>
      </c>
      <c r="E1027" t="s">
        <v>185</v>
      </c>
      <c r="F1027" t="s">
        <v>14</v>
      </c>
      <c r="G1027">
        <v>950</v>
      </c>
      <c r="H1027" t="s">
        <v>15</v>
      </c>
      <c r="I1027" t="s">
        <v>47</v>
      </c>
      <c r="J1027" t="s">
        <v>211</v>
      </c>
    </row>
    <row r="1028" spans="1:10" x14ac:dyDescent="0.35">
      <c r="A1028" t="s">
        <v>1203</v>
      </c>
      <c r="B1028" s="1">
        <v>45842</v>
      </c>
      <c r="C1028" t="s">
        <v>192</v>
      </c>
      <c r="D1028" t="s">
        <v>80</v>
      </c>
      <c r="E1028" t="s">
        <v>92</v>
      </c>
      <c r="F1028" t="s">
        <v>14</v>
      </c>
      <c r="G1028">
        <v>61.69</v>
      </c>
      <c r="H1028" t="s">
        <v>15</v>
      </c>
      <c r="I1028" t="s">
        <v>36</v>
      </c>
      <c r="J1028" t="s">
        <v>180</v>
      </c>
    </row>
    <row r="1029" spans="1:10" x14ac:dyDescent="0.35">
      <c r="A1029" t="s">
        <v>1204</v>
      </c>
      <c r="B1029" s="1">
        <v>45842</v>
      </c>
      <c r="C1029" t="s">
        <v>91</v>
      </c>
      <c r="D1029" t="s">
        <v>80</v>
      </c>
      <c r="E1029" t="s">
        <v>92</v>
      </c>
      <c r="F1029" t="s">
        <v>14</v>
      </c>
      <c r="G1029">
        <v>78.06</v>
      </c>
      <c r="H1029" t="s">
        <v>21</v>
      </c>
      <c r="I1029" t="s">
        <v>36</v>
      </c>
      <c r="J1029" t="s">
        <v>82</v>
      </c>
    </row>
    <row r="1030" spans="1:10" x14ac:dyDescent="0.35">
      <c r="A1030" t="s">
        <v>1205</v>
      </c>
      <c r="B1030" s="1">
        <v>45843</v>
      </c>
      <c r="C1030" t="s">
        <v>177</v>
      </c>
      <c r="D1030" t="s">
        <v>54</v>
      </c>
      <c r="E1030" t="s">
        <v>74</v>
      </c>
      <c r="F1030" t="s">
        <v>54</v>
      </c>
      <c r="G1030">
        <v>2227.63</v>
      </c>
      <c r="H1030" t="s">
        <v>21</v>
      </c>
      <c r="I1030" t="s">
        <v>22</v>
      </c>
      <c r="J1030" t="s">
        <v>56</v>
      </c>
    </row>
    <row r="1031" spans="1:10" x14ac:dyDescent="0.35">
      <c r="A1031" t="s">
        <v>1206</v>
      </c>
      <c r="B1031" s="1">
        <v>45843</v>
      </c>
      <c r="C1031" t="s">
        <v>11</v>
      </c>
      <c r="D1031" t="s">
        <v>12</v>
      </c>
      <c r="E1031" t="s">
        <v>13</v>
      </c>
      <c r="F1031" t="s">
        <v>14</v>
      </c>
      <c r="G1031">
        <v>35.68</v>
      </c>
      <c r="H1031" t="s">
        <v>15</v>
      </c>
      <c r="I1031" t="s">
        <v>36</v>
      </c>
      <c r="J1031" t="s">
        <v>17</v>
      </c>
    </row>
    <row r="1032" spans="1:10" x14ac:dyDescent="0.35">
      <c r="A1032" t="s">
        <v>1207</v>
      </c>
      <c r="B1032" s="1">
        <v>45843</v>
      </c>
      <c r="C1032" t="s">
        <v>94</v>
      </c>
      <c r="D1032" t="s">
        <v>29</v>
      </c>
      <c r="E1032" t="s">
        <v>95</v>
      </c>
      <c r="F1032" t="s">
        <v>14</v>
      </c>
      <c r="G1032">
        <v>17.53</v>
      </c>
      <c r="H1032" t="s">
        <v>15</v>
      </c>
      <c r="I1032" t="s">
        <v>47</v>
      </c>
      <c r="J1032" t="s">
        <v>96</v>
      </c>
    </row>
    <row r="1033" spans="1:10" x14ac:dyDescent="0.35">
      <c r="A1033" t="s">
        <v>1208</v>
      </c>
      <c r="B1033" s="1">
        <v>45843</v>
      </c>
      <c r="C1033" t="s">
        <v>331</v>
      </c>
      <c r="D1033" t="s">
        <v>29</v>
      </c>
      <c r="E1033" t="s">
        <v>95</v>
      </c>
      <c r="F1033" t="s">
        <v>14</v>
      </c>
      <c r="G1033">
        <v>39.549999999999997</v>
      </c>
      <c r="H1033" t="s">
        <v>21</v>
      </c>
      <c r="I1033" t="s">
        <v>22</v>
      </c>
      <c r="J1033" t="s">
        <v>151</v>
      </c>
    </row>
    <row r="1034" spans="1:10" x14ac:dyDescent="0.35">
      <c r="A1034" t="s">
        <v>1209</v>
      </c>
      <c r="B1034" s="1">
        <v>45843</v>
      </c>
      <c r="C1034" t="s">
        <v>113</v>
      </c>
      <c r="D1034" t="s">
        <v>34</v>
      </c>
      <c r="E1034" t="s">
        <v>40</v>
      </c>
      <c r="F1034" t="s">
        <v>14</v>
      </c>
      <c r="G1034">
        <v>33.56</v>
      </c>
      <c r="H1034" t="s">
        <v>15</v>
      </c>
      <c r="I1034" t="s">
        <v>47</v>
      </c>
      <c r="J1034" t="s">
        <v>37</v>
      </c>
    </row>
    <row r="1035" spans="1:10" x14ac:dyDescent="0.35">
      <c r="A1035" t="s">
        <v>1210</v>
      </c>
      <c r="B1035" s="1">
        <v>45843</v>
      </c>
      <c r="C1035" t="s">
        <v>267</v>
      </c>
      <c r="D1035" t="s">
        <v>29</v>
      </c>
      <c r="E1035" t="s">
        <v>30</v>
      </c>
      <c r="F1035" t="s">
        <v>14</v>
      </c>
      <c r="G1035">
        <v>35.07</v>
      </c>
      <c r="H1035" t="s">
        <v>21</v>
      </c>
      <c r="I1035" t="s">
        <v>16</v>
      </c>
      <c r="J1035" t="s">
        <v>96</v>
      </c>
    </row>
    <row r="1036" spans="1:10" x14ac:dyDescent="0.35">
      <c r="A1036" t="s">
        <v>1211</v>
      </c>
      <c r="B1036" s="1">
        <v>45843</v>
      </c>
      <c r="C1036" t="s">
        <v>345</v>
      </c>
      <c r="D1036" t="s">
        <v>59</v>
      </c>
      <c r="E1036" t="s">
        <v>60</v>
      </c>
      <c r="F1036" t="s">
        <v>14</v>
      </c>
      <c r="G1036">
        <v>138.77000000000001</v>
      </c>
      <c r="H1036" t="s">
        <v>21</v>
      </c>
      <c r="I1036" t="s">
        <v>16</v>
      </c>
      <c r="J1036" t="s">
        <v>211</v>
      </c>
    </row>
    <row r="1037" spans="1:10" x14ac:dyDescent="0.35">
      <c r="A1037" t="s">
        <v>1212</v>
      </c>
      <c r="B1037" s="1">
        <v>45844</v>
      </c>
      <c r="C1037" t="s">
        <v>192</v>
      </c>
      <c r="D1037" t="s">
        <v>80</v>
      </c>
      <c r="E1037" t="s">
        <v>92</v>
      </c>
      <c r="F1037" t="s">
        <v>14</v>
      </c>
      <c r="G1037">
        <v>46.27</v>
      </c>
      <c r="H1037" t="s">
        <v>21</v>
      </c>
      <c r="I1037" t="s">
        <v>36</v>
      </c>
      <c r="J1037" t="s">
        <v>180</v>
      </c>
    </row>
    <row r="1038" spans="1:10" x14ac:dyDescent="0.35">
      <c r="A1038" t="s">
        <v>1213</v>
      </c>
      <c r="B1038" s="1">
        <v>45844</v>
      </c>
      <c r="C1038" t="s">
        <v>63</v>
      </c>
      <c r="D1038" t="s">
        <v>54</v>
      </c>
      <c r="E1038" t="s">
        <v>64</v>
      </c>
      <c r="F1038" t="s">
        <v>54</v>
      </c>
      <c r="G1038">
        <v>322.73</v>
      </c>
      <c r="H1038" t="s">
        <v>15</v>
      </c>
      <c r="I1038" t="s">
        <v>16</v>
      </c>
      <c r="J1038" t="s">
        <v>65</v>
      </c>
    </row>
    <row r="1039" spans="1:10" x14ac:dyDescent="0.35">
      <c r="A1039" t="s">
        <v>1214</v>
      </c>
      <c r="B1039" s="1">
        <v>45844</v>
      </c>
      <c r="C1039" t="s">
        <v>229</v>
      </c>
      <c r="D1039" t="s">
        <v>54</v>
      </c>
      <c r="E1039" t="s">
        <v>64</v>
      </c>
      <c r="F1039" t="s">
        <v>54</v>
      </c>
      <c r="G1039">
        <v>405.91</v>
      </c>
      <c r="H1039" t="s">
        <v>21</v>
      </c>
      <c r="I1039" t="s">
        <v>22</v>
      </c>
      <c r="J1039" t="s">
        <v>56</v>
      </c>
    </row>
    <row r="1040" spans="1:10" x14ac:dyDescent="0.35">
      <c r="A1040" t="s">
        <v>1215</v>
      </c>
      <c r="B1040" s="1">
        <v>45844</v>
      </c>
      <c r="C1040" t="s">
        <v>19</v>
      </c>
      <c r="D1040" t="s">
        <v>12</v>
      </c>
      <c r="E1040" t="s">
        <v>13</v>
      </c>
      <c r="F1040" t="s">
        <v>14</v>
      </c>
      <c r="G1040">
        <v>49.04</v>
      </c>
      <c r="H1040" t="s">
        <v>15</v>
      </c>
      <c r="I1040" t="s">
        <v>36</v>
      </c>
      <c r="J1040" t="s">
        <v>23</v>
      </c>
    </row>
    <row r="1041" spans="1:10" x14ac:dyDescent="0.35">
      <c r="A1041" t="s">
        <v>1216</v>
      </c>
      <c r="B1041" s="1">
        <v>45844</v>
      </c>
      <c r="C1041" t="s">
        <v>160</v>
      </c>
      <c r="D1041" t="s">
        <v>80</v>
      </c>
      <c r="E1041" t="s">
        <v>117</v>
      </c>
      <c r="F1041" t="s">
        <v>14</v>
      </c>
      <c r="G1041">
        <v>34.15</v>
      </c>
      <c r="H1041" t="s">
        <v>15</v>
      </c>
      <c r="I1041" t="s">
        <v>22</v>
      </c>
      <c r="J1041" t="s">
        <v>161</v>
      </c>
    </row>
    <row r="1042" spans="1:10" x14ac:dyDescent="0.35">
      <c r="A1042" t="s">
        <v>1217</v>
      </c>
      <c r="B1042" s="1">
        <v>45845</v>
      </c>
      <c r="C1042" t="s">
        <v>143</v>
      </c>
      <c r="D1042" t="s">
        <v>54</v>
      </c>
      <c r="E1042" t="s">
        <v>55</v>
      </c>
      <c r="F1042" t="s">
        <v>54</v>
      </c>
      <c r="G1042">
        <v>808.88</v>
      </c>
      <c r="H1042" t="s">
        <v>98</v>
      </c>
      <c r="I1042" t="s">
        <v>22</v>
      </c>
      <c r="J1042" t="s">
        <v>89</v>
      </c>
    </row>
    <row r="1043" spans="1:10" x14ac:dyDescent="0.35">
      <c r="A1043" t="s">
        <v>1218</v>
      </c>
      <c r="B1043" s="1">
        <v>45845</v>
      </c>
      <c r="C1043" t="s">
        <v>46</v>
      </c>
      <c r="D1043" t="s">
        <v>12</v>
      </c>
      <c r="E1043" t="s">
        <v>13</v>
      </c>
      <c r="F1043" t="s">
        <v>14</v>
      </c>
      <c r="G1043">
        <v>81.02</v>
      </c>
      <c r="H1043" t="s">
        <v>15</v>
      </c>
      <c r="I1043" t="s">
        <v>22</v>
      </c>
      <c r="J1043" t="s">
        <v>48</v>
      </c>
    </row>
    <row r="1044" spans="1:10" x14ac:dyDescent="0.35">
      <c r="A1044" t="s">
        <v>1219</v>
      </c>
      <c r="B1044" s="1">
        <v>45845</v>
      </c>
      <c r="C1044" t="s">
        <v>251</v>
      </c>
      <c r="D1044" t="s">
        <v>29</v>
      </c>
      <c r="E1044" t="s">
        <v>151</v>
      </c>
      <c r="F1044" t="s">
        <v>14</v>
      </c>
      <c r="G1044">
        <v>91.01</v>
      </c>
      <c r="H1044" t="s">
        <v>15</v>
      </c>
      <c r="I1044" t="s">
        <v>22</v>
      </c>
      <c r="J1044" t="s">
        <v>31</v>
      </c>
    </row>
    <row r="1045" spans="1:10" x14ac:dyDescent="0.35">
      <c r="A1045" t="s">
        <v>1220</v>
      </c>
      <c r="B1045" s="1">
        <v>45846</v>
      </c>
      <c r="C1045" t="s">
        <v>350</v>
      </c>
      <c r="D1045" t="s">
        <v>29</v>
      </c>
      <c r="E1045" t="s">
        <v>151</v>
      </c>
      <c r="F1045" t="s">
        <v>14</v>
      </c>
      <c r="G1045">
        <v>82.33</v>
      </c>
      <c r="H1045" t="s">
        <v>15</v>
      </c>
      <c r="I1045" t="s">
        <v>36</v>
      </c>
      <c r="J1045" t="s">
        <v>158</v>
      </c>
    </row>
    <row r="1046" spans="1:10" x14ac:dyDescent="0.35">
      <c r="A1046" t="s">
        <v>1221</v>
      </c>
      <c r="B1046" s="1">
        <v>45846</v>
      </c>
      <c r="C1046" t="s">
        <v>229</v>
      </c>
      <c r="D1046" t="s">
        <v>54</v>
      </c>
      <c r="E1046" t="s">
        <v>64</v>
      </c>
      <c r="F1046" t="s">
        <v>54</v>
      </c>
      <c r="G1046">
        <v>291.48</v>
      </c>
      <c r="H1046" t="s">
        <v>15</v>
      </c>
      <c r="I1046" t="s">
        <v>22</v>
      </c>
      <c r="J1046" t="s">
        <v>56</v>
      </c>
    </row>
    <row r="1047" spans="1:10" x14ac:dyDescent="0.35">
      <c r="A1047" t="s">
        <v>1222</v>
      </c>
      <c r="B1047" s="1">
        <v>45846</v>
      </c>
      <c r="C1047" t="s">
        <v>116</v>
      </c>
      <c r="D1047" t="s">
        <v>80</v>
      </c>
      <c r="E1047" t="s">
        <v>117</v>
      </c>
      <c r="F1047" t="s">
        <v>14</v>
      </c>
      <c r="G1047">
        <v>61.88</v>
      </c>
      <c r="H1047" t="s">
        <v>15</v>
      </c>
      <c r="I1047" t="s">
        <v>16</v>
      </c>
      <c r="J1047" t="s">
        <v>118</v>
      </c>
    </row>
    <row r="1048" spans="1:10" x14ac:dyDescent="0.35">
      <c r="A1048" t="s">
        <v>1223</v>
      </c>
      <c r="B1048" s="1">
        <v>45846</v>
      </c>
      <c r="C1048" t="s">
        <v>135</v>
      </c>
      <c r="D1048" t="s">
        <v>101</v>
      </c>
      <c r="E1048" t="s">
        <v>102</v>
      </c>
      <c r="F1048" t="s">
        <v>14</v>
      </c>
      <c r="G1048">
        <v>87.9</v>
      </c>
      <c r="H1048" t="s">
        <v>21</v>
      </c>
      <c r="I1048" t="s">
        <v>47</v>
      </c>
      <c r="J1048" t="s">
        <v>136</v>
      </c>
    </row>
    <row r="1049" spans="1:10" x14ac:dyDescent="0.35">
      <c r="A1049" t="s">
        <v>1224</v>
      </c>
      <c r="B1049" s="1">
        <v>45846</v>
      </c>
      <c r="C1049" t="s">
        <v>58</v>
      </c>
      <c r="D1049" t="s">
        <v>59</v>
      </c>
      <c r="E1049" t="s">
        <v>60</v>
      </c>
      <c r="F1049" t="s">
        <v>14</v>
      </c>
      <c r="G1049">
        <v>297.08</v>
      </c>
      <c r="H1049" t="s">
        <v>15</v>
      </c>
      <c r="I1049" t="s">
        <v>47</v>
      </c>
      <c r="J1049" t="s">
        <v>61</v>
      </c>
    </row>
    <row r="1050" spans="1:10" x14ac:dyDescent="0.35">
      <c r="A1050" t="s">
        <v>1225</v>
      </c>
      <c r="B1050" s="1">
        <v>45846</v>
      </c>
      <c r="C1050" t="s">
        <v>272</v>
      </c>
      <c r="D1050" t="s">
        <v>54</v>
      </c>
      <c r="E1050" t="s">
        <v>55</v>
      </c>
      <c r="F1050" t="s">
        <v>54</v>
      </c>
      <c r="G1050">
        <v>658.96</v>
      </c>
      <c r="H1050" t="s">
        <v>21</v>
      </c>
      <c r="I1050" t="s">
        <v>22</v>
      </c>
      <c r="J1050" t="s">
        <v>65</v>
      </c>
    </row>
    <row r="1051" spans="1:10" x14ac:dyDescent="0.35">
      <c r="A1051" t="s">
        <v>1226</v>
      </c>
      <c r="B1051" s="1">
        <v>45847</v>
      </c>
      <c r="C1051" t="s">
        <v>138</v>
      </c>
      <c r="D1051" t="s">
        <v>12</v>
      </c>
      <c r="E1051" t="s">
        <v>26</v>
      </c>
      <c r="F1051" t="s">
        <v>14</v>
      </c>
      <c r="G1051">
        <v>34.69</v>
      </c>
      <c r="H1051" t="s">
        <v>15</v>
      </c>
      <c r="I1051" t="s">
        <v>47</v>
      </c>
      <c r="J1051" t="s">
        <v>77</v>
      </c>
    </row>
    <row r="1052" spans="1:10" x14ac:dyDescent="0.35">
      <c r="A1052" t="s">
        <v>1227</v>
      </c>
      <c r="B1052" s="1">
        <v>45847</v>
      </c>
      <c r="C1052" t="s">
        <v>192</v>
      </c>
      <c r="D1052" t="s">
        <v>80</v>
      </c>
      <c r="E1052" t="s">
        <v>92</v>
      </c>
      <c r="F1052" t="s">
        <v>14</v>
      </c>
      <c r="G1052">
        <v>12.87</v>
      </c>
      <c r="H1052" t="s">
        <v>15</v>
      </c>
      <c r="I1052" t="s">
        <v>22</v>
      </c>
      <c r="J1052" t="s">
        <v>180</v>
      </c>
    </row>
    <row r="1053" spans="1:10" x14ac:dyDescent="0.35">
      <c r="A1053" t="s">
        <v>1228</v>
      </c>
      <c r="B1053" s="1">
        <v>45847</v>
      </c>
      <c r="C1053" t="s">
        <v>135</v>
      </c>
      <c r="D1053" t="s">
        <v>101</v>
      </c>
      <c r="E1053" t="s">
        <v>102</v>
      </c>
      <c r="F1053" t="s">
        <v>14</v>
      </c>
      <c r="G1053">
        <v>52.93</v>
      </c>
      <c r="H1053" t="s">
        <v>15</v>
      </c>
      <c r="I1053" t="s">
        <v>22</v>
      </c>
      <c r="J1053" t="s">
        <v>136</v>
      </c>
    </row>
    <row r="1054" spans="1:10" x14ac:dyDescent="0.35">
      <c r="A1054" t="s">
        <v>1229</v>
      </c>
      <c r="B1054" s="1">
        <v>45848</v>
      </c>
      <c r="C1054" t="s">
        <v>227</v>
      </c>
      <c r="D1054" t="s">
        <v>12</v>
      </c>
      <c r="E1054" t="s">
        <v>51</v>
      </c>
      <c r="F1054" t="s">
        <v>14</v>
      </c>
      <c r="G1054">
        <v>61.64</v>
      </c>
      <c r="H1054" t="s">
        <v>15</v>
      </c>
      <c r="I1054" t="s">
        <v>22</v>
      </c>
      <c r="J1054" t="s">
        <v>17</v>
      </c>
    </row>
    <row r="1055" spans="1:10" x14ac:dyDescent="0.35">
      <c r="A1055" t="s">
        <v>1230</v>
      </c>
      <c r="B1055" s="1">
        <v>45848</v>
      </c>
      <c r="C1055" t="s">
        <v>229</v>
      </c>
      <c r="D1055" t="s">
        <v>54</v>
      </c>
      <c r="E1055" t="s">
        <v>64</v>
      </c>
      <c r="F1055" t="s">
        <v>54</v>
      </c>
      <c r="G1055">
        <v>334.4</v>
      </c>
      <c r="H1055" t="s">
        <v>21</v>
      </c>
      <c r="I1055" t="s">
        <v>22</v>
      </c>
      <c r="J1055" t="s">
        <v>56</v>
      </c>
    </row>
    <row r="1056" spans="1:10" x14ac:dyDescent="0.35">
      <c r="A1056" t="s">
        <v>1231</v>
      </c>
      <c r="B1056" s="1">
        <v>45848</v>
      </c>
      <c r="C1056" t="s">
        <v>189</v>
      </c>
      <c r="D1056" t="s">
        <v>34</v>
      </c>
      <c r="E1056" t="s">
        <v>122</v>
      </c>
      <c r="F1056" t="s">
        <v>14</v>
      </c>
      <c r="G1056">
        <v>161.71</v>
      </c>
      <c r="H1056" t="s">
        <v>21</v>
      </c>
      <c r="I1056" t="s">
        <v>36</v>
      </c>
      <c r="J1056" t="s">
        <v>37</v>
      </c>
    </row>
    <row r="1057" spans="1:10" x14ac:dyDescent="0.35">
      <c r="A1057" t="s">
        <v>1232</v>
      </c>
      <c r="B1057" s="1">
        <v>45849</v>
      </c>
      <c r="C1057" t="s">
        <v>272</v>
      </c>
      <c r="D1057" t="s">
        <v>54</v>
      </c>
      <c r="E1057" t="s">
        <v>55</v>
      </c>
      <c r="F1057" t="s">
        <v>54</v>
      </c>
      <c r="G1057">
        <v>793.66</v>
      </c>
      <c r="H1057" t="s">
        <v>21</v>
      </c>
      <c r="I1057" t="s">
        <v>36</v>
      </c>
      <c r="J1057" t="s">
        <v>65</v>
      </c>
    </row>
    <row r="1058" spans="1:10" x14ac:dyDescent="0.35">
      <c r="A1058" t="s">
        <v>1233</v>
      </c>
      <c r="B1058" s="1">
        <v>45849</v>
      </c>
      <c r="C1058" t="s">
        <v>79</v>
      </c>
      <c r="D1058" t="s">
        <v>80</v>
      </c>
      <c r="E1058" t="s">
        <v>81</v>
      </c>
      <c r="F1058" t="s">
        <v>14</v>
      </c>
      <c r="G1058">
        <v>108.67</v>
      </c>
      <c r="H1058" t="s">
        <v>15</v>
      </c>
      <c r="I1058" t="s">
        <v>22</v>
      </c>
      <c r="J1058" t="s">
        <v>82</v>
      </c>
    </row>
    <row r="1059" spans="1:10" x14ac:dyDescent="0.35">
      <c r="A1059" t="s">
        <v>1234</v>
      </c>
      <c r="B1059" s="1">
        <v>45849</v>
      </c>
      <c r="C1059" t="s">
        <v>210</v>
      </c>
      <c r="D1059" t="s">
        <v>59</v>
      </c>
      <c r="E1059" t="s">
        <v>185</v>
      </c>
      <c r="F1059" t="s">
        <v>14</v>
      </c>
      <c r="G1059">
        <v>207.8</v>
      </c>
      <c r="H1059" t="s">
        <v>21</v>
      </c>
      <c r="I1059" t="s">
        <v>22</v>
      </c>
      <c r="J1059" t="s">
        <v>211</v>
      </c>
    </row>
    <row r="1060" spans="1:10" x14ac:dyDescent="0.35">
      <c r="A1060" t="s">
        <v>1235</v>
      </c>
      <c r="B1060" s="1">
        <v>45849</v>
      </c>
      <c r="C1060" t="s">
        <v>125</v>
      </c>
      <c r="D1060" t="s">
        <v>12</v>
      </c>
      <c r="E1060" t="s">
        <v>13</v>
      </c>
      <c r="F1060" t="s">
        <v>14</v>
      </c>
      <c r="G1060">
        <v>133.83000000000001</v>
      </c>
      <c r="H1060" t="s">
        <v>15</v>
      </c>
      <c r="I1060" t="s">
        <v>16</v>
      </c>
      <c r="J1060" t="s">
        <v>44</v>
      </c>
    </row>
    <row r="1061" spans="1:10" x14ac:dyDescent="0.35">
      <c r="A1061" t="s">
        <v>1236</v>
      </c>
      <c r="B1061" s="1">
        <v>45849</v>
      </c>
      <c r="C1061" t="s">
        <v>238</v>
      </c>
      <c r="D1061" t="s">
        <v>34</v>
      </c>
      <c r="E1061" t="s">
        <v>35</v>
      </c>
      <c r="F1061" t="s">
        <v>14</v>
      </c>
      <c r="G1061">
        <v>359.72</v>
      </c>
      <c r="H1061" t="s">
        <v>15</v>
      </c>
      <c r="I1061" t="s">
        <v>36</v>
      </c>
      <c r="J1061" t="s">
        <v>239</v>
      </c>
    </row>
    <row r="1062" spans="1:10" x14ac:dyDescent="0.35">
      <c r="A1062" t="s">
        <v>1237</v>
      </c>
      <c r="B1062" s="1">
        <v>45850</v>
      </c>
      <c r="C1062" t="s">
        <v>217</v>
      </c>
      <c r="D1062" t="s">
        <v>80</v>
      </c>
      <c r="E1062" t="s">
        <v>81</v>
      </c>
      <c r="F1062" t="s">
        <v>14</v>
      </c>
      <c r="G1062">
        <v>105.21</v>
      </c>
      <c r="H1062" t="s">
        <v>98</v>
      </c>
      <c r="I1062" t="s">
        <v>47</v>
      </c>
      <c r="J1062" t="s">
        <v>180</v>
      </c>
    </row>
    <row r="1063" spans="1:10" x14ac:dyDescent="0.35">
      <c r="A1063" t="s">
        <v>1238</v>
      </c>
      <c r="B1063" s="1">
        <v>45850</v>
      </c>
      <c r="C1063" t="s">
        <v>58</v>
      </c>
      <c r="D1063" t="s">
        <v>59</v>
      </c>
      <c r="E1063" t="s">
        <v>60</v>
      </c>
      <c r="F1063" t="s">
        <v>14</v>
      </c>
      <c r="G1063">
        <v>182.56</v>
      </c>
      <c r="H1063" t="s">
        <v>15</v>
      </c>
      <c r="I1063" t="s">
        <v>36</v>
      </c>
      <c r="J1063" t="s">
        <v>61</v>
      </c>
    </row>
    <row r="1064" spans="1:10" x14ac:dyDescent="0.35">
      <c r="A1064" t="s">
        <v>1239</v>
      </c>
      <c r="B1064" s="1">
        <v>45850</v>
      </c>
      <c r="C1064" t="s">
        <v>177</v>
      </c>
      <c r="D1064" t="s">
        <v>54</v>
      </c>
      <c r="E1064" t="s">
        <v>74</v>
      </c>
      <c r="F1064" t="s">
        <v>54</v>
      </c>
      <c r="G1064">
        <v>2419.6799999999998</v>
      </c>
      <c r="H1064" t="s">
        <v>21</v>
      </c>
      <c r="I1064" t="s">
        <v>47</v>
      </c>
      <c r="J1064" t="s">
        <v>56</v>
      </c>
    </row>
    <row r="1065" spans="1:10" x14ac:dyDescent="0.35">
      <c r="A1065" t="s">
        <v>1240</v>
      </c>
      <c r="B1065" s="1">
        <v>45850</v>
      </c>
      <c r="C1065" t="s">
        <v>445</v>
      </c>
      <c r="D1065" t="s">
        <v>101</v>
      </c>
      <c r="E1065" t="s">
        <v>244</v>
      </c>
      <c r="F1065" t="s">
        <v>14</v>
      </c>
      <c r="G1065">
        <v>150.22999999999999</v>
      </c>
      <c r="H1065" t="s">
        <v>15</v>
      </c>
      <c r="I1065" t="s">
        <v>36</v>
      </c>
      <c r="J1065" t="s">
        <v>103</v>
      </c>
    </row>
    <row r="1066" spans="1:10" x14ac:dyDescent="0.35">
      <c r="A1066" t="s">
        <v>1241</v>
      </c>
      <c r="B1066" s="1">
        <v>45851</v>
      </c>
      <c r="C1066" t="s">
        <v>175</v>
      </c>
      <c r="D1066" t="s">
        <v>80</v>
      </c>
      <c r="E1066" t="s">
        <v>92</v>
      </c>
      <c r="F1066" t="s">
        <v>14</v>
      </c>
      <c r="G1066">
        <v>134.38</v>
      </c>
      <c r="H1066" t="s">
        <v>15</v>
      </c>
      <c r="I1066" t="s">
        <v>22</v>
      </c>
      <c r="J1066" t="s">
        <v>141</v>
      </c>
    </row>
    <row r="1067" spans="1:10" x14ac:dyDescent="0.35">
      <c r="A1067" t="s">
        <v>1242</v>
      </c>
      <c r="B1067" s="1">
        <v>45851</v>
      </c>
      <c r="C1067" t="s">
        <v>324</v>
      </c>
      <c r="D1067" t="s">
        <v>80</v>
      </c>
      <c r="E1067" t="s">
        <v>92</v>
      </c>
      <c r="F1067" t="s">
        <v>14</v>
      </c>
      <c r="G1067">
        <v>103.49</v>
      </c>
      <c r="H1067" t="s">
        <v>15</v>
      </c>
      <c r="I1067" t="s">
        <v>36</v>
      </c>
      <c r="J1067" t="s">
        <v>161</v>
      </c>
    </row>
    <row r="1068" spans="1:10" x14ac:dyDescent="0.35">
      <c r="A1068" t="s">
        <v>1243</v>
      </c>
      <c r="B1068" s="1">
        <v>45851</v>
      </c>
      <c r="C1068" t="s">
        <v>153</v>
      </c>
      <c r="D1068" t="s">
        <v>34</v>
      </c>
      <c r="E1068" t="s">
        <v>122</v>
      </c>
      <c r="F1068" t="s">
        <v>14</v>
      </c>
      <c r="G1068">
        <v>221.54</v>
      </c>
      <c r="H1068" t="s">
        <v>15</v>
      </c>
      <c r="I1068" t="s">
        <v>36</v>
      </c>
      <c r="J1068" t="s">
        <v>41</v>
      </c>
    </row>
    <row r="1069" spans="1:10" x14ac:dyDescent="0.35">
      <c r="A1069" t="s">
        <v>1244</v>
      </c>
      <c r="B1069" s="1">
        <v>45851</v>
      </c>
      <c r="C1069" t="s">
        <v>189</v>
      </c>
      <c r="D1069" t="s">
        <v>34</v>
      </c>
      <c r="E1069" t="s">
        <v>122</v>
      </c>
      <c r="F1069" t="s">
        <v>14</v>
      </c>
      <c r="G1069">
        <v>221.23</v>
      </c>
      <c r="H1069" t="s">
        <v>15</v>
      </c>
      <c r="I1069" t="s">
        <v>47</v>
      </c>
      <c r="J1069" t="s">
        <v>37</v>
      </c>
    </row>
    <row r="1070" spans="1:10" x14ac:dyDescent="0.35">
      <c r="A1070" t="s">
        <v>1245</v>
      </c>
      <c r="B1070" s="1">
        <v>45852</v>
      </c>
      <c r="C1070" t="s">
        <v>130</v>
      </c>
      <c r="D1070" t="s">
        <v>12</v>
      </c>
      <c r="E1070" t="s">
        <v>26</v>
      </c>
      <c r="F1070" t="s">
        <v>14</v>
      </c>
      <c r="G1070">
        <v>36.159999999999997</v>
      </c>
      <c r="H1070" t="s">
        <v>21</v>
      </c>
      <c r="I1070" t="s">
        <v>16</v>
      </c>
      <c r="J1070" t="s">
        <v>48</v>
      </c>
    </row>
    <row r="1071" spans="1:10" x14ac:dyDescent="0.35">
      <c r="A1071" t="s">
        <v>1246</v>
      </c>
      <c r="B1071" s="1">
        <v>45852</v>
      </c>
      <c r="C1071" t="s">
        <v>415</v>
      </c>
      <c r="D1071" t="s">
        <v>12</v>
      </c>
      <c r="E1071" t="s">
        <v>51</v>
      </c>
      <c r="F1071" t="s">
        <v>14</v>
      </c>
      <c r="G1071">
        <v>21.32</v>
      </c>
      <c r="H1071" t="s">
        <v>15</v>
      </c>
      <c r="I1071" t="s">
        <v>36</v>
      </c>
      <c r="J1071" t="s">
        <v>77</v>
      </c>
    </row>
    <row r="1072" spans="1:10" x14ac:dyDescent="0.35">
      <c r="A1072" t="s">
        <v>1247</v>
      </c>
      <c r="B1072" s="1">
        <v>45852</v>
      </c>
      <c r="C1072" t="s">
        <v>50</v>
      </c>
      <c r="D1072" t="s">
        <v>12</v>
      </c>
      <c r="E1072" t="s">
        <v>51</v>
      </c>
      <c r="F1072" t="s">
        <v>14</v>
      </c>
      <c r="G1072">
        <v>30.08</v>
      </c>
      <c r="H1072" t="s">
        <v>21</v>
      </c>
      <c r="I1072" t="s">
        <v>22</v>
      </c>
      <c r="J1072" t="s">
        <v>44</v>
      </c>
    </row>
    <row r="1073" spans="1:10" x14ac:dyDescent="0.35">
      <c r="A1073" t="s">
        <v>1248</v>
      </c>
      <c r="B1073" s="1">
        <v>45852</v>
      </c>
      <c r="C1073" t="s">
        <v>251</v>
      </c>
      <c r="D1073" t="s">
        <v>29</v>
      </c>
      <c r="E1073" t="s">
        <v>151</v>
      </c>
      <c r="F1073" t="s">
        <v>14</v>
      </c>
      <c r="G1073">
        <v>18.68</v>
      </c>
      <c r="H1073" t="s">
        <v>15</v>
      </c>
      <c r="I1073" t="s">
        <v>36</v>
      </c>
      <c r="J1073" t="s">
        <v>31</v>
      </c>
    </row>
    <row r="1074" spans="1:10" x14ac:dyDescent="0.35">
      <c r="A1074" t="s">
        <v>1249</v>
      </c>
      <c r="B1074" s="1">
        <v>45852</v>
      </c>
      <c r="C1074" t="s">
        <v>347</v>
      </c>
      <c r="D1074" t="s">
        <v>29</v>
      </c>
      <c r="E1074" t="s">
        <v>151</v>
      </c>
      <c r="F1074" t="s">
        <v>14</v>
      </c>
      <c r="G1074">
        <v>13.07</v>
      </c>
      <c r="H1074" t="s">
        <v>21</v>
      </c>
      <c r="I1074" t="s">
        <v>22</v>
      </c>
      <c r="J1074" t="s">
        <v>96</v>
      </c>
    </row>
    <row r="1075" spans="1:10" x14ac:dyDescent="0.35">
      <c r="A1075" t="s">
        <v>1250</v>
      </c>
      <c r="B1075" s="1">
        <v>45852</v>
      </c>
      <c r="C1075" t="s">
        <v>324</v>
      </c>
      <c r="D1075" t="s">
        <v>80</v>
      </c>
      <c r="E1075" t="s">
        <v>92</v>
      </c>
      <c r="F1075" t="s">
        <v>14</v>
      </c>
      <c r="G1075">
        <v>50.44</v>
      </c>
      <c r="H1075" t="s">
        <v>15</v>
      </c>
      <c r="I1075" t="s">
        <v>22</v>
      </c>
      <c r="J1075" t="s">
        <v>161</v>
      </c>
    </row>
    <row r="1076" spans="1:10" x14ac:dyDescent="0.35">
      <c r="A1076" t="s">
        <v>1251</v>
      </c>
      <c r="B1076" s="1">
        <v>45852</v>
      </c>
      <c r="C1076" t="s">
        <v>138</v>
      </c>
      <c r="D1076" t="s">
        <v>12</v>
      </c>
      <c r="E1076" t="s">
        <v>26</v>
      </c>
      <c r="F1076" t="s">
        <v>14</v>
      </c>
      <c r="G1076">
        <v>99.08</v>
      </c>
      <c r="H1076" t="s">
        <v>15</v>
      </c>
      <c r="I1076" t="s">
        <v>36</v>
      </c>
      <c r="J1076" t="s">
        <v>77</v>
      </c>
    </row>
    <row r="1077" spans="1:10" x14ac:dyDescent="0.35">
      <c r="A1077" t="s">
        <v>1252</v>
      </c>
      <c r="B1077" s="1">
        <v>45852</v>
      </c>
      <c r="C1077" t="s">
        <v>272</v>
      </c>
      <c r="D1077" t="s">
        <v>54</v>
      </c>
      <c r="E1077" t="s">
        <v>55</v>
      </c>
      <c r="F1077" t="s">
        <v>54</v>
      </c>
      <c r="G1077">
        <v>731.77</v>
      </c>
      <c r="H1077" t="s">
        <v>15</v>
      </c>
      <c r="I1077" t="s">
        <v>16</v>
      </c>
      <c r="J1077" t="s">
        <v>65</v>
      </c>
    </row>
    <row r="1078" spans="1:10" x14ac:dyDescent="0.35">
      <c r="A1078" t="s">
        <v>1253</v>
      </c>
      <c r="B1078" s="1">
        <v>45852</v>
      </c>
      <c r="C1078" t="s">
        <v>204</v>
      </c>
      <c r="D1078" t="s">
        <v>12</v>
      </c>
      <c r="E1078" t="s">
        <v>51</v>
      </c>
      <c r="F1078" t="s">
        <v>14</v>
      </c>
      <c r="G1078">
        <v>77.86</v>
      </c>
      <c r="H1078" t="s">
        <v>15</v>
      </c>
      <c r="I1078" t="s">
        <v>36</v>
      </c>
      <c r="J1078" t="s">
        <v>23</v>
      </c>
    </row>
    <row r="1079" spans="1:10" x14ac:dyDescent="0.35">
      <c r="A1079" t="s">
        <v>1254</v>
      </c>
      <c r="B1079" s="1">
        <v>45852</v>
      </c>
      <c r="C1079" t="s">
        <v>88</v>
      </c>
      <c r="D1079" t="s">
        <v>54</v>
      </c>
      <c r="E1079" t="s">
        <v>74</v>
      </c>
      <c r="F1079" t="s">
        <v>54</v>
      </c>
      <c r="G1079">
        <v>2612.9499999999998</v>
      </c>
      <c r="H1079" t="s">
        <v>15</v>
      </c>
      <c r="I1079" t="s">
        <v>22</v>
      </c>
      <c r="J1079" t="s">
        <v>89</v>
      </c>
    </row>
    <row r="1080" spans="1:10" x14ac:dyDescent="0.35">
      <c r="A1080" t="s">
        <v>1255</v>
      </c>
      <c r="B1080" s="1">
        <v>45853</v>
      </c>
      <c r="C1080" t="s">
        <v>28</v>
      </c>
      <c r="D1080" t="s">
        <v>29</v>
      </c>
      <c r="E1080" t="s">
        <v>30</v>
      </c>
      <c r="F1080" t="s">
        <v>14</v>
      </c>
      <c r="G1080">
        <v>61.15</v>
      </c>
      <c r="H1080" t="s">
        <v>15</v>
      </c>
      <c r="I1080" t="s">
        <v>22</v>
      </c>
      <c r="J1080" t="s">
        <v>31</v>
      </c>
    </row>
    <row r="1081" spans="1:10" x14ac:dyDescent="0.35">
      <c r="A1081" t="s">
        <v>1256</v>
      </c>
      <c r="B1081" s="1">
        <v>45853</v>
      </c>
      <c r="C1081" t="s">
        <v>272</v>
      </c>
      <c r="D1081" t="s">
        <v>54</v>
      </c>
      <c r="E1081" t="s">
        <v>55</v>
      </c>
      <c r="F1081" t="s">
        <v>54</v>
      </c>
      <c r="G1081">
        <v>715.81</v>
      </c>
      <c r="H1081" t="s">
        <v>15</v>
      </c>
      <c r="I1081" t="s">
        <v>22</v>
      </c>
      <c r="J1081" t="s">
        <v>65</v>
      </c>
    </row>
    <row r="1082" spans="1:10" x14ac:dyDescent="0.35">
      <c r="A1082" t="s">
        <v>1257</v>
      </c>
      <c r="B1082" s="1">
        <v>45853</v>
      </c>
      <c r="C1082" t="s">
        <v>267</v>
      </c>
      <c r="D1082" t="s">
        <v>29</v>
      </c>
      <c r="E1082" t="s">
        <v>30</v>
      </c>
      <c r="F1082" t="s">
        <v>14</v>
      </c>
      <c r="G1082">
        <v>5</v>
      </c>
      <c r="H1082" t="s">
        <v>21</v>
      </c>
      <c r="I1082" t="s">
        <v>47</v>
      </c>
      <c r="J1082" t="s">
        <v>96</v>
      </c>
    </row>
    <row r="1083" spans="1:10" x14ac:dyDescent="0.35">
      <c r="A1083" t="s">
        <v>1258</v>
      </c>
      <c r="B1083" s="1">
        <v>45853</v>
      </c>
      <c r="C1083" t="s">
        <v>46</v>
      </c>
      <c r="D1083" t="s">
        <v>12</v>
      </c>
      <c r="E1083" t="s">
        <v>13</v>
      </c>
      <c r="F1083" t="s">
        <v>14</v>
      </c>
      <c r="G1083">
        <v>23.95</v>
      </c>
      <c r="H1083" t="s">
        <v>15</v>
      </c>
      <c r="I1083" t="s">
        <v>47</v>
      </c>
      <c r="J1083" t="s">
        <v>48</v>
      </c>
    </row>
    <row r="1084" spans="1:10" x14ac:dyDescent="0.35">
      <c r="A1084" t="s">
        <v>1259</v>
      </c>
      <c r="B1084" s="1">
        <v>45853</v>
      </c>
      <c r="C1084" t="s">
        <v>50</v>
      </c>
      <c r="D1084" t="s">
        <v>12</v>
      </c>
      <c r="E1084" t="s">
        <v>51</v>
      </c>
      <c r="F1084" t="s">
        <v>14</v>
      </c>
      <c r="G1084">
        <v>80.11</v>
      </c>
      <c r="H1084" t="s">
        <v>15</v>
      </c>
      <c r="I1084" t="s">
        <v>36</v>
      </c>
      <c r="J1084" t="s">
        <v>44</v>
      </c>
    </row>
    <row r="1085" spans="1:10" x14ac:dyDescent="0.35">
      <c r="A1085" t="s">
        <v>1260</v>
      </c>
      <c r="B1085" s="1">
        <v>45853</v>
      </c>
      <c r="C1085" t="s">
        <v>33</v>
      </c>
      <c r="D1085" t="s">
        <v>34</v>
      </c>
      <c r="E1085" t="s">
        <v>35</v>
      </c>
      <c r="F1085" t="s">
        <v>14</v>
      </c>
      <c r="G1085">
        <v>156.58000000000001</v>
      </c>
      <c r="H1085" t="s">
        <v>98</v>
      </c>
      <c r="I1085" t="s">
        <v>47</v>
      </c>
      <c r="J1085" t="s">
        <v>37</v>
      </c>
    </row>
    <row r="1086" spans="1:10" x14ac:dyDescent="0.35">
      <c r="A1086" t="s">
        <v>1261</v>
      </c>
      <c r="B1086" s="1">
        <v>45854</v>
      </c>
      <c r="C1086" t="s">
        <v>411</v>
      </c>
      <c r="D1086" t="s">
        <v>29</v>
      </c>
      <c r="E1086" t="s">
        <v>151</v>
      </c>
      <c r="F1086" t="s">
        <v>14</v>
      </c>
      <c r="G1086">
        <v>42.83</v>
      </c>
      <c r="H1086" t="s">
        <v>21</v>
      </c>
      <c r="I1086" t="s">
        <v>47</v>
      </c>
      <c r="J1086" t="s">
        <v>151</v>
      </c>
    </row>
    <row r="1087" spans="1:10" x14ac:dyDescent="0.35">
      <c r="A1087" t="s">
        <v>1262</v>
      </c>
      <c r="B1087" s="1">
        <v>45854</v>
      </c>
      <c r="C1087" t="s">
        <v>210</v>
      </c>
      <c r="D1087" t="s">
        <v>59</v>
      </c>
      <c r="E1087" t="s">
        <v>185</v>
      </c>
      <c r="F1087" t="s">
        <v>14</v>
      </c>
      <c r="G1087">
        <v>516.54999999999995</v>
      </c>
      <c r="H1087" t="s">
        <v>98</v>
      </c>
      <c r="I1087" t="s">
        <v>84</v>
      </c>
      <c r="J1087" t="s">
        <v>211</v>
      </c>
    </row>
    <row r="1088" spans="1:10" x14ac:dyDescent="0.35">
      <c r="A1088" t="s">
        <v>1263</v>
      </c>
      <c r="B1088" s="1">
        <v>45854</v>
      </c>
      <c r="C1088" t="s">
        <v>150</v>
      </c>
      <c r="D1088" t="s">
        <v>29</v>
      </c>
      <c r="E1088" t="s">
        <v>30</v>
      </c>
      <c r="F1088" t="s">
        <v>14</v>
      </c>
      <c r="G1088">
        <v>43.23</v>
      </c>
      <c r="H1088" t="s">
        <v>21</v>
      </c>
      <c r="I1088" t="s">
        <v>22</v>
      </c>
      <c r="J1088" t="s">
        <v>151</v>
      </c>
    </row>
    <row r="1089" spans="1:10" x14ac:dyDescent="0.35">
      <c r="A1089" t="s">
        <v>1264</v>
      </c>
      <c r="B1089" s="1">
        <v>45854</v>
      </c>
      <c r="C1089" t="s">
        <v>298</v>
      </c>
      <c r="D1089" t="s">
        <v>59</v>
      </c>
      <c r="E1089" t="s">
        <v>185</v>
      </c>
      <c r="F1089" t="s">
        <v>14</v>
      </c>
      <c r="G1089">
        <v>486.32</v>
      </c>
      <c r="H1089" t="s">
        <v>15</v>
      </c>
      <c r="I1089" t="s">
        <v>84</v>
      </c>
      <c r="J1089" t="s">
        <v>170</v>
      </c>
    </row>
    <row r="1090" spans="1:10" x14ac:dyDescent="0.35">
      <c r="A1090" t="s">
        <v>1265</v>
      </c>
      <c r="B1090" s="1">
        <v>45854</v>
      </c>
      <c r="C1090" t="s">
        <v>298</v>
      </c>
      <c r="D1090" t="s">
        <v>59</v>
      </c>
      <c r="E1090" t="s">
        <v>185</v>
      </c>
      <c r="F1090" t="s">
        <v>14</v>
      </c>
      <c r="G1090">
        <v>142.74</v>
      </c>
      <c r="H1090" t="s">
        <v>15</v>
      </c>
      <c r="I1090" t="s">
        <v>36</v>
      </c>
      <c r="J1090" t="s">
        <v>170</v>
      </c>
    </row>
    <row r="1091" spans="1:10" x14ac:dyDescent="0.35">
      <c r="A1091" t="s">
        <v>1266</v>
      </c>
      <c r="B1091" s="1">
        <v>45855</v>
      </c>
      <c r="C1091" t="s">
        <v>53</v>
      </c>
      <c r="D1091" t="s">
        <v>54</v>
      </c>
      <c r="E1091" t="s">
        <v>55</v>
      </c>
      <c r="F1091" t="s">
        <v>54</v>
      </c>
      <c r="G1091">
        <v>769.58</v>
      </c>
      <c r="H1091" t="s">
        <v>15</v>
      </c>
      <c r="I1091" t="s">
        <v>22</v>
      </c>
      <c r="J1091" t="s">
        <v>56</v>
      </c>
    </row>
    <row r="1092" spans="1:10" x14ac:dyDescent="0.35">
      <c r="A1092" t="s">
        <v>1267</v>
      </c>
      <c r="B1092" s="1">
        <v>45855</v>
      </c>
      <c r="C1092" t="s">
        <v>168</v>
      </c>
      <c r="D1092" t="s">
        <v>59</v>
      </c>
      <c r="E1092" t="s">
        <v>60</v>
      </c>
      <c r="F1092" t="s">
        <v>14</v>
      </c>
      <c r="G1092">
        <v>395.31</v>
      </c>
      <c r="H1092" t="s">
        <v>21</v>
      </c>
      <c r="I1092" t="s">
        <v>22</v>
      </c>
      <c r="J1092" t="s">
        <v>170</v>
      </c>
    </row>
    <row r="1093" spans="1:10" x14ac:dyDescent="0.35">
      <c r="A1093" t="s">
        <v>1268</v>
      </c>
      <c r="B1093" s="1">
        <v>45855</v>
      </c>
      <c r="C1093" t="s">
        <v>415</v>
      </c>
      <c r="D1093" t="s">
        <v>12</v>
      </c>
      <c r="E1093" t="s">
        <v>51</v>
      </c>
      <c r="F1093" t="s">
        <v>14</v>
      </c>
      <c r="G1093">
        <v>91.35</v>
      </c>
      <c r="H1093" t="s">
        <v>15</v>
      </c>
      <c r="I1093" t="s">
        <v>36</v>
      </c>
      <c r="J1093" t="s">
        <v>77</v>
      </c>
    </row>
    <row r="1094" spans="1:10" x14ac:dyDescent="0.35">
      <c r="A1094" t="s">
        <v>1269</v>
      </c>
      <c r="B1094" s="1">
        <v>45856</v>
      </c>
      <c r="C1094" t="s">
        <v>100</v>
      </c>
      <c r="D1094" t="s">
        <v>101</v>
      </c>
      <c r="E1094" t="s">
        <v>102</v>
      </c>
      <c r="F1094" t="s">
        <v>14</v>
      </c>
      <c r="G1094">
        <v>90.23</v>
      </c>
      <c r="H1094" t="s">
        <v>98</v>
      </c>
      <c r="I1094" t="s">
        <v>22</v>
      </c>
      <c r="J1094" t="s">
        <v>103</v>
      </c>
    </row>
    <row r="1095" spans="1:10" x14ac:dyDescent="0.35">
      <c r="A1095" t="s">
        <v>1270</v>
      </c>
      <c r="B1095" s="1">
        <v>45856</v>
      </c>
      <c r="C1095" t="s">
        <v>259</v>
      </c>
      <c r="D1095" t="s">
        <v>59</v>
      </c>
      <c r="E1095" t="s">
        <v>199</v>
      </c>
      <c r="F1095" t="s">
        <v>14</v>
      </c>
      <c r="G1095">
        <v>950</v>
      </c>
      <c r="H1095" t="s">
        <v>15</v>
      </c>
      <c r="I1095" t="s">
        <v>22</v>
      </c>
      <c r="J1095" t="s">
        <v>170</v>
      </c>
    </row>
    <row r="1096" spans="1:10" x14ac:dyDescent="0.35">
      <c r="A1096" t="s">
        <v>1271</v>
      </c>
      <c r="B1096" s="1">
        <v>45856</v>
      </c>
      <c r="C1096" t="s">
        <v>125</v>
      </c>
      <c r="D1096" t="s">
        <v>12</v>
      </c>
      <c r="E1096" t="s">
        <v>13</v>
      </c>
      <c r="F1096" t="s">
        <v>14</v>
      </c>
      <c r="G1096">
        <v>29.01</v>
      </c>
      <c r="H1096" t="s">
        <v>15</v>
      </c>
      <c r="I1096" t="s">
        <v>84</v>
      </c>
      <c r="J1096" t="s">
        <v>44</v>
      </c>
    </row>
    <row r="1097" spans="1:10" x14ac:dyDescent="0.35">
      <c r="A1097" t="s">
        <v>1272</v>
      </c>
      <c r="B1097" s="1">
        <v>45856</v>
      </c>
      <c r="C1097" t="s">
        <v>229</v>
      </c>
      <c r="D1097" t="s">
        <v>54</v>
      </c>
      <c r="E1097" t="s">
        <v>64</v>
      </c>
      <c r="F1097" t="s">
        <v>54</v>
      </c>
      <c r="G1097">
        <v>327.29000000000002</v>
      </c>
      <c r="H1097" t="s">
        <v>15</v>
      </c>
      <c r="I1097" t="s">
        <v>36</v>
      </c>
      <c r="J1097" t="s">
        <v>56</v>
      </c>
    </row>
    <row r="1098" spans="1:10" x14ac:dyDescent="0.35">
      <c r="A1098" t="s">
        <v>1273</v>
      </c>
      <c r="B1098" s="1">
        <v>45856</v>
      </c>
      <c r="C1098" t="s">
        <v>63</v>
      </c>
      <c r="D1098" t="s">
        <v>54</v>
      </c>
      <c r="E1098" t="s">
        <v>64</v>
      </c>
      <c r="F1098" t="s">
        <v>54</v>
      </c>
      <c r="G1098">
        <v>408.28</v>
      </c>
      <c r="H1098" t="s">
        <v>21</v>
      </c>
      <c r="I1098" t="s">
        <v>47</v>
      </c>
      <c r="J1098" t="s">
        <v>65</v>
      </c>
    </row>
    <row r="1099" spans="1:10" x14ac:dyDescent="0.35">
      <c r="A1099" t="s">
        <v>1274</v>
      </c>
      <c r="B1099" s="1">
        <v>45856</v>
      </c>
      <c r="C1099" t="s">
        <v>229</v>
      </c>
      <c r="D1099" t="s">
        <v>54</v>
      </c>
      <c r="E1099" t="s">
        <v>64</v>
      </c>
      <c r="F1099" t="s">
        <v>54</v>
      </c>
      <c r="G1099">
        <v>322.06</v>
      </c>
      <c r="H1099" t="s">
        <v>15</v>
      </c>
      <c r="I1099" t="s">
        <v>22</v>
      </c>
      <c r="J1099" t="s">
        <v>56</v>
      </c>
    </row>
    <row r="1100" spans="1:10" x14ac:dyDescent="0.35">
      <c r="A1100" t="s">
        <v>1275</v>
      </c>
      <c r="B1100" s="1">
        <v>45856</v>
      </c>
      <c r="C1100" t="s">
        <v>150</v>
      </c>
      <c r="D1100" t="s">
        <v>29</v>
      </c>
      <c r="E1100" t="s">
        <v>30</v>
      </c>
      <c r="F1100" t="s">
        <v>14</v>
      </c>
      <c r="G1100">
        <v>53.55</v>
      </c>
      <c r="H1100" t="s">
        <v>15</v>
      </c>
      <c r="I1100" t="s">
        <v>47</v>
      </c>
      <c r="J1100" t="s">
        <v>151</v>
      </c>
    </row>
    <row r="1101" spans="1:10" x14ac:dyDescent="0.35">
      <c r="A1101" t="s">
        <v>1276</v>
      </c>
      <c r="B1101" s="1">
        <v>45856</v>
      </c>
      <c r="C1101" t="s">
        <v>43</v>
      </c>
      <c r="D1101" t="s">
        <v>12</v>
      </c>
      <c r="E1101" t="s">
        <v>26</v>
      </c>
      <c r="F1101" t="s">
        <v>14</v>
      </c>
      <c r="G1101">
        <v>29.25</v>
      </c>
      <c r="H1101" t="s">
        <v>98</v>
      </c>
      <c r="I1101" t="s">
        <v>36</v>
      </c>
      <c r="J1101" t="s">
        <v>44</v>
      </c>
    </row>
    <row r="1102" spans="1:10" x14ac:dyDescent="0.35">
      <c r="A1102" t="s">
        <v>1277</v>
      </c>
      <c r="B1102" s="1">
        <v>45856</v>
      </c>
      <c r="C1102" t="s">
        <v>153</v>
      </c>
      <c r="D1102" t="s">
        <v>34</v>
      </c>
      <c r="E1102" t="s">
        <v>122</v>
      </c>
      <c r="F1102" t="s">
        <v>14</v>
      </c>
      <c r="G1102">
        <v>11.07</v>
      </c>
      <c r="H1102" t="s">
        <v>15</v>
      </c>
      <c r="I1102" t="s">
        <v>22</v>
      </c>
      <c r="J1102" t="s">
        <v>41</v>
      </c>
    </row>
    <row r="1103" spans="1:10" x14ac:dyDescent="0.35">
      <c r="A1103" t="s">
        <v>1278</v>
      </c>
      <c r="B1103" s="1">
        <v>45856</v>
      </c>
      <c r="C1103" t="s">
        <v>50</v>
      </c>
      <c r="D1103" t="s">
        <v>12</v>
      </c>
      <c r="E1103" t="s">
        <v>51</v>
      </c>
      <c r="F1103" t="s">
        <v>14</v>
      </c>
      <c r="G1103">
        <v>60.05</v>
      </c>
      <c r="H1103" t="s">
        <v>15</v>
      </c>
      <c r="I1103" t="s">
        <v>47</v>
      </c>
      <c r="J1103" t="s">
        <v>44</v>
      </c>
    </row>
    <row r="1104" spans="1:10" x14ac:dyDescent="0.35">
      <c r="A1104" t="s">
        <v>1279</v>
      </c>
      <c r="B1104" s="1">
        <v>45857</v>
      </c>
      <c r="C1104" t="s">
        <v>194</v>
      </c>
      <c r="D1104" t="s">
        <v>101</v>
      </c>
      <c r="E1104" t="s">
        <v>136</v>
      </c>
      <c r="F1104" t="s">
        <v>14</v>
      </c>
      <c r="G1104">
        <v>236.29</v>
      </c>
      <c r="H1104" t="s">
        <v>15</v>
      </c>
      <c r="I1104" t="s">
        <v>22</v>
      </c>
      <c r="J1104" t="s">
        <v>103</v>
      </c>
    </row>
    <row r="1105" spans="1:10" x14ac:dyDescent="0.35">
      <c r="A1105" t="s">
        <v>1280</v>
      </c>
      <c r="B1105" s="1">
        <v>45857</v>
      </c>
      <c r="C1105" t="s">
        <v>324</v>
      </c>
      <c r="D1105" t="s">
        <v>80</v>
      </c>
      <c r="E1105" t="s">
        <v>92</v>
      </c>
      <c r="F1105" t="s">
        <v>14</v>
      </c>
      <c r="G1105">
        <v>35.33</v>
      </c>
      <c r="H1105" t="s">
        <v>15</v>
      </c>
      <c r="I1105" t="s">
        <v>16</v>
      </c>
      <c r="J1105" t="s">
        <v>161</v>
      </c>
    </row>
    <row r="1106" spans="1:10" x14ac:dyDescent="0.35">
      <c r="A1106" t="s">
        <v>1281</v>
      </c>
      <c r="B1106" s="1">
        <v>45857</v>
      </c>
      <c r="C1106" t="s">
        <v>155</v>
      </c>
      <c r="D1106" t="s">
        <v>12</v>
      </c>
      <c r="E1106" t="s">
        <v>51</v>
      </c>
      <c r="F1106" t="s">
        <v>14</v>
      </c>
      <c r="G1106">
        <v>30.58</v>
      </c>
      <c r="H1106" t="s">
        <v>21</v>
      </c>
      <c r="I1106" t="s">
        <v>36</v>
      </c>
      <c r="J1106" t="s">
        <v>48</v>
      </c>
    </row>
    <row r="1107" spans="1:10" x14ac:dyDescent="0.35">
      <c r="A1107" t="s">
        <v>1282</v>
      </c>
      <c r="B1107" s="1">
        <v>45857</v>
      </c>
      <c r="C1107" t="s">
        <v>11</v>
      </c>
      <c r="D1107" t="s">
        <v>12</v>
      </c>
      <c r="E1107" t="s">
        <v>13</v>
      </c>
      <c r="F1107" t="s">
        <v>14</v>
      </c>
      <c r="G1107">
        <v>34.15</v>
      </c>
      <c r="H1107" t="s">
        <v>21</v>
      </c>
      <c r="I1107" t="s">
        <v>16</v>
      </c>
      <c r="J1107" t="s">
        <v>17</v>
      </c>
    </row>
    <row r="1108" spans="1:10" x14ac:dyDescent="0.35">
      <c r="A1108" t="s">
        <v>1283</v>
      </c>
      <c r="B1108" s="1">
        <v>45857</v>
      </c>
      <c r="C1108" t="s">
        <v>238</v>
      </c>
      <c r="D1108" t="s">
        <v>34</v>
      </c>
      <c r="E1108" t="s">
        <v>35</v>
      </c>
      <c r="F1108" t="s">
        <v>14</v>
      </c>
      <c r="G1108">
        <v>275.58999999999997</v>
      </c>
      <c r="H1108" t="s">
        <v>15</v>
      </c>
      <c r="I1108" t="s">
        <v>22</v>
      </c>
      <c r="J1108" t="s">
        <v>239</v>
      </c>
    </row>
    <row r="1109" spans="1:10" x14ac:dyDescent="0.35">
      <c r="A1109" t="s">
        <v>1284</v>
      </c>
      <c r="B1109" s="1">
        <v>45857</v>
      </c>
      <c r="C1109" t="s">
        <v>272</v>
      </c>
      <c r="D1109" t="s">
        <v>54</v>
      </c>
      <c r="E1109" t="s">
        <v>55</v>
      </c>
      <c r="F1109" t="s">
        <v>54</v>
      </c>
      <c r="G1109">
        <v>774.1</v>
      </c>
      <c r="H1109" t="s">
        <v>15</v>
      </c>
      <c r="I1109" t="s">
        <v>84</v>
      </c>
      <c r="J1109" t="s">
        <v>65</v>
      </c>
    </row>
    <row r="1110" spans="1:10" x14ac:dyDescent="0.35">
      <c r="A1110" t="s">
        <v>1285</v>
      </c>
      <c r="B1110" s="1">
        <v>45858</v>
      </c>
      <c r="C1110" t="s">
        <v>175</v>
      </c>
      <c r="D1110" t="s">
        <v>80</v>
      </c>
      <c r="E1110" t="s">
        <v>92</v>
      </c>
      <c r="F1110" t="s">
        <v>14</v>
      </c>
      <c r="G1110">
        <v>126.74</v>
      </c>
      <c r="H1110" t="s">
        <v>21</v>
      </c>
      <c r="I1110" t="s">
        <v>47</v>
      </c>
      <c r="J1110" t="s">
        <v>141</v>
      </c>
    </row>
    <row r="1111" spans="1:10" x14ac:dyDescent="0.35">
      <c r="A1111" t="s">
        <v>1286</v>
      </c>
      <c r="B1111" s="1">
        <v>45858</v>
      </c>
      <c r="C1111" t="s">
        <v>308</v>
      </c>
      <c r="D1111" t="s">
        <v>54</v>
      </c>
      <c r="E1111" t="s">
        <v>64</v>
      </c>
      <c r="F1111" t="s">
        <v>54</v>
      </c>
      <c r="G1111">
        <v>314.82</v>
      </c>
      <c r="H1111" t="s">
        <v>21</v>
      </c>
      <c r="I1111" t="s">
        <v>47</v>
      </c>
      <c r="J1111" t="s">
        <v>89</v>
      </c>
    </row>
    <row r="1112" spans="1:10" x14ac:dyDescent="0.35">
      <c r="A1112" t="s">
        <v>1287</v>
      </c>
      <c r="B1112" s="1">
        <v>45858</v>
      </c>
      <c r="C1112" t="s">
        <v>262</v>
      </c>
      <c r="D1112" t="s">
        <v>101</v>
      </c>
      <c r="E1112" t="s">
        <v>244</v>
      </c>
      <c r="F1112" t="s">
        <v>14</v>
      </c>
      <c r="G1112">
        <v>161.19999999999999</v>
      </c>
      <c r="H1112" t="s">
        <v>21</v>
      </c>
      <c r="I1112" t="s">
        <v>16</v>
      </c>
      <c r="J1112" t="s">
        <v>136</v>
      </c>
    </row>
    <row r="1113" spans="1:10" x14ac:dyDescent="0.35">
      <c r="A1113" t="s">
        <v>1288</v>
      </c>
      <c r="B1113" s="1">
        <v>45858</v>
      </c>
      <c r="C1113" t="s">
        <v>63</v>
      </c>
      <c r="D1113" t="s">
        <v>54</v>
      </c>
      <c r="E1113" t="s">
        <v>64</v>
      </c>
      <c r="F1113" t="s">
        <v>54</v>
      </c>
      <c r="G1113">
        <v>282.52999999999997</v>
      </c>
      <c r="H1113" t="s">
        <v>15</v>
      </c>
      <c r="I1113" t="s">
        <v>47</v>
      </c>
      <c r="J1113" t="s">
        <v>65</v>
      </c>
    </row>
    <row r="1114" spans="1:10" x14ac:dyDescent="0.35">
      <c r="A1114" t="s">
        <v>1289</v>
      </c>
      <c r="B1114" s="1">
        <v>45858</v>
      </c>
      <c r="C1114" t="s">
        <v>259</v>
      </c>
      <c r="D1114" t="s">
        <v>59</v>
      </c>
      <c r="E1114" t="s">
        <v>199</v>
      </c>
      <c r="F1114" t="s">
        <v>14</v>
      </c>
      <c r="G1114">
        <v>741.33</v>
      </c>
      <c r="H1114" t="s">
        <v>15</v>
      </c>
      <c r="I1114" t="s">
        <v>47</v>
      </c>
      <c r="J1114" t="s">
        <v>170</v>
      </c>
    </row>
    <row r="1115" spans="1:10" x14ac:dyDescent="0.35">
      <c r="A1115" t="s">
        <v>1290</v>
      </c>
      <c r="B1115" s="1">
        <v>45858</v>
      </c>
      <c r="C1115" t="s">
        <v>194</v>
      </c>
      <c r="D1115" t="s">
        <v>101</v>
      </c>
      <c r="E1115" t="s">
        <v>136</v>
      </c>
      <c r="F1115" t="s">
        <v>14</v>
      </c>
      <c r="G1115">
        <v>71.680000000000007</v>
      </c>
      <c r="H1115" t="s">
        <v>15</v>
      </c>
      <c r="I1115" t="s">
        <v>36</v>
      </c>
      <c r="J1115" t="s">
        <v>103</v>
      </c>
    </row>
    <row r="1116" spans="1:10" x14ac:dyDescent="0.35">
      <c r="A1116" t="s">
        <v>1291</v>
      </c>
      <c r="B1116" s="1">
        <v>45858</v>
      </c>
      <c r="C1116" t="s">
        <v>308</v>
      </c>
      <c r="D1116" t="s">
        <v>54</v>
      </c>
      <c r="E1116" t="s">
        <v>64</v>
      </c>
      <c r="F1116" t="s">
        <v>54</v>
      </c>
      <c r="G1116">
        <v>336.65</v>
      </c>
      <c r="H1116" t="s">
        <v>15</v>
      </c>
      <c r="I1116" t="s">
        <v>22</v>
      </c>
      <c r="J1116" t="s">
        <v>89</v>
      </c>
    </row>
    <row r="1117" spans="1:10" x14ac:dyDescent="0.35">
      <c r="A1117" t="s">
        <v>1292</v>
      </c>
      <c r="B1117" s="1">
        <v>45859</v>
      </c>
      <c r="C1117" t="s">
        <v>298</v>
      </c>
      <c r="D1117" t="s">
        <v>59</v>
      </c>
      <c r="E1117" t="s">
        <v>185</v>
      </c>
      <c r="F1117" t="s">
        <v>14</v>
      </c>
      <c r="G1117">
        <v>278.25</v>
      </c>
      <c r="H1117" t="s">
        <v>15</v>
      </c>
      <c r="I1117" t="s">
        <v>36</v>
      </c>
      <c r="J1117" t="s">
        <v>170</v>
      </c>
    </row>
    <row r="1118" spans="1:10" x14ac:dyDescent="0.35">
      <c r="A1118" t="s">
        <v>1293</v>
      </c>
      <c r="B1118" s="1">
        <v>45859</v>
      </c>
      <c r="C1118" t="s">
        <v>267</v>
      </c>
      <c r="D1118" t="s">
        <v>29</v>
      </c>
      <c r="E1118" t="s">
        <v>30</v>
      </c>
      <c r="F1118" t="s">
        <v>14</v>
      </c>
      <c r="G1118">
        <v>14.54</v>
      </c>
      <c r="H1118" t="s">
        <v>15</v>
      </c>
      <c r="I1118" t="s">
        <v>47</v>
      </c>
      <c r="J1118" t="s">
        <v>96</v>
      </c>
    </row>
    <row r="1119" spans="1:10" x14ac:dyDescent="0.35">
      <c r="A1119" t="s">
        <v>1294</v>
      </c>
      <c r="B1119" s="1">
        <v>45859</v>
      </c>
      <c r="C1119" t="s">
        <v>172</v>
      </c>
      <c r="D1119" t="s">
        <v>101</v>
      </c>
      <c r="E1119" t="s">
        <v>102</v>
      </c>
      <c r="F1119" t="s">
        <v>14</v>
      </c>
      <c r="G1119">
        <v>174.16</v>
      </c>
      <c r="H1119" t="s">
        <v>15</v>
      </c>
      <c r="I1119" t="s">
        <v>22</v>
      </c>
      <c r="J1119" t="s">
        <v>102</v>
      </c>
    </row>
    <row r="1120" spans="1:10" x14ac:dyDescent="0.35">
      <c r="A1120" t="s">
        <v>1295</v>
      </c>
      <c r="B1120" s="1">
        <v>45859</v>
      </c>
      <c r="C1120" t="s">
        <v>198</v>
      </c>
      <c r="D1120" t="s">
        <v>59</v>
      </c>
      <c r="E1120" t="s">
        <v>199</v>
      </c>
      <c r="F1120" t="s">
        <v>14</v>
      </c>
      <c r="G1120">
        <v>355.85</v>
      </c>
      <c r="H1120" t="s">
        <v>15</v>
      </c>
      <c r="I1120" t="s">
        <v>22</v>
      </c>
      <c r="J1120" t="s">
        <v>61</v>
      </c>
    </row>
    <row r="1121" spans="1:10" x14ac:dyDescent="0.35">
      <c r="A1121" t="s">
        <v>1296</v>
      </c>
      <c r="B1121" s="1">
        <v>45859</v>
      </c>
      <c r="C1121" t="s">
        <v>150</v>
      </c>
      <c r="D1121" t="s">
        <v>29</v>
      </c>
      <c r="E1121" t="s">
        <v>30</v>
      </c>
      <c r="F1121" t="s">
        <v>14</v>
      </c>
      <c r="G1121">
        <v>80.61</v>
      </c>
      <c r="H1121" t="s">
        <v>21</v>
      </c>
      <c r="I1121" t="s">
        <v>36</v>
      </c>
      <c r="J1121" t="s">
        <v>151</v>
      </c>
    </row>
    <row r="1122" spans="1:10" x14ac:dyDescent="0.35">
      <c r="A1122" t="s">
        <v>1297</v>
      </c>
      <c r="B1122" s="1">
        <v>45859</v>
      </c>
      <c r="C1122" t="s">
        <v>121</v>
      </c>
      <c r="D1122" t="s">
        <v>34</v>
      </c>
      <c r="E1122" t="s">
        <v>122</v>
      </c>
      <c r="F1122" t="s">
        <v>14</v>
      </c>
      <c r="G1122">
        <v>103.74</v>
      </c>
      <c r="H1122" t="s">
        <v>15</v>
      </c>
      <c r="I1122" t="s">
        <v>47</v>
      </c>
      <c r="J1122" t="s">
        <v>123</v>
      </c>
    </row>
    <row r="1123" spans="1:10" x14ac:dyDescent="0.35">
      <c r="A1123" t="s">
        <v>1298</v>
      </c>
      <c r="B1123" s="1">
        <v>45859</v>
      </c>
      <c r="C1123" t="s">
        <v>111</v>
      </c>
      <c r="D1123" t="s">
        <v>12</v>
      </c>
      <c r="E1123" t="s">
        <v>26</v>
      </c>
      <c r="F1123" t="s">
        <v>14</v>
      </c>
      <c r="G1123">
        <v>32.659999999999997</v>
      </c>
      <c r="H1123" t="s">
        <v>15</v>
      </c>
      <c r="I1123" t="s">
        <v>22</v>
      </c>
      <c r="J1123" t="s">
        <v>23</v>
      </c>
    </row>
    <row r="1124" spans="1:10" x14ac:dyDescent="0.35">
      <c r="A1124" t="s">
        <v>1299</v>
      </c>
      <c r="B1124" s="1">
        <v>45859</v>
      </c>
      <c r="C1124" t="s">
        <v>100</v>
      </c>
      <c r="D1124" t="s">
        <v>101</v>
      </c>
      <c r="E1124" t="s">
        <v>102</v>
      </c>
      <c r="F1124" t="s">
        <v>14</v>
      </c>
      <c r="G1124">
        <v>240.01</v>
      </c>
      <c r="H1124" t="s">
        <v>21</v>
      </c>
      <c r="I1124" t="s">
        <v>22</v>
      </c>
      <c r="J1124" t="s">
        <v>103</v>
      </c>
    </row>
    <row r="1125" spans="1:10" x14ac:dyDescent="0.35">
      <c r="A1125" t="s">
        <v>1300</v>
      </c>
      <c r="B1125" s="1">
        <v>45859</v>
      </c>
      <c r="C1125" t="s">
        <v>135</v>
      </c>
      <c r="D1125" t="s">
        <v>101</v>
      </c>
      <c r="E1125" t="s">
        <v>102</v>
      </c>
      <c r="F1125" t="s">
        <v>14</v>
      </c>
      <c r="G1125">
        <v>53.06</v>
      </c>
      <c r="H1125" t="s">
        <v>15</v>
      </c>
      <c r="I1125" t="s">
        <v>22</v>
      </c>
      <c r="J1125" t="s">
        <v>136</v>
      </c>
    </row>
    <row r="1126" spans="1:10" x14ac:dyDescent="0.35">
      <c r="A1126" t="s">
        <v>1301</v>
      </c>
      <c r="B1126" s="1">
        <v>45859</v>
      </c>
      <c r="C1126" t="s">
        <v>121</v>
      </c>
      <c r="D1126" t="s">
        <v>34</v>
      </c>
      <c r="E1126" t="s">
        <v>122</v>
      </c>
      <c r="F1126" t="s">
        <v>14</v>
      </c>
      <c r="G1126">
        <v>263.06</v>
      </c>
      <c r="H1126" t="s">
        <v>98</v>
      </c>
      <c r="I1126" t="s">
        <v>36</v>
      </c>
      <c r="J1126" t="s">
        <v>123</v>
      </c>
    </row>
    <row r="1127" spans="1:10" x14ac:dyDescent="0.35">
      <c r="A1127" t="s">
        <v>1302</v>
      </c>
      <c r="B1127" s="1">
        <v>45859</v>
      </c>
      <c r="C1127" t="s">
        <v>227</v>
      </c>
      <c r="D1127" t="s">
        <v>12</v>
      </c>
      <c r="E1127" t="s">
        <v>51</v>
      </c>
      <c r="F1127" t="s">
        <v>14</v>
      </c>
      <c r="G1127">
        <v>21.28</v>
      </c>
      <c r="H1127" t="s">
        <v>21</v>
      </c>
      <c r="I1127" t="s">
        <v>22</v>
      </c>
      <c r="J1127" t="s">
        <v>17</v>
      </c>
    </row>
    <row r="1128" spans="1:10" x14ac:dyDescent="0.35">
      <c r="A1128" t="s">
        <v>1303</v>
      </c>
      <c r="B1128" s="1">
        <v>45859</v>
      </c>
      <c r="C1128" t="s">
        <v>109</v>
      </c>
      <c r="D1128" t="s">
        <v>34</v>
      </c>
      <c r="E1128" t="s">
        <v>35</v>
      </c>
      <c r="F1128" t="s">
        <v>14</v>
      </c>
      <c r="G1128">
        <v>277.73</v>
      </c>
      <c r="H1128" t="s">
        <v>15</v>
      </c>
      <c r="I1128" t="s">
        <v>36</v>
      </c>
      <c r="J1128" t="s">
        <v>41</v>
      </c>
    </row>
    <row r="1129" spans="1:10" x14ac:dyDescent="0.35">
      <c r="A1129" t="s">
        <v>1304</v>
      </c>
      <c r="B1129" s="1">
        <v>45859</v>
      </c>
      <c r="C1129" t="s">
        <v>177</v>
      </c>
      <c r="D1129" t="s">
        <v>54</v>
      </c>
      <c r="E1129" t="s">
        <v>74</v>
      </c>
      <c r="F1129" t="s">
        <v>54</v>
      </c>
      <c r="G1129">
        <v>2333.92</v>
      </c>
      <c r="H1129" t="s">
        <v>15</v>
      </c>
      <c r="I1129" t="s">
        <v>36</v>
      </c>
      <c r="J1129" t="s">
        <v>56</v>
      </c>
    </row>
    <row r="1130" spans="1:10" x14ac:dyDescent="0.35">
      <c r="A1130" t="s">
        <v>1305</v>
      </c>
      <c r="B1130" s="1">
        <v>45860</v>
      </c>
      <c r="C1130" t="s">
        <v>168</v>
      </c>
      <c r="D1130" t="s">
        <v>59</v>
      </c>
      <c r="E1130" t="s">
        <v>60</v>
      </c>
      <c r="F1130" t="s">
        <v>14</v>
      </c>
      <c r="G1130">
        <v>400.34</v>
      </c>
      <c r="H1130" t="s">
        <v>15</v>
      </c>
      <c r="I1130" t="s">
        <v>22</v>
      </c>
      <c r="J1130" t="s">
        <v>170</v>
      </c>
    </row>
    <row r="1131" spans="1:10" x14ac:dyDescent="0.35">
      <c r="A1131" t="s">
        <v>1306</v>
      </c>
      <c r="B1131" s="1">
        <v>45860</v>
      </c>
      <c r="C1131" t="s">
        <v>46</v>
      </c>
      <c r="D1131" t="s">
        <v>12</v>
      </c>
      <c r="E1131" t="s">
        <v>13</v>
      </c>
      <c r="F1131" t="s">
        <v>14</v>
      </c>
      <c r="G1131">
        <v>58.54</v>
      </c>
      <c r="H1131" t="s">
        <v>15</v>
      </c>
      <c r="I1131" t="s">
        <v>84</v>
      </c>
      <c r="J1131" t="s">
        <v>48</v>
      </c>
    </row>
    <row r="1132" spans="1:10" x14ac:dyDescent="0.35">
      <c r="A1132" t="s">
        <v>1307</v>
      </c>
      <c r="B1132" s="1">
        <v>45860</v>
      </c>
      <c r="C1132" t="s">
        <v>143</v>
      </c>
      <c r="D1132" t="s">
        <v>54</v>
      </c>
      <c r="E1132" t="s">
        <v>55</v>
      </c>
      <c r="F1132" t="s">
        <v>54</v>
      </c>
      <c r="G1132">
        <v>643.65</v>
      </c>
      <c r="H1132" t="s">
        <v>15</v>
      </c>
      <c r="I1132" t="s">
        <v>47</v>
      </c>
      <c r="J1132" t="s">
        <v>89</v>
      </c>
    </row>
    <row r="1133" spans="1:10" x14ac:dyDescent="0.35">
      <c r="A1133" t="s">
        <v>1308</v>
      </c>
      <c r="B1133" s="1">
        <v>45860</v>
      </c>
      <c r="C1133" t="s">
        <v>296</v>
      </c>
      <c r="D1133" t="s">
        <v>101</v>
      </c>
      <c r="E1133" t="s">
        <v>136</v>
      </c>
      <c r="F1133" t="s">
        <v>14</v>
      </c>
      <c r="G1133">
        <v>113.35</v>
      </c>
      <c r="H1133" t="s">
        <v>21</v>
      </c>
      <c r="I1133" t="s">
        <v>22</v>
      </c>
      <c r="J1133" t="s">
        <v>136</v>
      </c>
    </row>
    <row r="1134" spans="1:10" x14ac:dyDescent="0.35">
      <c r="A1134" t="s">
        <v>1309</v>
      </c>
      <c r="B1134" s="1">
        <v>45861</v>
      </c>
      <c r="C1134" t="s">
        <v>204</v>
      </c>
      <c r="D1134" t="s">
        <v>12</v>
      </c>
      <c r="E1134" t="s">
        <v>51</v>
      </c>
      <c r="F1134" t="s">
        <v>14</v>
      </c>
      <c r="G1134">
        <v>87.82</v>
      </c>
      <c r="H1134" t="s">
        <v>15</v>
      </c>
      <c r="I1134" t="s">
        <v>36</v>
      </c>
      <c r="J1134" t="s">
        <v>23</v>
      </c>
    </row>
    <row r="1135" spans="1:10" x14ac:dyDescent="0.35">
      <c r="A1135" t="s">
        <v>1310</v>
      </c>
      <c r="B1135" s="1">
        <v>45861</v>
      </c>
      <c r="C1135" t="s">
        <v>113</v>
      </c>
      <c r="D1135" t="s">
        <v>34</v>
      </c>
      <c r="E1135" t="s">
        <v>40</v>
      </c>
      <c r="F1135" t="s">
        <v>14</v>
      </c>
      <c r="G1135">
        <v>134.11000000000001</v>
      </c>
      <c r="H1135" t="s">
        <v>15</v>
      </c>
      <c r="I1135" t="s">
        <v>22</v>
      </c>
      <c r="J1135" t="s">
        <v>37</v>
      </c>
    </row>
    <row r="1136" spans="1:10" x14ac:dyDescent="0.35">
      <c r="A1136" t="s">
        <v>1311</v>
      </c>
      <c r="B1136" s="1">
        <v>45861</v>
      </c>
      <c r="C1136" t="s">
        <v>238</v>
      </c>
      <c r="D1136" t="s">
        <v>34</v>
      </c>
      <c r="E1136" t="s">
        <v>35</v>
      </c>
      <c r="F1136" t="s">
        <v>14</v>
      </c>
      <c r="G1136">
        <v>288.56</v>
      </c>
      <c r="H1136" t="s">
        <v>21</v>
      </c>
      <c r="I1136" t="s">
        <v>22</v>
      </c>
      <c r="J1136" t="s">
        <v>239</v>
      </c>
    </row>
    <row r="1137" spans="1:10" x14ac:dyDescent="0.35">
      <c r="A1137" t="s">
        <v>1312</v>
      </c>
      <c r="B1137" s="1">
        <v>45861</v>
      </c>
      <c r="C1137" t="s">
        <v>248</v>
      </c>
      <c r="D1137" t="s">
        <v>80</v>
      </c>
      <c r="E1137" t="s">
        <v>81</v>
      </c>
      <c r="F1137" t="s">
        <v>14</v>
      </c>
      <c r="G1137">
        <v>52.25</v>
      </c>
      <c r="H1137" t="s">
        <v>15</v>
      </c>
      <c r="I1137" t="s">
        <v>36</v>
      </c>
      <c r="J1137" t="s">
        <v>161</v>
      </c>
    </row>
    <row r="1138" spans="1:10" x14ac:dyDescent="0.35">
      <c r="A1138" t="s">
        <v>1313</v>
      </c>
      <c r="B1138" s="1">
        <v>45861</v>
      </c>
      <c r="C1138" t="s">
        <v>272</v>
      </c>
      <c r="D1138" t="s">
        <v>54</v>
      </c>
      <c r="E1138" t="s">
        <v>55</v>
      </c>
      <c r="F1138" t="s">
        <v>54</v>
      </c>
      <c r="G1138">
        <v>720.39</v>
      </c>
      <c r="H1138" t="s">
        <v>21</v>
      </c>
      <c r="I1138" t="s">
        <v>36</v>
      </c>
      <c r="J1138" t="s">
        <v>65</v>
      </c>
    </row>
    <row r="1139" spans="1:10" x14ac:dyDescent="0.35">
      <c r="A1139" t="s">
        <v>1314</v>
      </c>
      <c r="B1139" s="1">
        <v>45861</v>
      </c>
      <c r="C1139" t="s">
        <v>296</v>
      </c>
      <c r="D1139" t="s">
        <v>101</v>
      </c>
      <c r="E1139" t="s">
        <v>136</v>
      </c>
      <c r="F1139" t="s">
        <v>14</v>
      </c>
      <c r="G1139">
        <v>60.58</v>
      </c>
      <c r="H1139" t="s">
        <v>15</v>
      </c>
      <c r="I1139" t="s">
        <v>22</v>
      </c>
      <c r="J1139" t="s">
        <v>136</v>
      </c>
    </row>
    <row r="1140" spans="1:10" x14ac:dyDescent="0.35">
      <c r="A1140" t="s">
        <v>1315</v>
      </c>
      <c r="B1140" s="1">
        <v>45862</v>
      </c>
      <c r="C1140" t="s">
        <v>140</v>
      </c>
      <c r="D1140" t="s">
        <v>80</v>
      </c>
      <c r="E1140" t="s">
        <v>81</v>
      </c>
      <c r="F1140" t="s">
        <v>14</v>
      </c>
      <c r="G1140">
        <v>32.979999999999997</v>
      </c>
      <c r="H1140" t="s">
        <v>15</v>
      </c>
      <c r="I1140" t="s">
        <v>47</v>
      </c>
      <c r="J1140" t="s">
        <v>141</v>
      </c>
    </row>
    <row r="1141" spans="1:10" x14ac:dyDescent="0.35">
      <c r="A1141" t="s">
        <v>1316</v>
      </c>
      <c r="B1141" s="1">
        <v>45862</v>
      </c>
      <c r="C1141" t="s">
        <v>73</v>
      </c>
      <c r="D1141" t="s">
        <v>54</v>
      </c>
      <c r="E1141" t="s">
        <v>74</v>
      </c>
      <c r="F1141" t="s">
        <v>54</v>
      </c>
      <c r="G1141">
        <v>2231.4499999999998</v>
      </c>
      <c r="H1141" t="s">
        <v>15</v>
      </c>
      <c r="I1141" t="s">
        <v>47</v>
      </c>
      <c r="J1141" t="s">
        <v>65</v>
      </c>
    </row>
    <row r="1142" spans="1:10" x14ac:dyDescent="0.35">
      <c r="A1142" t="s">
        <v>1317</v>
      </c>
      <c r="B1142" s="1">
        <v>45862</v>
      </c>
      <c r="C1142" t="s">
        <v>875</v>
      </c>
      <c r="D1142" t="s">
        <v>69</v>
      </c>
      <c r="E1142" t="s">
        <v>291</v>
      </c>
      <c r="F1142" t="s">
        <v>14</v>
      </c>
      <c r="G1142">
        <v>470.54</v>
      </c>
      <c r="H1142" t="s">
        <v>15</v>
      </c>
      <c r="I1142" t="s">
        <v>47</v>
      </c>
      <c r="J1142" t="s">
        <v>133</v>
      </c>
    </row>
    <row r="1143" spans="1:10" x14ac:dyDescent="0.35">
      <c r="A1143" t="s">
        <v>1318</v>
      </c>
      <c r="B1143" s="1">
        <v>45862</v>
      </c>
      <c r="C1143" t="s">
        <v>143</v>
      </c>
      <c r="D1143" t="s">
        <v>54</v>
      </c>
      <c r="E1143" t="s">
        <v>55</v>
      </c>
      <c r="F1143" t="s">
        <v>54</v>
      </c>
      <c r="G1143">
        <v>709.5</v>
      </c>
      <c r="H1143" t="s">
        <v>98</v>
      </c>
      <c r="I1143" t="s">
        <v>36</v>
      </c>
      <c r="J1143" t="s">
        <v>89</v>
      </c>
    </row>
    <row r="1144" spans="1:10" x14ac:dyDescent="0.35">
      <c r="A1144" t="s">
        <v>1319</v>
      </c>
      <c r="B1144" s="1">
        <v>45862</v>
      </c>
      <c r="C1144" t="s">
        <v>464</v>
      </c>
      <c r="D1144" t="s">
        <v>34</v>
      </c>
      <c r="E1144" t="s">
        <v>122</v>
      </c>
      <c r="F1144" t="s">
        <v>14</v>
      </c>
      <c r="G1144">
        <v>242.42</v>
      </c>
      <c r="H1144" t="s">
        <v>98</v>
      </c>
      <c r="I1144" t="s">
        <v>22</v>
      </c>
      <c r="J1144" t="s">
        <v>239</v>
      </c>
    </row>
    <row r="1145" spans="1:10" x14ac:dyDescent="0.35">
      <c r="A1145" t="s">
        <v>1320</v>
      </c>
      <c r="B1145" s="1">
        <v>45862</v>
      </c>
      <c r="C1145" t="s">
        <v>33</v>
      </c>
      <c r="D1145" t="s">
        <v>34</v>
      </c>
      <c r="E1145" t="s">
        <v>35</v>
      </c>
      <c r="F1145" t="s">
        <v>14</v>
      </c>
      <c r="G1145">
        <v>63.92</v>
      </c>
      <c r="H1145" t="s">
        <v>15</v>
      </c>
      <c r="I1145" t="s">
        <v>22</v>
      </c>
      <c r="J1145" t="s">
        <v>37</v>
      </c>
    </row>
    <row r="1146" spans="1:10" x14ac:dyDescent="0.35">
      <c r="A1146" t="s">
        <v>1321</v>
      </c>
      <c r="B1146" s="1">
        <v>45862</v>
      </c>
      <c r="C1146" t="s">
        <v>150</v>
      </c>
      <c r="D1146" t="s">
        <v>29</v>
      </c>
      <c r="E1146" t="s">
        <v>30</v>
      </c>
      <c r="F1146" t="s">
        <v>14</v>
      </c>
      <c r="G1146">
        <v>32.49</v>
      </c>
      <c r="H1146" t="s">
        <v>15</v>
      </c>
      <c r="I1146" t="s">
        <v>36</v>
      </c>
      <c r="J1146" t="s">
        <v>151</v>
      </c>
    </row>
    <row r="1147" spans="1:10" x14ac:dyDescent="0.35">
      <c r="A1147" t="s">
        <v>1322</v>
      </c>
      <c r="B1147" s="1">
        <v>45863</v>
      </c>
      <c r="C1147" t="s">
        <v>243</v>
      </c>
      <c r="D1147" t="s">
        <v>101</v>
      </c>
      <c r="E1147" t="s">
        <v>244</v>
      </c>
      <c r="F1147" t="s">
        <v>14</v>
      </c>
      <c r="G1147">
        <v>155.56</v>
      </c>
      <c r="H1147" t="s">
        <v>21</v>
      </c>
      <c r="I1147" t="s">
        <v>22</v>
      </c>
      <c r="J1147" t="s">
        <v>102</v>
      </c>
    </row>
    <row r="1148" spans="1:10" x14ac:dyDescent="0.35">
      <c r="A1148" t="s">
        <v>1323</v>
      </c>
      <c r="B1148" s="1">
        <v>45863</v>
      </c>
      <c r="C1148" t="s">
        <v>229</v>
      </c>
      <c r="D1148" t="s">
        <v>54</v>
      </c>
      <c r="E1148" t="s">
        <v>64</v>
      </c>
      <c r="F1148" t="s">
        <v>54</v>
      </c>
      <c r="G1148">
        <v>353.11</v>
      </c>
      <c r="H1148" t="s">
        <v>15</v>
      </c>
      <c r="I1148" t="s">
        <v>47</v>
      </c>
      <c r="J1148" t="s">
        <v>56</v>
      </c>
    </row>
    <row r="1149" spans="1:10" x14ac:dyDescent="0.35">
      <c r="A1149" t="s">
        <v>1324</v>
      </c>
      <c r="B1149" s="1">
        <v>45863</v>
      </c>
      <c r="C1149" t="s">
        <v>272</v>
      </c>
      <c r="D1149" t="s">
        <v>54</v>
      </c>
      <c r="E1149" t="s">
        <v>55</v>
      </c>
      <c r="F1149" t="s">
        <v>54</v>
      </c>
      <c r="G1149">
        <v>686.46</v>
      </c>
      <c r="H1149" t="s">
        <v>15</v>
      </c>
      <c r="I1149" t="s">
        <v>16</v>
      </c>
      <c r="J1149" t="s">
        <v>65</v>
      </c>
    </row>
    <row r="1150" spans="1:10" x14ac:dyDescent="0.35">
      <c r="A1150" t="s">
        <v>1325</v>
      </c>
      <c r="B1150" s="1">
        <v>45863</v>
      </c>
      <c r="C1150" t="s">
        <v>91</v>
      </c>
      <c r="D1150" t="s">
        <v>80</v>
      </c>
      <c r="E1150" t="s">
        <v>92</v>
      </c>
      <c r="F1150" t="s">
        <v>14</v>
      </c>
      <c r="G1150">
        <v>147.61000000000001</v>
      </c>
      <c r="H1150" t="s">
        <v>15</v>
      </c>
      <c r="I1150" t="s">
        <v>16</v>
      </c>
      <c r="J1150" t="s">
        <v>82</v>
      </c>
    </row>
    <row r="1151" spans="1:10" x14ac:dyDescent="0.35">
      <c r="A1151" t="s">
        <v>1326</v>
      </c>
      <c r="B1151" s="1">
        <v>45863</v>
      </c>
      <c r="C1151" t="s">
        <v>184</v>
      </c>
      <c r="D1151" t="s">
        <v>59</v>
      </c>
      <c r="E1151" t="s">
        <v>185</v>
      </c>
      <c r="F1151" t="s">
        <v>14</v>
      </c>
      <c r="G1151">
        <v>402.38</v>
      </c>
      <c r="H1151" t="s">
        <v>98</v>
      </c>
      <c r="I1151" t="s">
        <v>36</v>
      </c>
      <c r="J1151" t="s">
        <v>61</v>
      </c>
    </row>
    <row r="1152" spans="1:10" x14ac:dyDescent="0.35">
      <c r="A1152" t="s">
        <v>1327</v>
      </c>
      <c r="B1152" s="1">
        <v>45864</v>
      </c>
      <c r="C1152" t="s">
        <v>269</v>
      </c>
      <c r="D1152" t="s">
        <v>34</v>
      </c>
      <c r="E1152" t="s">
        <v>35</v>
      </c>
      <c r="F1152" t="s">
        <v>14</v>
      </c>
      <c r="G1152">
        <v>308.7</v>
      </c>
      <c r="H1152" t="s">
        <v>15</v>
      </c>
      <c r="I1152" t="s">
        <v>36</v>
      </c>
      <c r="J1152" t="s">
        <v>123</v>
      </c>
    </row>
    <row r="1153" spans="1:10" x14ac:dyDescent="0.35">
      <c r="A1153" t="s">
        <v>1328</v>
      </c>
      <c r="B1153" s="1">
        <v>45864</v>
      </c>
      <c r="C1153" t="s">
        <v>217</v>
      </c>
      <c r="D1153" t="s">
        <v>80</v>
      </c>
      <c r="E1153" t="s">
        <v>81</v>
      </c>
      <c r="F1153" t="s">
        <v>14</v>
      </c>
      <c r="G1153">
        <v>115.29</v>
      </c>
      <c r="H1153" t="s">
        <v>21</v>
      </c>
      <c r="I1153" t="s">
        <v>36</v>
      </c>
      <c r="J1153" t="s">
        <v>180</v>
      </c>
    </row>
    <row r="1154" spans="1:10" x14ac:dyDescent="0.35">
      <c r="A1154" t="s">
        <v>1329</v>
      </c>
      <c r="B1154" s="1">
        <v>45864</v>
      </c>
      <c r="C1154" t="s">
        <v>88</v>
      </c>
      <c r="D1154" t="s">
        <v>54</v>
      </c>
      <c r="E1154" t="s">
        <v>74</v>
      </c>
      <c r="F1154" t="s">
        <v>54</v>
      </c>
      <c r="G1154">
        <v>2177.7399999999998</v>
      </c>
      <c r="H1154" t="s">
        <v>15</v>
      </c>
      <c r="I1154" t="s">
        <v>84</v>
      </c>
      <c r="J1154" t="s">
        <v>89</v>
      </c>
    </row>
    <row r="1155" spans="1:10" x14ac:dyDescent="0.35">
      <c r="A1155" t="s">
        <v>1330</v>
      </c>
      <c r="B1155" s="1">
        <v>45864</v>
      </c>
      <c r="C1155" t="s">
        <v>345</v>
      </c>
      <c r="D1155" t="s">
        <v>59</v>
      </c>
      <c r="E1155" t="s">
        <v>60</v>
      </c>
      <c r="F1155" t="s">
        <v>14</v>
      </c>
      <c r="G1155">
        <v>496.6</v>
      </c>
      <c r="H1155" t="s">
        <v>98</v>
      </c>
      <c r="I1155" t="s">
        <v>22</v>
      </c>
      <c r="J1155" t="s">
        <v>211</v>
      </c>
    </row>
    <row r="1156" spans="1:10" x14ac:dyDescent="0.35">
      <c r="A1156" t="s">
        <v>1331</v>
      </c>
      <c r="B1156" s="1">
        <v>45864</v>
      </c>
      <c r="C1156" t="s">
        <v>204</v>
      </c>
      <c r="D1156" t="s">
        <v>12</v>
      </c>
      <c r="E1156" t="s">
        <v>51</v>
      </c>
      <c r="F1156" t="s">
        <v>14</v>
      </c>
      <c r="G1156">
        <v>72.91</v>
      </c>
      <c r="H1156" t="s">
        <v>15</v>
      </c>
      <c r="I1156" t="s">
        <v>47</v>
      </c>
      <c r="J1156" t="s">
        <v>23</v>
      </c>
    </row>
    <row r="1157" spans="1:10" x14ac:dyDescent="0.35">
      <c r="A1157" t="s">
        <v>1332</v>
      </c>
      <c r="B1157" s="1">
        <v>45864</v>
      </c>
      <c r="C1157" t="s">
        <v>345</v>
      </c>
      <c r="D1157" t="s">
        <v>59</v>
      </c>
      <c r="E1157" t="s">
        <v>60</v>
      </c>
      <c r="F1157" t="s">
        <v>14</v>
      </c>
      <c r="G1157">
        <v>161.41999999999999</v>
      </c>
      <c r="H1157" t="s">
        <v>15</v>
      </c>
      <c r="I1157" t="s">
        <v>36</v>
      </c>
      <c r="J1157" t="s">
        <v>211</v>
      </c>
    </row>
    <row r="1158" spans="1:10" x14ac:dyDescent="0.35">
      <c r="A1158" t="s">
        <v>1333</v>
      </c>
      <c r="B1158" s="1">
        <v>45864</v>
      </c>
      <c r="C1158" t="s">
        <v>256</v>
      </c>
      <c r="D1158" t="s">
        <v>34</v>
      </c>
      <c r="E1158" t="s">
        <v>40</v>
      </c>
      <c r="F1158" t="s">
        <v>14</v>
      </c>
      <c r="G1158">
        <v>185.06</v>
      </c>
      <c r="H1158" t="s">
        <v>98</v>
      </c>
      <c r="I1158" t="s">
        <v>36</v>
      </c>
      <c r="J1158" t="s">
        <v>239</v>
      </c>
    </row>
    <row r="1159" spans="1:10" x14ac:dyDescent="0.35">
      <c r="A1159" t="s">
        <v>1334</v>
      </c>
      <c r="B1159" s="1">
        <v>45865</v>
      </c>
      <c r="C1159" t="s">
        <v>140</v>
      </c>
      <c r="D1159" t="s">
        <v>80</v>
      </c>
      <c r="E1159" t="s">
        <v>81</v>
      </c>
      <c r="F1159" t="s">
        <v>14</v>
      </c>
      <c r="G1159">
        <v>32.74</v>
      </c>
      <c r="H1159" t="s">
        <v>21</v>
      </c>
      <c r="I1159" t="s">
        <v>36</v>
      </c>
      <c r="J1159" t="s">
        <v>141</v>
      </c>
    </row>
    <row r="1160" spans="1:10" x14ac:dyDescent="0.35">
      <c r="A1160" t="s">
        <v>1335</v>
      </c>
      <c r="B1160" s="1">
        <v>45865</v>
      </c>
      <c r="C1160" t="s">
        <v>135</v>
      </c>
      <c r="D1160" t="s">
        <v>101</v>
      </c>
      <c r="E1160" t="s">
        <v>102</v>
      </c>
      <c r="F1160" t="s">
        <v>14</v>
      </c>
      <c r="G1160">
        <v>41.71</v>
      </c>
      <c r="H1160" t="s">
        <v>15</v>
      </c>
      <c r="I1160" t="s">
        <v>16</v>
      </c>
      <c r="J1160" t="s">
        <v>136</v>
      </c>
    </row>
    <row r="1161" spans="1:10" x14ac:dyDescent="0.35">
      <c r="A1161" t="s">
        <v>1336</v>
      </c>
      <c r="B1161" s="1">
        <v>45866</v>
      </c>
      <c r="C1161" t="s">
        <v>73</v>
      </c>
      <c r="D1161" t="s">
        <v>54</v>
      </c>
      <c r="E1161" t="s">
        <v>74</v>
      </c>
      <c r="F1161" t="s">
        <v>54</v>
      </c>
      <c r="G1161">
        <v>2453.04</v>
      </c>
      <c r="H1161" t="s">
        <v>15</v>
      </c>
      <c r="I1161" t="s">
        <v>22</v>
      </c>
      <c r="J1161" t="s">
        <v>65</v>
      </c>
    </row>
    <row r="1162" spans="1:10" x14ac:dyDescent="0.35">
      <c r="A1162" t="s">
        <v>1337</v>
      </c>
      <c r="B1162" s="1">
        <v>45866</v>
      </c>
      <c r="C1162" t="s">
        <v>63</v>
      </c>
      <c r="D1162" t="s">
        <v>54</v>
      </c>
      <c r="E1162" t="s">
        <v>64</v>
      </c>
      <c r="F1162" t="s">
        <v>54</v>
      </c>
      <c r="G1162">
        <v>344.29</v>
      </c>
      <c r="H1162" t="s">
        <v>15</v>
      </c>
      <c r="I1162" t="s">
        <v>47</v>
      </c>
      <c r="J1162" t="s">
        <v>65</v>
      </c>
    </row>
    <row r="1163" spans="1:10" x14ac:dyDescent="0.35">
      <c r="A1163" t="s">
        <v>1338</v>
      </c>
      <c r="B1163" s="1">
        <v>45867</v>
      </c>
      <c r="C1163" t="s">
        <v>206</v>
      </c>
      <c r="D1163" t="s">
        <v>29</v>
      </c>
      <c r="E1163" t="s">
        <v>95</v>
      </c>
      <c r="F1163" t="s">
        <v>14</v>
      </c>
      <c r="G1163">
        <v>43.13</v>
      </c>
      <c r="H1163" t="s">
        <v>15</v>
      </c>
      <c r="I1163" t="s">
        <v>22</v>
      </c>
      <c r="J1163" t="s">
        <v>31</v>
      </c>
    </row>
    <row r="1164" spans="1:10" x14ac:dyDescent="0.35">
      <c r="A1164" t="s">
        <v>1339</v>
      </c>
      <c r="B1164" s="1">
        <v>45867</v>
      </c>
      <c r="C1164" t="s">
        <v>116</v>
      </c>
      <c r="D1164" t="s">
        <v>80</v>
      </c>
      <c r="E1164" t="s">
        <v>117</v>
      </c>
      <c r="F1164" t="s">
        <v>14</v>
      </c>
      <c r="G1164">
        <v>62.02</v>
      </c>
      <c r="H1164" t="s">
        <v>15</v>
      </c>
      <c r="I1164" t="s">
        <v>22</v>
      </c>
      <c r="J1164" t="s">
        <v>118</v>
      </c>
    </row>
    <row r="1165" spans="1:10" x14ac:dyDescent="0.35">
      <c r="A1165" t="s">
        <v>1340</v>
      </c>
      <c r="B1165" s="1">
        <v>45867</v>
      </c>
      <c r="C1165" t="s">
        <v>217</v>
      </c>
      <c r="D1165" t="s">
        <v>80</v>
      </c>
      <c r="E1165" t="s">
        <v>81</v>
      </c>
      <c r="F1165" t="s">
        <v>14</v>
      </c>
      <c r="G1165">
        <v>74.67</v>
      </c>
      <c r="H1165" t="s">
        <v>15</v>
      </c>
      <c r="I1165" t="s">
        <v>22</v>
      </c>
      <c r="J1165" t="s">
        <v>180</v>
      </c>
    </row>
    <row r="1166" spans="1:10" x14ac:dyDescent="0.35">
      <c r="A1166" t="s">
        <v>1341</v>
      </c>
      <c r="B1166" s="1">
        <v>45868</v>
      </c>
      <c r="C1166" t="s">
        <v>464</v>
      </c>
      <c r="D1166" t="s">
        <v>34</v>
      </c>
      <c r="E1166" t="s">
        <v>122</v>
      </c>
      <c r="F1166" t="s">
        <v>14</v>
      </c>
      <c r="G1166">
        <v>146.07</v>
      </c>
      <c r="H1166" t="s">
        <v>15</v>
      </c>
      <c r="I1166" t="s">
        <v>22</v>
      </c>
      <c r="J1166" t="s">
        <v>239</v>
      </c>
    </row>
    <row r="1167" spans="1:10" x14ac:dyDescent="0.35">
      <c r="A1167" t="s">
        <v>1342</v>
      </c>
      <c r="B1167" s="1">
        <v>45868</v>
      </c>
      <c r="C1167" t="s">
        <v>424</v>
      </c>
      <c r="D1167" t="s">
        <v>101</v>
      </c>
      <c r="E1167" t="s">
        <v>136</v>
      </c>
      <c r="F1167" t="s">
        <v>14</v>
      </c>
      <c r="G1167">
        <v>41.25</v>
      </c>
      <c r="H1167" t="s">
        <v>21</v>
      </c>
      <c r="I1167" t="s">
        <v>16</v>
      </c>
      <c r="J1167" t="s">
        <v>102</v>
      </c>
    </row>
    <row r="1168" spans="1:10" x14ac:dyDescent="0.35">
      <c r="A1168" t="s">
        <v>1343</v>
      </c>
      <c r="B1168" s="1">
        <v>45869</v>
      </c>
      <c r="C1168" t="s">
        <v>130</v>
      </c>
      <c r="D1168" t="s">
        <v>12</v>
      </c>
      <c r="E1168" t="s">
        <v>26</v>
      </c>
      <c r="F1168" t="s">
        <v>14</v>
      </c>
      <c r="G1168">
        <v>54.96</v>
      </c>
      <c r="H1168" t="s">
        <v>21</v>
      </c>
      <c r="I1168" t="s">
        <v>22</v>
      </c>
      <c r="J1168" t="s">
        <v>48</v>
      </c>
    </row>
    <row r="1169" spans="1:10" x14ac:dyDescent="0.35">
      <c r="A1169" t="s">
        <v>1344</v>
      </c>
      <c r="B1169" s="1">
        <v>45869</v>
      </c>
      <c r="C1169" t="s">
        <v>229</v>
      </c>
      <c r="D1169" t="s">
        <v>54</v>
      </c>
      <c r="E1169" t="s">
        <v>64</v>
      </c>
      <c r="F1169" t="s">
        <v>54</v>
      </c>
      <c r="G1169">
        <v>372.98</v>
      </c>
      <c r="H1169" t="s">
        <v>21</v>
      </c>
      <c r="I1169" t="s">
        <v>36</v>
      </c>
      <c r="J1169" t="s">
        <v>56</v>
      </c>
    </row>
    <row r="1170" spans="1:10" x14ac:dyDescent="0.35">
      <c r="A1170" t="s">
        <v>1345</v>
      </c>
      <c r="B1170" s="1">
        <v>45869</v>
      </c>
      <c r="C1170" t="s">
        <v>160</v>
      </c>
      <c r="D1170" t="s">
        <v>80</v>
      </c>
      <c r="E1170" t="s">
        <v>117</v>
      </c>
      <c r="F1170" t="s">
        <v>14</v>
      </c>
      <c r="G1170">
        <v>56.39</v>
      </c>
      <c r="H1170" t="s">
        <v>15</v>
      </c>
      <c r="I1170" t="s">
        <v>36</v>
      </c>
      <c r="J1170" t="s">
        <v>161</v>
      </c>
    </row>
    <row r="1171" spans="1:10" x14ac:dyDescent="0.35">
      <c r="A1171" t="s">
        <v>1346</v>
      </c>
      <c r="B1171" s="1">
        <v>45869</v>
      </c>
      <c r="C1171" t="s">
        <v>53</v>
      </c>
      <c r="D1171" t="s">
        <v>54</v>
      </c>
      <c r="E1171" t="s">
        <v>55</v>
      </c>
      <c r="F1171" t="s">
        <v>54</v>
      </c>
      <c r="G1171">
        <v>674.01</v>
      </c>
      <c r="H1171" t="s">
        <v>15</v>
      </c>
      <c r="I1171" t="s">
        <v>36</v>
      </c>
      <c r="J1171" t="s">
        <v>56</v>
      </c>
    </row>
    <row r="1172" spans="1:10" x14ac:dyDescent="0.35">
      <c r="A1172" t="s">
        <v>1347</v>
      </c>
      <c r="B1172" s="1">
        <v>45869</v>
      </c>
      <c r="C1172" t="s">
        <v>160</v>
      </c>
      <c r="D1172" t="s">
        <v>80</v>
      </c>
      <c r="E1172" t="s">
        <v>117</v>
      </c>
      <c r="F1172" t="s">
        <v>14</v>
      </c>
      <c r="G1172">
        <v>33.1</v>
      </c>
      <c r="H1172" t="s">
        <v>15</v>
      </c>
      <c r="I1172" t="s">
        <v>36</v>
      </c>
      <c r="J1172" t="s">
        <v>161</v>
      </c>
    </row>
    <row r="1173" spans="1:10" x14ac:dyDescent="0.35">
      <c r="A1173" t="s">
        <v>1348</v>
      </c>
      <c r="B1173" s="1">
        <v>45869</v>
      </c>
      <c r="C1173" t="s">
        <v>53</v>
      </c>
      <c r="D1173" t="s">
        <v>54</v>
      </c>
      <c r="E1173" t="s">
        <v>55</v>
      </c>
      <c r="F1173" t="s">
        <v>54</v>
      </c>
      <c r="G1173">
        <v>598</v>
      </c>
      <c r="H1173" t="s">
        <v>21</v>
      </c>
      <c r="I1173" t="s">
        <v>22</v>
      </c>
      <c r="J1173" t="s">
        <v>56</v>
      </c>
    </row>
    <row r="1174" spans="1:10" x14ac:dyDescent="0.35">
      <c r="A1174" t="s">
        <v>1349</v>
      </c>
      <c r="B1174" s="1">
        <v>45869</v>
      </c>
      <c r="C1174" t="s">
        <v>19</v>
      </c>
      <c r="D1174" t="s">
        <v>12</v>
      </c>
      <c r="E1174" t="s">
        <v>13</v>
      </c>
      <c r="F1174" t="s">
        <v>14</v>
      </c>
      <c r="G1174">
        <v>27.4</v>
      </c>
      <c r="H1174" t="s">
        <v>15</v>
      </c>
      <c r="I1174" t="s">
        <v>22</v>
      </c>
      <c r="J1174" t="s">
        <v>23</v>
      </c>
    </row>
    <row r="1175" spans="1:10" x14ac:dyDescent="0.35">
      <c r="A1175" t="s">
        <v>1350</v>
      </c>
      <c r="B1175" s="1">
        <v>45869</v>
      </c>
      <c r="C1175" t="s">
        <v>50</v>
      </c>
      <c r="D1175" t="s">
        <v>12</v>
      </c>
      <c r="E1175" t="s">
        <v>51</v>
      </c>
      <c r="F1175" t="s">
        <v>14</v>
      </c>
      <c r="G1175">
        <v>26.26</v>
      </c>
      <c r="H1175" t="s">
        <v>15</v>
      </c>
      <c r="I1175" t="s">
        <v>36</v>
      </c>
      <c r="J1175" t="s">
        <v>44</v>
      </c>
    </row>
    <row r="1176" spans="1:10" x14ac:dyDescent="0.35">
      <c r="A1176" t="s">
        <v>1351</v>
      </c>
      <c r="B1176" s="1">
        <v>45870</v>
      </c>
      <c r="C1176" t="s">
        <v>125</v>
      </c>
      <c r="D1176" t="s">
        <v>12</v>
      </c>
      <c r="E1176" t="s">
        <v>13</v>
      </c>
      <c r="F1176" t="s">
        <v>14</v>
      </c>
      <c r="G1176">
        <v>17.71</v>
      </c>
      <c r="H1176" t="s">
        <v>15</v>
      </c>
      <c r="I1176" t="s">
        <v>22</v>
      </c>
      <c r="J1176" t="s">
        <v>44</v>
      </c>
    </row>
    <row r="1177" spans="1:10" x14ac:dyDescent="0.35">
      <c r="A1177" t="s">
        <v>1352</v>
      </c>
      <c r="B1177" s="1">
        <v>45870</v>
      </c>
      <c r="C1177" t="s">
        <v>157</v>
      </c>
      <c r="D1177" t="s">
        <v>29</v>
      </c>
      <c r="E1177" t="s">
        <v>95</v>
      </c>
      <c r="F1177" t="s">
        <v>14</v>
      </c>
      <c r="G1177">
        <v>42.26</v>
      </c>
      <c r="H1177" t="s">
        <v>21</v>
      </c>
      <c r="I1177" t="s">
        <v>36</v>
      </c>
      <c r="J1177" t="s">
        <v>158</v>
      </c>
    </row>
    <row r="1178" spans="1:10" x14ac:dyDescent="0.35">
      <c r="A1178" t="s">
        <v>1353</v>
      </c>
      <c r="B1178" s="1">
        <v>45870</v>
      </c>
      <c r="C1178" t="s">
        <v>464</v>
      </c>
      <c r="D1178" t="s">
        <v>34</v>
      </c>
      <c r="E1178" t="s">
        <v>122</v>
      </c>
      <c r="F1178" t="s">
        <v>14</v>
      </c>
      <c r="G1178">
        <v>190.93</v>
      </c>
      <c r="H1178" t="s">
        <v>15</v>
      </c>
      <c r="I1178" t="s">
        <v>22</v>
      </c>
      <c r="J1178" t="s">
        <v>239</v>
      </c>
    </row>
    <row r="1179" spans="1:10" x14ac:dyDescent="0.35">
      <c r="A1179" t="s">
        <v>1354</v>
      </c>
      <c r="B1179" s="1">
        <v>45870</v>
      </c>
      <c r="C1179" t="s">
        <v>184</v>
      </c>
      <c r="D1179" t="s">
        <v>59</v>
      </c>
      <c r="E1179" t="s">
        <v>185</v>
      </c>
      <c r="F1179" t="s">
        <v>14</v>
      </c>
      <c r="G1179">
        <v>515.53</v>
      </c>
      <c r="H1179" t="s">
        <v>21</v>
      </c>
      <c r="I1179" t="s">
        <v>22</v>
      </c>
      <c r="J1179" t="s">
        <v>61</v>
      </c>
    </row>
    <row r="1180" spans="1:10" x14ac:dyDescent="0.35">
      <c r="A1180" t="s">
        <v>1355</v>
      </c>
      <c r="B1180" s="1">
        <v>45870</v>
      </c>
      <c r="C1180" t="s">
        <v>227</v>
      </c>
      <c r="D1180" t="s">
        <v>12</v>
      </c>
      <c r="E1180" t="s">
        <v>51</v>
      </c>
      <c r="F1180" t="s">
        <v>14</v>
      </c>
      <c r="G1180">
        <v>73.41</v>
      </c>
      <c r="H1180" t="s">
        <v>15</v>
      </c>
      <c r="I1180" t="s">
        <v>47</v>
      </c>
      <c r="J1180" t="s">
        <v>17</v>
      </c>
    </row>
    <row r="1181" spans="1:10" x14ac:dyDescent="0.35">
      <c r="A1181" t="s">
        <v>1356</v>
      </c>
      <c r="B1181" s="1">
        <v>45870</v>
      </c>
      <c r="C1181" t="s">
        <v>130</v>
      </c>
      <c r="D1181" t="s">
        <v>12</v>
      </c>
      <c r="E1181" t="s">
        <v>26</v>
      </c>
      <c r="F1181" t="s">
        <v>14</v>
      </c>
      <c r="G1181">
        <v>26.95</v>
      </c>
      <c r="H1181" t="s">
        <v>21</v>
      </c>
      <c r="I1181" t="s">
        <v>16</v>
      </c>
      <c r="J1181" t="s">
        <v>48</v>
      </c>
    </row>
    <row r="1182" spans="1:10" x14ac:dyDescent="0.35">
      <c r="A1182" t="s">
        <v>1357</v>
      </c>
      <c r="B1182" s="1">
        <v>45870</v>
      </c>
      <c r="C1182" t="s">
        <v>125</v>
      </c>
      <c r="D1182" t="s">
        <v>12</v>
      </c>
      <c r="E1182" t="s">
        <v>13</v>
      </c>
      <c r="F1182" t="s">
        <v>14</v>
      </c>
      <c r="G1182">
        <v>133.32</v>
      </c>
      <c r="H1182" t="s">
        <v>15</v>
      </c>
      <c r="I1182" t="s">
        <v>22</v>
      </c>
      <c r="J1182" t="s">
        <v>44</v>
      </c>
    </row>
    <row r="1183" spans="1:10" x14ac:dyDescent="0.35">
      <c r="A1183" t="s">
        <v>1358</v>
      </c>
      <c r="B1183" s="1">
        <v>45871</v>
      </c>
      <c r="C1183" t="s">
        <v>210</v>
      </c>
      <c r="D1183" t="s">
        <v>59</v>
      </c>
      <c r="E1183" t="s">
        <v>185</v>
      </c>
      <c r="F1183" t="s">
        <v>14</v>
      </c>
      <c r="G1183">
        <v>251.94</v>
      </c>
      <c r="H1183" t="s">
        <v>15</v>
      </c>
      <c r="I1183" t="s">
        <v>22</v>
      </c>
      <c r="J1183" t="s">
        <v>211</v>
      </c>
    </row>
    <row r="1184" spans="1:10" x14ac:dyDescent="0.35">
      <c r="A1184" t="s">
        <v>1359</v>
      </c>
      <c r="B1184" s="1">
        <v>45871</v>
      </c>
      <c r="C1184" t="s">
        <v>424</v>
      </c>
      <c r="D1184" t="s">
        <v>101</v>
      </c>
      <c r="E1184" t="s">
        <v>136</v>
      </c>
      <c r="F1184" t="s">
        <v>14</v>
      </c>
      <c r="G1184">
        <v>34.99</v>
      </c>
      <c r="H1184" t="s">
        <v>21</v>
      </c>
      <c r="I1184" t="s">
        <v>16</v>
      </c>
      <c r="J1184" t="s">
        <v>102</v>
      </c>
    </row>
    <row r="1185" spans="1:10" x14ac:dyDescent="0.35">
      <c r="A1185" t="s">
        <v>1360</v>
      </c>
      <c r="B1185" s="1">
        <v>45871</v>
      </c>
      <c r="C1185" t="s">
        <v>88</v>
      </c>
      <c r="D1185" t="s">
        <v>54</v>
      </c>
      <c r="E1185" t="s">
        <v>74</v>
      </c>
      <c r="F1185" t="s">
        <v>54</v>
      </c>
      <c r="G1185">
        <v>2452.02</v>
      </c>
      <c r="H1185" t="s">
        <v>21</v>
      </c>
      <c r="I1185" t="s">
        <v>36</v>
      </c>
      <c r="J1185" t="s">
        <v>89</v>
      </c>
    </row>
    <row r="1186" spans="1:10" x14ac:dyDescent="0.35">
      <c r="A1186" t="s">
        <v>1361</v>
      </c>
      <c r="B1186" s="1">
        <v>45871</v>
      </c>
      <c r="C1186" t="s">
        <v>281</v>
      </c>
      <c r="D1186" t="s">
        <v>34</v>
      </c>
      <c r="E1186" t="s">
        <v>40</v>
      </c>
      <c r="F1186" t="s">
        <v>14</v>
      </c>
      <c r="G1186">
        <v>275.74</v>
      </c>
      <c r="H1186" t="s">
        <v>15</v>
      </c>
      <c r="I1186" t="s">
        <v>16</v>
      </c>
      <c r="J1186" t="s">
        <v>123</v>
      </c>
    </row>
    <row r="1187" spans="1:10" x14ac:dyDescent="0.35">
      <c r="A1187" t="s">
        <v>1362</v>
      </c>
      <c r="B1187" s="1">
        <v>45871</v>
      </c>
      <c r="C1187" t="s">
        <v>411</v>
      </c>
      <c r="D1187" t="s">
        <v>29</v>
      </c>
      <c r="E1187" t="s">
        <v>151</v>
      </c>
      <c r="F1187" t="s">
        <v>14</v>
      </c>
      <c r="G1187">
        <v>47.4</v>
      </c>
      <c r="H1187" t="s">
        <v>98</v>
      </c>
      <c r="I1187" t="s">
        <v>36</v>
      </c>
      <c r="J1187" t="s">
        <v>151</v>
      </c>
    </row>
    <row r="1188" spans="1:10" x14ac:dyDescent="0.35">
      <c r="A1188" t="s">
        <v>1363</v>
      </c>
      <c r="B1188" s="1">
        <v>45871</v>
      </c>
      <c r="C1188" t="s">
        <v>143</v>
      </c>
      <c r="D1188" t="s">
        <v>54</v>
      </c>
      <c r="E1188" t="s">
        <v>55</v>
      </c>
      <c r="F1188" t="s">
        <v>54</v>
      </c>
      <c r="G1188">
        <v>610.61</v>
      </c>
      <c r="H1188" t="s">
        <v>15</v>
      </c>
      <c r="I1188" t="s">
        <v>22</v>
      </c>
      <c r="J1188" t="s">
        <v>89</v>
      </c>
    </row>
    <row r="1189" spans="1:10" x14ac:dyDescent="0.35">
      <c r="A1189" t="s">
        <v>1364</v>
      </c>
      <c r="B1189" s="1">
        <v>45871</v>
      </c>
      <c r="C1189" t="s">
        <v>426</v>
      </c>
      <c r="D1189" t="s">
        <v>69</v>
      </c>
      <c r="E1189" t="s">
        <v>70</v>
      </c>
      <c r="F1189" t="s">
        <v>14</v>
      </c>
      <c r="G1189">
        <v>390.82</v>
      </c>
      <c r="H1189" t="s">
        <v>15</v>
      </c>
      <c r="I1189" t="s">
        <v>47</v>
      </c>
      <c r="J1189" t="s">
        <v>396</v>
      </c>
    </row>
    <row r="1190" spans="1:10" x14ac:dyDescent="0.35">
      <c r="A1190" t="s">
        <v>1365</v>
      </c>
      <c r="B1190" s="1">
        <v>45871</v>
      </c>
      <c r="C1190" t="s">
        <v>143</v>
      </c>
      <c r="D1190" t="s">
        <v>54</v>
      </c>
      <c r="E1190" t="s">
        <v>55</v>
      </c>
      <c r="F1190" t="s">
        <v>54</v>
      </c>
      <c r="G1190">
        <v>695.91</v>
      </c>
      <c r="H1190" t="s">
        <v>15</v>
      </c>
      <c r="I1190" t="s">
        <v>22</v>
      </c>
      <c r="J1190" t="s">
        <v>89</v>
      </c>
    </row>
    <row r="1191" spans="1:10" x14ac:dyDescent="0.35">
      <c r="A1191" t="s">
        <v>1366</v>
      </c>
      <c r="B1191" s="1">
        <v>45871</v>
      </c>
      <c r="C1191" t="s">
        <v>175</v>
      </c>
      <c r="D1191" t="s">
        <v>80</v>
      </c>
      <c r="E1191" t="s">
        <v>92</v>
      </c>
      <c r="F1191" t="s">
        <v>14</v>
      </c>
      <c r="G1191">
        <v>112.64</v>
      </c>
      <c r="H1191" t="s">
        <v>15</v>
      </c>
      <c r="I1191" t="s">
        <v>22</v>
      </c>
      <c r="J1191" t="s">
        <v>141</v>
      </c>
    </row>
    <row r="1192" spans="1:10" x14ac:dyDescent="0.35">
      <c r="A1192" t="s">
        <v>1367</v>
      </c>
      <c r="B1192" s="1">
        <v>45871</v>
      </c>
      <c r="C1192" t="s">
        <v>256</v>
      </c>
      <c r="D1192" t="s">
        <v>34</v>
      </c>
      <c r="E1192" t="s">
        <v>40</v>
      </c>
      <c r="F1192" t="s">
        <v>14</v>
      </c>
      <c r="G1192">
        <v>98.35</v>
      </c>
      <c r="H1192" t="s">
        <v>15</v>
      </c>
      <c r="I1192" t="s">
        <v>22</v>
      </c>
      <c r="J1192" t="s">
        <v>239</v>
      </c>
    </row>
    <row r="1193" spans="1:10" x14ac:dyDescent="0.35">
      <c r="A1193" t="s">
        <v>1368</v>
      </c>
      <c r="B1193" s="1">
        <v>45872</v>
      </c>
      <c r="C1193" t="s">
        <v>243</v>
      </c>
      <c r="D1193" t="s">
        <v>101</v>
      </c>
      <c r="E1193" t="s">
        <v>244</v>
      </c>
      <c r="F1193" t="s">
        <v>14</v>
      </c>
      <c r="G1193">
        <v>117.77</v>
      </c>
      <c r="H1193" t="s">
        <v>15</v>
      </c>
      <c r="I1193" t="s">
        <v>22</v>
      </c>
      <c r="J1193" t="s">
        <v>102</v>
      </c>
    </row>
    <row r="1194" spans="1:10" x14ac:dyDescent="0.35">
      <c r="A1194" t="s">
        <v>1369</v>
      </c>
      <c r="B1194" s="1">
        <v>45872</v>
      </c>
      <c r="C1194" t="s">
        <v>155</v>
      </c>
      <c r="D1194" t="s">
        <v>12</v>
      </c>
      <c r="E1194" t="s">
        <v>51</v>
      </c>
      <c r="F1194" t="s">
        <v>14</v>
      </c>
      <c r="G1194">
        <v>27.25</v>
      </c>
      <c r="H1194" t="s">
        <v>15</v>
      </c>
      <c r="I1194" t="s">
        <v>22</v>
      </c>
      <c r="J1194" t="s">
        <v>48</v>
      </c>
    </row>
    <row r="1195" spans="1:10" x14ac:dyDescent="0.35">
      <c r="A1195" t="s">
        <v>1370</v>
      </c>
      <c r="B1195" s="1">
        <v>45872</v>
      </c>
      <c r="C1195" t="s">
        <v>210</v>
      </c>
      <c r="D1195" t="s">
        <v>59</v>
      </c>
      <c r="E1195" t="s">
        <v>185</v>
      </c>
      <c r="F1195" t="s">
        <v>14</v>
      </c>
      <c r="G1195">
        <v>175.31</v>
      </c>
      <c r="H1195" t="s">
        <v>15</v>
      </c>
      <c r="I1195" t="s">
        <v>16</v>
      </c>
      <c r="J1195" t="s">
        <v>211</v>
      </c>
    </row>
    <row r="1196" spans="1:10" x14ac:dyDescent="0.35">
      <c r="A1196" t="s">
        <v>1371</v>
      </c>
      <c r="B1196" s="1">
        <v>45872</v>
      </c>
      <c r="C1196" t="s">
        <v>168</v>
      </c>
      <c r="D1196" t="s">
        <v>59</v>
      </c>
      <c r="E1196" t="s">
        <v>60</v>
      </c>
      <c r="F1196" t="s">
        <v>14</v>
      </c>
      <c r="G1196">
        <v>157.88999999999999</v>
      </c>
      <c r="H1196" t="s">
        <v>15</v>
      </c>
      <c r="I1196" t="s">
        <v>22</v>
      </c>
      <c r="J1196" t="s">
        <v>170</v>
      </c>
    </row>
    <row r="1197" spans="1:10" x14ac:dyDescent="0.35">
      <c r="A1197" t="s">
        <v>1372</v>
      </c>
      <c r="B1197" s="1">
        <v>45872</v>
      </c>
      <c r="C1197" t="s">
        <v>184</v>
      </c>
      <c r="D1197" t="s">
        <v>59</v>
      </c>
      <c r="E1197" t="s">
        <v>185</v>
      </c>
      <c r="F1197" t="s">
        <v>14</v>
      </c>
      <c r="G1197">
        <v>219.55</v>
      </c>
      <c r="H1197" t="s">
        <v>15</v>
      </c>
      <c r="I1197" t="s">
        <v>22</v>
      </c>
      <c r="J1197" t="s">
        <v>61</v>
      </c>
    </row>
    <row r="1198" spans="1:10" x14ac:dyDescent="0.35">
      <c r="A1198" t="s">
        <v>1373</v>
      </c>
      <c r="B1198" s="1">
        <v>45872</v>
      </c>
      <c r="C1198" t="s">
        <v>875</v>
      </c>
      <c r="D1198" t="s">
        <v>69</v>
      </c>
      <c r="E1198" t="s">
        <v>291</v>
      </c>
      <c r="F1198" t="s">
        <v>14</v>
      </c>
      <c r="G1198">
        <v>249.76</v>
      </c>
      <c r="H1198" t="s">
        <v>21</v>
      </c>
      <c r="I1198" t="s">
        <v>47</v>
      </c>
      <c r="J1198" t="s">
        <v>133</v>
      </c>
    </row>
    <row r="1199" spans="1:10" x14ac:dyDescent="0.35">
      <c r="A1199" t="s">
        <v>1374</v>
      </c>
      <c r="B1199" s="1">
        <v>45872</v>
      </c>
      <c r="C1199" t="s">
        <v>157</v>
      </c>
      <c r="D1199" t="s">
        <v>29</v>
      </c>
      <c r="E1199" t="s">
        <v>95</v>
      </c>
      <c r="F1199" t="s">
        <v>14</v>
      </c>
      <c r="G1199">
        <v>9.94</v>
      </c>
      <c r="H1199" t="s">
        <v>15</v>
      </c>
      <c r="I1199" t="s">
        <v>22</v>
      </c>
      <c r="J1199" t="s">
        <v>158</v>
      </c>
    </row>
    <row r="1200" spans="1:10" x14ac:dyDescent="0.35">
      <c r="A1200" t="s">
        <v>1375</v>
      </c>
      <c r="B1200" s="1">
        <v>45873</v>
      </c>
      <c r="C1200" t="s">
        <v>227</v>
      </c>
      <c r="D1200" t="s">
        <v>12</v>
      </c>
      <c r="E1200" t="s">
        <v>51</v>
      </c>
      <c r="F1200" t="s">
        <v>14</v>
      </c>
      <c r="G1200">
        <v>93.48</v>
      </c>
      <c r="H1200" t="s">
        <v>21</v>
      </c>
      <c r="I1200" t="s">
        <v>16</v>
      </c>
      <c r="J1200" t="s">
        <v>17</v>
      </c>
    </row>
    <row r="1201" spans="1:10" x14ac:dyDescent="0.35">
      <c r="A1201" t="s">
        <v>1376</v>
      </c>
      <c r="B1201" s="1">
        <v>45873</v>
      </c>
      <c r="C1201" t="s">
        <v>424</v>
      </c>
      <c r="D1201" t="s">
        <v>101</v>
      </c>
      <c r="E1201" t="s">
        <v>136</v>
      </c>
      <c r="F1201" t="s">
        <v>14</v>
      </c>
      <c r="G1201">
        <v>55.9</v>
      </c>
      <c r="H1201" t="s">
        <v>15</v>
      </c>
      <c r="I1201" t="s">
        <v>36</v>
      </c>
      <c r="J1201" t="s">
        <v>102</v>
      </c>
    </row>
    <row r="1202" spans="1:10" x14ac:dyDescent="0.35">
      <c r="A1202" t="s">
        <v>1377</v>
      </c>
      <c r="B1202" s="1">
        <v>45873</v>
      </c>
      <c r="C1202" t="s">
        <v>350</v>
      </c>
      <c r="D1202" t="s">
        <v>29</v>
      </c>
      <c r="E1202" t="s">
        <v>151</v>
      </c>
      <c r="F1202" t="s">
        <v>14</v>
      </c>
      <c r="G1202">
        <v>36.31</v>
      </c>
      <c r="H1202" t="s">
        <v>15</v>
      </c>
      <c r="I1202" t="s">
        <v>36</v>
      </c>
      <c r="J1202" t="s">
        <v>158</v>
      </c>
    </row>
    <row r="1203" spans="1:10" x14ac:dyDescent="0.35">
      <c r="A1203" t="s">
        <v>1378</v>
      </c>
      <c r="B1203" s="1">
        <v>45873</v>
      </c>
      <c r="C1203" t="s">
        <v>220</v>
      </c>
      <c r="D1203" t="s">
        <v>59</v>
      </c>
      <c r="E1203" t="s">
        <v>199</v>
      </c>
      <c r="F1203" t="s">
        <v>14</v>
      </c>
      <c r="G1203">
        <v>343.72</v>
      </c>
      <c r="H1203" t="s">
        <v>21</v>
      </c>
      <c r="I1203" t="s">
        <v>22</v>
      </c>
      <c r="J1203" t="s">
        <v>211</v>
      </c>
    </row>
    <row r="1204" spans="1:10" x14ac:dyDescent="0.35">
      <c r="A1204" t="s">
        <v>1379</v>
      </c>
      <c r="B1204" s="1">
        <v>45873</v>
      </c>
      <c r="C1204" t="s">
        <v>262</v>
      </c>
      <c r="D1204" t="s">
        <v>101</v>
      </c>
      <c r="E1204" t="s">
        <v>244</v>
      </c>
      <c r="F1204" t="s">
        <v>14</v>
      </c>
      <c r="G1204">
        <v>77.8</v>
      </c>
      <c r="H1204" t="s">
        <v>15</v>
      </c>
      <c r="I1204" t="s">
        <v>22</v>
      </c>
      <c r="J1204" t="s">
        <v>136</v>
      </c>
    </row>
    <row r="1205" spans="1:10" x14ac:dyDescent="0.35">
      <c r="A1205" t="s">
        <v>1380</v>
      </c>
      <c r="B1205" s="1">
        <v>45873</v>
      </c>
      <c r="C1205" t="s">
        <v>138</v>
      </c>
      <c r="D1205" t="s">
        <v>12</v>
      </c>
      <c r="E1205" t="s">
        <v>26</v>
      </c>
      <c r="F1205" t="s">
        <v>14</v>
      </c>
      <c r="G1205">
        <v>70.400000000000006</v>
      </c>
      <c r="H1205" t="s">
        <v>21</v>
      </c>
      <c r="I1205" t="s">
        <v>36</v>
      </c>
      <c r="J1205" t="s">
        <v>77</v>
      </c>
    </row>
    <row r="1206" spans="1:10" x14ac:dyDescent="0.35">
      <c r="A1206" t="s">
        <v>1381</v>
      </c>
      <c r="B1206" s="1">
        <v>45873</v>
      </c>
      <c r="C1206" t="s">
        <v>281</v>
      </c>
      <c r="D1206" t="s">
        <v>34</v>
      </c>
      <c r="E1206" t="s">
        <v>40</v>
      </c>
      <c r="F1206" t="s">
        <v>14</v>
      </c>
      <c r="G1206">
        <v>81.77</v>
      </c>
      <c r="H1206" t="s">
        <v>98</v>
      </c>
      <c r="I1206" t="s">
        <v>84</v>
      </c>
      <c r="J1206" t="s">
        <v>123</v>
      </c>
    </row>
    <row r="1207" spans="1:10" x14ac:dyDescent="0.35">
      <c r="A1207" t="s">
        <v>1382</v>
      </c>
      <c r="B1207" s="1">
        <v>45873</v>
      </c>
      <c r="C1207" t="s">
        <v>580</v>
      </c>
      <c r="D1207" t="s">
        <v>80</v>
      </c>
      <c r="E1207" t="s">
        <v>81</v>
      </c>
      <c r="F1207" t="s">
        <v>14</v>
      </c>
      <c r="G1207">
        <v>10.99</v>
      </c>
      <c r="H1207" t="s">
        <v>21</v>
      </c>
      <c r="I1207" t="s">
        <v>22</v>
      </c>
      <c r="J1207" t="s">
        <v>118</v>
      </c>
    </row>
    <row r="1208" spans="1:10" x14ac:dyDescent="0.35">
      <c r="A1208" t="s">
        <v>1383</v>
      </c>
      <c r="B1208" s="1">
        <v>45874</v>
      </c>
      <c r="C1208" t="s">
        <v>296</v>
      </c>
      <c r="D1208" t="s">
        <v>101</v>
      </c>
      <c r="E1208" t="s">
        <v>136</v>
      </c>
      <c r="F1208" t="s">
        <v>14</v>
      </c>
      <c r="G1208">
        <v>12.89</v>
      </c>
      <c r="H1208" t="s">
        <v>15</v>
      </c>
      <c r="I1208" t="s">
        <v>47</v>
      </c>
      <c r="J1208" t="s">
        <v>136</v>
      </c>
    </row>
    <row r="1209" spans="1:10" x14ac:dyDescent="0.35">
      <c r="A1209" t="s">
        <v>1384</v>
      </c>
      <c r="B1209" s="1">
        <v>45874</v>
      </c>
      <c r="C1209" t="s">
        <v>39</v>
      </c>
      <c r="D1209" t="s">
        <v>34</v>
      </c>
      <c r="E1209" t="s">
        <v>40</v>
      </c>
      <c r="F1209" t="s">
        <v>14</v>
      </c>
      <c r="G1209">
        <v>151.76</v>
      </c>
      <c r="H1209" t="s">
        <v>15</v>
      </c>
      <c r="I1209" t="s">
        <v>22</v>
      </c>
      <c r="J1209" t="s">
        <v>41</v>
      </c>
    </row>
    <row r="1210" spans="1:10" x14ac:dyDescent="0.35">
      <c r="A1210" t="s">
        <v>1385</v>
      </c>
      <c r="B1210" s="1">
        <v>45874</v>
      </c>
      <c r="C1210" t="s">
        <v>331</v>
      </c>
      <c r="D1210" t="s">
        <v>29</v>
      </c>
      <c r="E1210" t="s">
        <v>95</v>
      </c>
      <c r="F1210" t="s">
        <v>14</v>
      </c>
      <c r="G1210">
        <v>106.68</v>
      </c>
      <c r="H1210" t="s">
        <v>21</v>
      </c>
      <c r="I1210" t="s">
        <v>84</v>
      </c>
      <c r="J1210" t="s">
        <v>151</v>
      </c>
    </row>
    <row r="1211" spans="1:10" x14ac:dyDescent="0.35">
      <c r="A1211" t="s">
        <v>1386</v>
      </c>
      <c r="B1211" s="1">
        <v>45874</v>
      </c>
      <c r="C1211" t="s">
        <v>272</v>
      </c>
      <c r="D1211" t="s">
        <v>54</v>
      </c>
      <c r="E1211" t="s">
        <v>55</v>
      </c>
      <c r="F1211" t="s">
        <v>54</v>
      </c>
      <c r="G1211">
        <v>644.85</v>
      </c>
      <c r="H1211" t="s">
        <v>15</v>
      </c>
      <c r="I1211" t="s">
        <v>36</v>
      </c>
      <c r="J1211" t="s">
        <v>65</v>
      </c>
    </row>
    <row r="1212" spans="1:10" x14ac:dyDescent="0.35">
      <c r="A1212" t="s">
        <v>1387</v>
      </c>
      <c r="B1212" s="1">
        <v>45875</v>
      </c>
      <c r="C1212" t="s">
        <v>215</v>
      </c>
      <c r="D1212" t="s">
        <v>80</v>
      </c>
      <c r="E1212" t="s">
        <v>117</v>
      </c>
      <c r="F1212" t="s">
        <v>14</v>
      </c>
      <c r="G1212">
        <v>170.79</v>
      </c>
      <c r="H1212" t="s">
        <v>15</v>
      </c>
      <c r="I1212" t="s">
        <v>22</v>
      </c>
      <c r="J1212" t="s">
        <v>141</v>
      </c>
    </row>
    <row r="1213" spans="1:10" x14ac:dyDescent="0.35">
      <c r="A1213" t="s">
        <v>1388</v>
      </c>
      <c r="B1213" s="1">
        <v>45875</v>
      </c>
      <c r="C1213" t="s">
        <v>253</v>
      </c>
      <c r="D1213" t="s">
        <v>29</v>
      </c>
      <c r="E1213" t="s">
        <v>30</v>
      </c>
      <c r="F1213" t="s">
        <v>14</v>
      </c>
      <c r="G1213">
        <v>33.020000000000003</v>
      </c>
      <c r="H1213" t="s">
        <v>21</v>
      </c>
      <c r="I1213" t="s">
        <v>22</v>
      </c>
      <c r="J1213" t="s">
        <v>158</v>
      </c>
    </row>
    <row r="1214" spans="1:10" x14ac:dyDescent="0.35">
      <c r="A1214" t="s">
        <v>1389</v>
      </c>
      <c r="B1214" s="1">
        <v>45875</v>
      </c>
      <c r="C1214" t="s">
        <v>11</v>
      </c>
      <c r="D1214" t="s">
        <v>12</v>
      </c>
      <c r="E1214" t="s">
        <v>13</v>
      </c>
      <c r="F1214" t="s">
        <v>14</v>
      </c>
      <c r="G1214">
        <v>104.88</v>
      </c>
      <c r="H1214" t="s">
        <v>21</v>
      </c>
      <c r="I1214" t="s">
        <v>36</v>
      </c>
      <c r="J1214" t="s">
        <v>17</v>
      </c>
    </row>
    <row r="1215" spans="1:10" x14ac:dyDescent="0.35">
      <c r="A1215" t="s">
        <v>1390</v>
      </c>
      <c r="B1215" s="1">
        <v>45875</v>
      </c>
      <c r="C1215" t="s">
        <v>227</v>
      </c>
      <c r="D1215" t="s">
        <v>12</v>
      </c>
      <c r="E1215" t="s">
        <v>51</v>
      </c>
      <c r="F1215" t="s">
        <v>14</v>
      </c>
      <c r="G1215">
        <v>34.07</v>
      </c>
      <c r="H1215" t="s">
        <v>15</v>
      </c>
      <c r="I1215" t="s">
        <v>47</v>
      </c>
      <c r="J1215" t="s">
        <v>17</v>
      </c>
    </row>
    <row r="1216" spans="1:10" x14ac:dyDescent="0.35">
      <c r="A1216" t="s">
        <v>1391</v>
      </c>
      <c r="B1216" s="1">
        <v>45876</v>
      </c>
      <c r="C1216" t="s">
        <v>259</v>
      </c>
      <c r="D1216" t="s">
        <v>59</v>
      </c>
      <c r="E1216" t="s">
        <v>199</v>
      </c>
      <c r="F1216" t="s">
        <v>14</v>
      </c>
      <c r="G1216">
        <v>256.55</v>
      </c>
      <c r="H1216" t="s">
        <v>15</v>
      </c>
      <c r="I1216" t="s">
        <v>22</v>
      </c>
      <c r="J1216" t="s">
        <v>170</v>
      </c>
    </row>
    <row r="1217" spans="1:10" x14ac:dyDescent="0.35">
      <c r="A1217" t="s">
        <v>1392</v>
      </c>
      <c r="B1217" s="1">
        <v>45876</v>
      </c>
      <c r="C1217" t="s">
        <v>100</v>
      </c>
      <c r="D1217" t="s">
        <v>101</v>
      </c>
      <c r="E1217" t="s">
        <v>102</v>
      </c>
      <c r="F1217" t="s">
        <v>14</v>
      </c>
      <c r="G1217">
        <v>64.81</v>
      </c>
      <c r="H1217" t="s">
        <v>98</v>
      </c>
      <c r="I1217" t="s">
        <v>47</v>
      </c>
      <c r="J1217" t="s">
        <v>103</v>
      </c>
    </row>
    <row r="1218" spans="1:10" x14ac:dyDescent="0.35">
      <c r="A1218" t="s">
        <v>1393</v>
      </c>
      <c r="B1218" s="1">
        <v>45876</v>
      </c>
      <c r="C1218" t="s">
        <v>220</v>
      </c>
      <c r="D1218" t="s">
        <v>59</v>
      </c>
      <c r="E1218" t="s">
        <v>199</v>
      </c>
      <c r="F1218" t="s">
        <v>14</v>
      </c>
      <c r="G1218">
        <v>550.84</v>
      </c>
      <c r="H1218" t="s">
        <v>15</v>
      </c>
      <c r="I1218" t="s">
        <v>36</v>
      </c>
      <c r="J1218" t="s">
        <v>211</v>
      </c>
    </row>
    <row r="1219" spans="1:10" x14ac:dyDescent="0.35">
      <c r="A1219" t="s">
        <v>1394</v>
      </c>
      <c r="B1219" s="1">
        <v>45876</v>
      </c>
      <c r="C1219" t="s">
        <v>229</v>
      </c>
      <c r="D1219" t="s">
        <v>54</v>
      </c>
      <c r="E1219" t="s">
        <v>64</v>
      </c>
      <c r="F1219" t="s">
        <v>54</v>
      </c>
      <c r="G1219">
        <v>336.79</v>
      </c>
      <c r="H1219" t="s">
        <v>98</v>
      </c>
      <c r="I1219" t="s">
        <v>36</v>
      </c>
      <c r="J1219" t="s">
        <v>56</v>
      </c>
    </row>
    <row r="1220" spans="1:10" x14ac:dyDescent="0.35">
      <c r="A1220" t="s">
        <v>1395</v>
      </c>
      <c r="B1220" s="1">
        <v>45876</v>
      </c>
      <c r="C1220" t="s">
        <v>281</v>
      </c>
      <c r="D1220" t="s">
        <v>34</v>
      </c>
      <c r="E1220" t="s">
        <v>40</v>
      </c>
      <c r="F1220" t="s">
        <v>14</v>
      </c>
      <c r="G1220">
        <v>263.27</v>
      </c>
      <c r="H1220" t="s">
        <v>15</v>
      </c>
      <c r="I1220" t="s">
        <v>22</v>
      </c>
      <c r="J1220" t="s">
        <v>123</v>
      </c>
    </row>
    <row r="1221" spans="1:10" x14ac:dyDescent="0.35">
      <c r="A1221" t="s">
        <v>1396</v>
      </c>
      <c r="B1221" s="1">
        <v>45877</v>
      </c>
      <c r="C1221" t="s">
        <v>243</v>
      </c>
      <c r="D1221" t="s">
        <v>101</v>
      </c>
      <c r="E1221" t="s">
        <v>244</v>
      </c>
      <c r="F1221" t="s">
        <v>14</v>
      </c>
      <c r="G1221">
        <v>38.22</v>
      </c>
      <c r="H1221" t="s">
        <v>15</v>
      </c>
      <c r="I1221" t="s">
        <v>36</v>
      </c>
      <c r="J1221" t="s">
        <v>102</v>
      </c>
    </row>
    <row r="1222" spans="1:10" x14ac:dyDescent="0.35">
      <c r="A1222" t="s">
        <v>1397</v>
      </c>
      <c r="B1222" s="1">
        <v>45877</v>
      </c>
      <c r="C1222" t="s">
        <v>143</v>
      </c>
      <c r="D1222" t="s">
        <v>54</v>
      </c>
      <c r="E1222" t="s">
        <v>55</v>
      </c>
      <c r="F1222" t="s">
        <v>54</v>
      </c>
      <c r="G1222">
        <v>707.49</v>
      </c>
      <c r="H1222" t="s">
        <v>15</v>
      </c>
      <c r="I1222" t="s">
        <v>22</v>
      </c>
      <c r="J1222" t="s">
        <v>89</v>
      </c>
    </row>
    <row r="1223" spans="1:10" x14ac:dyDescent="0.35">
      <c r="A1223" t="s">
        <v>1398</v>
      </c>
      <c r="B1223" s="1">
        <v>45877</v>
      </c>
      <c r="C1223" t="s">
        <v>53</v>
      </c>
      <c r="D1223" t="s">
        <v>54</v>
      </c>
      <c r="E1223" t="s">
        <v>55</v>
      </c>
      <c r="F1223" t="s">
        <v>54</v>
      </c>
      <c r="G1223">
        <v>713.44</v>
      </c>
      <c r="H1223" t="s">
        <v>15</v>
      </c>
      <c r="I1223" t="s">
        <v>36</v>
      </c>
      <c r="J1223" t="s">
        <v>56</v>
      </c>
    </row>
    <row r="1224" spans="1:10" x14ac:dyDescent="0.35">
      <c r="A1224" t="s">
        <v>1399</v>
      </c>
      <c r="B1224" s="1">
        <v>45877</v>
      </c>
      <c r="C1224" t="s">
        <v>53</v>
      </c>
      <c r="D1224" t="s">
        <v>54</v>
      </c>
      <c r="E1224" t="s">
        <v>55</v>
      </c>
      <c r="F1224" t="s">
        <v>54</v>
      </c>
      <c r="G1224">
        <v>779.53</v>
      </c>
      <c r="H1224" t="s">
        <v>15</v>
      </c>
      <c r="I1224" t="s">
        <v>36</v>
      </c>
      <c r="J1224" t="s">
        <v>56</v>
      </c>
    </row>
    <row r="1225" spans="1:10" x14ac:dyDescent="0.35">
      <c r="A1225" t="s">
        <v>1400</v>
      </c>
      <c r="B1225" s="1">
        <v>45877</v>
      </c>
      <c r="C1225" t="s">
        <v>125</v>
      </c>
      <c r="D1225" t="s">
        <v>12</v>
      </c>
      <c r="E1225" t="s">
        <v>13</v>
      </c>
      <c r="F1225" t="s">
        <v>14</v>
      </c>
      <c r="G1225">
        <v>15.24</v>
      </c>
      <c r="H1225" t="s">
        <v>15</v>
      </c>
      <c r="I1225" t="s">
        <v>22</v>
      </c>
      <c r="J1225" t="s">
        <v>44</v>
      </c>
    </row>
    <row r="1226" spans="1:10" x14ac:dyDescent="0.35">
      <c r="A1226" t="s">
        <v>1401</v>
      </c>
      <c r="B1226" s="1">
        <v>45877</v>
      </c>
      <c r="C1226" t="s">
        <v>184</v>
      </c>
      <c r="D1226" t="s">
        <v>59</v>
      </c>
      <c r="E1226" t="s">
        <v>185</v>
      </c>
      <c r="F1226" t="s">
        <v>14</v>
      </c>
      <c r="G1226">
        <v>115.34</v>
      </c>
      <c r="H1226" t="s">
        <v>15</v>
      </c>
      <c r="I1226" t="s">
        <v>36</v>
      </c>
      <c r="J1226" t="s">
        <v>61</v>
      </c>
    </row>
    <row r="1227" spans="1:10" x14ac:dyDescent="0.35">
      <c r="A1227" t="s">
        <v>1402</v>
      </c>
      <c r="B1227" s="1">
        <v>45878</v>
      </c>
      <c r="C1227" t="s">
        <v>281</v>
      </c>
      <c r="D1227" t="s">
        <v>34</v>
      </c>
      <c r="E1227" t="s">
        <v>40</v>
      </c>
      <c r="F1227" t="s">
        <v>14</v>
      </c>
      <c r="G1227">
        <v>67.489999999999995</v>
      </c>
      <c r="H1227" t="s">
        <v>21</v>
      </c>
      <c r="I1227" t="s">
        <v>36</v>
      </c>
      <c r="J1227" t="s">
        <v>123</v>
      </c>
    </row>
    <row r="1228" spans="1:10" x14ac:dyDescent="0.35">
      <c r="A1228" t="s">
        <v>1403</v>
      </c>
      <c r="B1228" s="1">
        <v>45878</v>
      </c>
      <c r="C1228" t="s">
        <v>259</v>
      </c>
      <c r="D1228" t="s">
        <v>59</v>
      </c>
      <c r="E1228" t="s">
        <v>199</v>
      </c>
      <c r="F1228" t="s">
        <v>14</v>
      </c>
      <c r="G1228">
        <v>286.44</v>
      </c>
      <c r="H1228" t="s">
        <v>21</v>
      </c>
      <c r="I1228" t="s">
        <v>36</v>
      </c>
      <c r="J1228" t="s">
        <v>170</v>
      </c>
    </row>
    <row r="1229" spans="1:10" x14ac:dyDescent="0.35">
      <c r="A1229" t="s">
        <v>1404</v>
      </c>
      <c r="B1229" s="1">
        <v>45878</v>
      </c>
      <c r="C1229" t="s">
        <v>210</v>
      </c>
      <c r="D1229" t="s">
        <v>59</v>
      </c>
      <c r="E1229" t="s">
        <v>185</v>
      </c>
      <c r="F1229" t="s">
        <v>14</v>
      </c>
      <c r="G1229">
        <v>213.72</v>
      </c>
      <c r="H1229" t="s">
        <v>15</v>
      </c>
      <c r="I1229" t="s">
        <v>22</v>
      </c>
      <c r="J1229" t="s">
        <v>211</v>
      </c>
    </row>
    <row r="1230" spans="1:10" x14ac:dyDescent="0.35">
      <c r="A1230" t="s">
        <v>1405</v>
      </c>
      <c r="B1230" s="1">
        <v>45878</v>
      </c>
      <c r="C1230" t="s">
        <v>331</v>
      </c>
      <c r="D1230" t="s">
        <v>29</v>
      </c>
      <c r="E1230" t="s">
        <v>95</v>
      </c>
      <c r="F1230" t="s">
        <v>14</v>
      </c>
      <c r="G1230">
        <v>76.47</v>
      </c>
      <c r="H1230" t="s">
        <v>15</v>
      </c>
      <c r="I1230" t="s">
        <v>36</v>
      </c>
      <c r="J1230" t="s">
        <v>151</v>
      </c>
    </row>
    <row r="1231" spans="1:10" x14ac:dyDescent="0.35">
      <c r="A1231" t="s">
        <v>1406</v>
      </c>
      <c r="B1231" s="1">
        <v>45878</v>
      </c>
      <c r="C1231" t="s">
        <v>272</v>
      </c>
      <c r="D1231" t="s">
        <v>54</v>
      </c>
      <c r="E1231" t="s">
        <v>55</v>
      </c>
      <c r="F1231" t="s">
        <v>54</v>
      </c>
      <c r="G1231">
        <v>685.93</v>
      </c>
      <c r="H1231" t="s">
        <v>15</v>
      </c>
      <c r="I1231" t="s">
        <v>22</v>
      </c>
      <c r="J1231" t="s">
        <v>65</v>
      </c>
    </row>
    <row r="1232" spans="1:10" x14ac:dyDescent="0.35">
      <c r="A1232" t="s">
        <v>1407</v>
      </c>
      <c r="B1232" s="1">
        <v>45878</v>
      </c>
      <c r="C1232" t="s">
        <v>415</v>
      </c>
      <c r="D1232" t="s">
        <v>12</v>
      </c>
      <c r="E1232" t="s">
        <v>51</v>
      </c>
      <c r="F1232" t="s">
        <v>14</v>
      </c>
      <c r="G1232">
        <v>155.1</v>
      </c>
      <c r="H1232" t="s">
        <v>15</v>
      </c>
      <c r="I1232" t="s">
        <v>22</v>
      </c>
      <c r="J1232" t="s">
        <v>77</v>
      </c>
    </row>
    <row r="1233" spans="1:10" x14ac:dyDescent="0.35">
      <c r="A1233" t="s">
        <v>1408</v>
      </c>
      <c r="B1233" s="1">
        <v>45878</v>
      </c>
      <c r="C1233" t="s">
        <v>206</v>
      </c>
      <c r="D1233" t="s">
        <v>29</v>
      </c>
      <c r="E1233" t="s">
        <v>95</v>
      </c>
      <c r="F1233" t="s">
        <v>14</v>
      </c>
      <c r="G1233">
        <v>11.23</v>
      </c>
      <c r="H1233" t="s">
        <v>15</v>
      </c>
      <c r="I1233" t="s">
        <v>22</v>
      </c>
      <c r="J1233" t="s">
        <v>31</v>
      </c>
    </row>
    <row r="1234" spans="1:10" x14ac:dyDescent="0.35">
      <c r="A1234" t="s">
        <v>1409</v>
      </c>
      <c r="B1234" s="1">
        <v>45878</v>
      </c>
      <c r="C1234" t="s">
        <v>415</v>
      </c>
      <c r="D1234" t="s">
        <v>12</v>
      </c>
      <c r="E1234" t="s">
        <v>51</v>
      </c>
      <c r="F1234" t="s">
        <v>14</v>
      </c>
      <c r="G1234">
        <v>66.709999999999994</v>
      </c>
      <c r="H1234" t="s">
        <v>98</v>
      </c>
      <c r="I1234" t="s">
        <v>36</v>
      </c>
      <c r="J1234" t="s">
        <v>77</v>
      </c>
    </row>
    <row r="1235" spans="1:10" x14ac:dyDescent="0.35">
      <c r="A1235" t="s">
        <v>1410</v>
      </c>
      <c r="B1235" s="1">
        <v>45879</v>
      </c>
      <c r="C1235" t="s">
        <v>177</v>
      </c>
      <c r="D1235" t="s">
        <v>54</v>
      </c>
      <c r="E1235" t="s">
        <v>74</v>
      </c>
      <c r="F1235" t="s">
        <v>54</v>
      </c>
      <c r="G1235">
        <v>3091.41</v>
      </c>
      <c r="H1235" t="s">
        <v>15</v>
      </c>
      <c r="I1235" t="s">
        <v>47</v>
      </c>
      <c r="J1235" t="s">
        <v>56</v>
      </c>
    </row>
    <row r="1236" spans="1:10" x14ac:dyDescent="0.35">
      <c r="A1236" t="s">
        <v>1411</v>
      </c>
      <c r="B1236" s="1">
        <v>45879</v>
      </c>
      <c r="C1236" t="s">
        <v>424</v>
      </c>
      <c r="D1236" t="s">
        <v>101</v>
      </c>
      <c r="E1236" t="s">
        <v>136</v>
      </c>
      <c r="F1236" t="s">
        <v>14</v>
      </c>
      <c r="G1236">
        <v>29.69</v>
      </c>
      <c r="H1236" t="s">
        <v>21</v>
      </c>
      <c r="I1236" t="s">
        <v>22</v>
      </c>
      <c r="J1236" t="s">
        <v>102</v>
      </c>
    </row>
    <row r="1237" spans="1:10" x14ac:dyDescent="0.35">
      <c r="A1237" t="s">
        <v>1412</v>
      </c>
      <c r="B1237" s="1">
        <v>45879</v>
      </c>
      <c r="C1237" t="s">
        <v>143</v>
      </c>
      <c r="D1237" t="s">
        <v>54</v>
      </c>
      <c r="E1237" t="s">
        <v>55</v>
      </c>
      <c r="F1237" t="s">
        <v>54</v>
      </c>
      <c r="G1237">
        <v>640.29999999999995</v>
      </c>
      <c r="H1237" t="s">
        <v>15</v>
      </c>
      <c r="I1237" t="s">
        <v>22</v>
      </c>
      <c r="J1237" t="s">
        <v>89</v>
      </c>
    </row>
    <row r="1238" spans="1:10" x14ac:dyDescent="0.35">
      <c r="A1238" t="s">
        <v>1413</v>
      </c>
      <c r="B1238" s="1">
        <v>45880</v>
      </c>
      <c r="C1238" t="s">
        <v>229</v>
      </c>
      <c r="D1238" t="s">
        <v>54</v>
      </c>
      <c r="E1238" t="s">
        <v>64</v>
      </c>
      <c r="F1238" t="s">
        <v>54</v>
      </c>
      <c r="G1238">
        <v>356.2</v>
      </c>
      <c r="H1238" t="s">
        <v>21</v>
      </c>
      <c r="I1238" t="s">
        <v>22</v>
      </c>
      <c r="J1238" t="s">
        <v>56</v>
      </c>
    </row>
    <row r="1239" spans="1:10" x14ac:dyDescent="0.35">
      <c r="A1239" t="s">
        <v>1414</v>
      </c>
      <c r="B1239" s="1">
        <v>45880</v>
      </c>
      <c r="C1239" t="s">
        <v>227</v>
      </c>
      <c r="D1239" t="s">
        <v>12</v>
      </c>
      <c r="E1239" t="s">
        <v>51</v>
      </c>
      <c r="F1239" t="s">
        <v>14</v>
      </c>
      <c r="G1239">
        <v>36.96</v>
      </c>
      <c r="H1239" t="s">
        <v>15</v>
      </c>
      <c r="I1239" t="s">
        <v>22</v>
      </c>
      <c r="J1239" t="s">
        <v>17</v>
      </c>
    </row>
    <row r="1240" spans="1:10" x14ac:dyDescent="0.35">
      <c r="A1240" t="s">
        <v>1415</v>
      </c>
      <c r="B1240" s="1">
        <v>45880</v>
      </c>
      <c r="C1240" t="s">
        <v>424</v>
      </c>
      <c r="D1240" t="s">
        <v>101</v>
      </c>
      <c r="E1240" t="s">
        <v>136</v>
      </c>
      <c r="F1240" t="s">
        <v>14</v>
      </c>
      <c r="G1240">
        <v>68.84</v>
      </c>
      <c r="H1240" t="s">
        <v>15</v>
      </c>
      <c r="I1240" t="s">
        <v>16</v>
      </c>
      <c r="J1240" t="s">
        <v>102</v>
      </c>
    </row>
    <row r="1241" spans="1:10" x14ac:dyDescent="0.35">
      <c r="A1241" t="s">
        <v>1416</v>
      </c>
      <c r="B1241" s="1">
        <v>45880</v>
      </c>
      <c r="C1241" t="s">
        <v>350</v>
      </c>
      <c r="D1241" t="s">
        <v>29</v>
      </c>
      <c r="E1241" t="s">
        <v>151</v>
      </c>
      <c r="F1241" t="s">
        <v>14</v>
      </c>
      <c r="G1241">
        <v>11.22</v>
      </c>
      <c r="H1241" t="s">
        <v>21</v>
      </c>
      <c r="I1241" t="s">
        <v>22</v>
      </c>
      <c r="J1241" t="s">
        <v>158</v>
      </c>
    </row>
    <row r="1242" spans="1:10" x14ac:dyDescent="0.35">
      <c r="A1242" t="s">
        <v>1417</v>
      </c>
      <c r="B1242" s="1">
        <v>45880</v>
      </c>
      <c r="C1242" t="s">
        <v>25</v>
      </c>
      <c r="D1242" t="s">
        <v>12</v>
      </c>
      <c r="E1242" t="s">
        <v>26</v>
      </c>
      <c r="F1242" t="s">
        <v>14</v>
      </c>
      <c r="G1242">
        <v>55.84</v>
      </c>
      <c r="H1242" t="s">
        <v>15</v>
      </c>
      <c r="I1242" t="s">
        <v>22</v>
      </c>
      <c r="J1242" t="s">
        <v>17</v>
      </c>
    </row>
    <row r="1243" spans="1:10" x14ac:dyDescent="0.35">
      <c r="A1243" t="s">
        <v>1418</v>
      </c>
      <c r="B1243" s="1">
        <v>45880</v>
      </c>
      <c r="C1243" t="s">
        <v>125</v>
      </c>
      <c r="D1243" t="s">
        <v>12</v>
      </c>
      <c r="E1243" t="s">
        <v>13</v>
      </c>
      <c r="F1243" t="s">
        <v>14</v>
      </c>
      <c r="G1243">
        <v>46.83</v>
      </c>
      <c r="H1243" t="s">
        <v>15</v>
      </c>
      <c r="I1243" t="s">
        <v>22</v>
      </c>
      <c r="J1243" t="s">
        <v>44</v>
      </c>
    </row>
    <row r="1244" spans="1:10" x14ac:dyDescent="0.35">
      <c r="A1244" t="s">
        <v>1419</v>
      </c>
      <c r="B1244" s="1">
        <v>45880</v>
      </c>
      <c r="C1244" t="s">
        <v>19</v>
      </c>
      <c r="D1244" t="s">
        <v>12</v>
      </c>
      <c r="E1244" t="s">
        <v>13</v>
      </c>
      <c r="F1244" t="s">
        <v>14</v>
      </c>
      <c r="G1244">
        <v>104.12</v>
      </c>
      <c r="H1244" t="s">
        <v>15</v>
      </c>
      <c r="I1244" t="s">
        <v>22</v>
      </c>
      <c r="J1244" t="s">
        <v>23</v>
      </c>
    </row>
    <row r="1245" spans="1:10" x14ac:dyDescent="0.35">
      <c r="A1245" t="s">
        <v>1420</v>
      </c>
      <c r="B1245" s="1">
        <v>45881</v>
      </c>
      <c r="C1245" t="s">
        <v>206</v>
      </c>
      <c r="D1245" t="s">
        <v>29</v>
      </c>
      <c r="E1245" t="s">
        <v>95</v>
      </c>
      <c r="F1245" t="s">
        <v>14</v>
      </c>
      <c r="G1245">
        <v>54.36</v>
      </c>
      <c r="H1245" t="s">
        <v>15</v>
      </c>
      <c r="I1245" t="s">
        <v>47</v>
      </c>
      <c r="J1245" t="s">
        <v>31</v>
      </c>
    </row>
    <row r="1246" spans="1:10" x14ac:dyDescent="0.35">
      <c r="A1246" t="s">
        <v>1421</v>
      </c>
      <c r="B1246" s="1">
        <v>45881</v>
      </c>
      <c r="C1246" t="s">
        <v>19</v>
      </c>
      <c r="D1246" t="s">
        <v>12</v>
      </c>
      <c r="E1246" t="s">
        <v>13</v>
      </c>
      <c r="F1246" t="s">
        <v>14</v>
      </c>
      <c r="G1246">
        <v>167.2</v>
      </c>
      <c r="H1246" t="s">
        <v>21</v>
      </c>
      <c r="I1246" t="s">
        <v>36</v>
      </c>
      <c r="J1246" t="s">
        <v>23</v>
      </c>
    </row>
    <row r="1247" spans="1:10" x14ac:dyDescent="0.35">
      <c r="A1247" t="s">
        <v>1422</v>
      </c>
      <c r="B1247" s="1">
        <v>45881</v>
      </c>
      <c r="C1247" t="s">
        <v>130</v>
      </c>
      <c r="D1247" t="s">
        <v>12</v>
      </c>
      <c r="E1247" t="s">
        <v>26</v>
      </c>
      <c r="F1247" t="s">
        <v>14</v>
      </c>
      <c r="G1247">
        <v>48.72</v>
      </c>
      <c r="H1247" t="s">
        <v>15</v>
      </c>
      <c r="I1247" t="s">
        <v>22</v>
      </c>
      <c r="J1247" t="s">
        <v>48</v>
      </c>
    </row>
    <row r="1248" spans="1:10" x14ac:dyDescent="0.35">
      <c r="A1248" t="s">
        <v>1423</v>
      </c>
      <c r="B1248" s="1">
        <v>45881</v>
      </c>
      <c r="C1248" t="s">
        <v>46</v>
      </c>
      <c r="D1248" t="s">
        <v>12</v>
      </c>
      <c r="E1248" t="s">
        <v>13</v>
      </c>
      <c r="F1248" t="s">
        <v>14</v>
      </c>
      <c r="G1248">
        <v>83.34</v>
      </c>
      <c r="H1248" t="s">
        <v>15</v>
      </c>
      <c r="I1248" t="s">
        <v>16</v>
      </c>
      <c r="J1248" t="s">
        <v>48</v>
      </c>
    </row>
    <row r="1249" spans="1:10" x14ac:dyDescent="0.35">
      <c r="A1249" t="s">
        <v>1424</v>
      </c>
      <c r="B1249" s="1">
        <v>45881</v>
      </c>
      <c r="C1249" t="s">
        <v>73</v>
      </c>
      <c r="D1249" t="s">
        <v>54</v>
      </c>
      <c r="E1249" t="s">
        <v>74</v>
      </c>
      <c r="F1249" t="s">
        <v>54</v>
      </c>
      <c r="G1249">
        <v>2348.41</v>
      </c>
      <c r="H1249" t="s">
        <v>21</v>
      </c>
      <c r="I1249" t="s">
        <v>22</v>
      </c>
      <c r="J1249" t="s">
        <v>65</v>
      </c>
    </row>
    <row r="1250" spans="1:10" x14ac:dyDescent="0.35">
      <c r="A1250" t="s">
        <v>1425</v>
      </c>
      <c r="B1250" s="1">
        <v>45881</v>
      </c>
      <c r="C1250" t="s">
        <v>204</v>
      </c>
      <c r="D1250" t="s">
        <v>12</v>
      </c>
      <c r="E1250" t="s">
        <v>51</v>
      </c>
      <c r="F1250" t="s">
        <v>14</v>
      </c>
      <c r="G1250">
        <v>58.69</v>
      </c>
      <c r="H1250" t="s">
        <v>21</v>
      </c>
      <c r="I1250" t="s">
        <v>47</v>
      </c>
      <c r="J1250" t="s">
        <v>23</v>
      </c>
    </row>
    <row r="1251" spans="1:10" x14ac:dyDescent="0.35">
      <c r="A1251" t="s">
        <v>1426</v>
      </c>
      <c r="B1251" s="1">
        <v>45882</v>
      </c>
      <c r="C1251" t="s">
        <v>262</v>
      </c>
      <c r="D1251" t="s">
        <v>101</v>
      </c>
      <c r="E1251" t="s">
        <v>244</v>
      </c>
      <c r="F1251" t="s">
        <v>14</v>
      </c>
      <c r="G1251">
        <v>35.200000000000003</v>
      </c>
      <c r="H1251" t="s">
        <v>15</v>
      </c>
      <c r="I1251" t="s">
        <v>22</v>
      </c>
      <c r="J1251" t="s">
        <v>136</v>
      </c>
    </row>
    <row r="1252" spans="1:10" x14ac:dyDescent="0.35">
      <c r="A1252" t="s">
        <v>1427</v>
      </c>
      <c r="B1252" s="1">
        <v>45882</v>
      </c>
      <c r="C1252" t="s">
        <v>572</v>
      </c>
      <c r="D1252" t="s">
        <v>69</v>
      </c>
      <c r="E1252" t="s">
        <v>233</v>
      </c>
      <c r="F1252" t="s">
        <v>14</v>
      </c>
      <c r="G1252">
        <v>340.43</v>
      </c>
      <c r="H1252" t="s">
        <v>98</v>
      </c>
      <c r="I1252" t="s">
        <v>36</v>
      </c>
      <c r="J1252" t="s">
        <v>292</v>
      </c>
    </row>
    <row r="1253" spans="1:10" x14ac:dyDescent="0.35">
      <c r="A1253" t="s">
        <v>1428</v>
      </c>
      <c r="B1253" s="1">
        <v>45882</v>
      </c>
      <c r="C1253" t="s">
        <v>281</v>
      </c>
      <c r="D1253" t="s">
        <v>34</v>
      </c>
      <c r="E1253" t="s">
        <v>40</v>
      </c>
      <c r="F1253" t="s">
        <v>14</v>
      </c>
      <c r="G1253">
        <v>34.56</v>
      </c>
      <c r="H1253" t="s">
        <v>21</v>
      </c>
      <c r="I1253" t="s">
        <v>36</v>
      </c>
      <c r="J1253" t="s">
        <v>123</v>
      </c>
    </row>
    <row r="1254" spans="1:10" x14ac:dyDescent="0.35">
      <c r="A1254" t="s">
        <v>1429</v>
      </c>
      <c r="B1254" s="1">
        <v>45882</v>
      </c>
      <c r="C1254" t="s">
        <v>25</v>
      </c>
      <c r="D1254" t="s">
        <v>12</v>
      </c>
      <c r="E1254" t="s">
        <v>26</v>
      </c>
      <c r="F1254" t="s">
        <v>14</v>
      </c>
      <c r="G1254">
        <v>15.42</v>
      </c>
      <c r="H1254" t="s">
        <v>15</v>
      </c>
      <c r="I1254" t="s">
        <v>47</v>
      </c>
      <c r="J1254" t="s">
        <v>17</v>
      </c>
    </row>
    <row r="1255" spans="1:10" x14ac:dyDescent="0.35">
      <c r="A1255" t="s">
        <v>1430</v>
      </c>
      <c r="B1255" s="1">
        <v>45882</v>
      </c>
      <c r="C1255" t="s">
        <v>177</v>
      </c>
      <c r="D1255" t="s">
        <v>54</v>
      </c>
      <c r="E1255" t="s">
        <v>74</v>
      </c>
      <c r="F1255" t="s">
        <v>54</v>
      </c>
      <c r="G1255">
        <v>2557.5</v>
      </c>
      <c r="H1255" t="s">
        <v>15</v>
      </c>
      <c r="I1255" t="s">
        <v>22</v>
      </c>
      <c r="J1255" t="s">
        <v>56</v>
      </c>
    </row>
    <row r="1256" spans="1:10" x14ac:dyDescent="0.35">
      <c r="A1256" t="s">
        <v>1431</v>
      </c>
      <c r="B1256" s="1">
        <v>45882</v>
      </c>
      <c r="C1256" t="s">
        <v>172</v>
      </c>
      <c r="D1256" t="s">
        <v>101</v>
      </c>
      <c r="E1256" t="s">
        <v>102</v>
      </c>
      <c r="F1256" t="s">
        <v>14</v>
      </c>
      <c r="G1256">
        <v>28.76</v>
      </c>
      <c r="H1256" t="s">
        <v>15</v>
      </c>
      <c r="I1256" t="s">
        <v>22</v>
      </c>
      <c r="J1256" t="s">
        <v>102</v>
      </c>
    </row>
    <row r="1257" spans="1:10" x14ac:dyDescent="0.35">
      <c r="A1257" t="s">
        <v>1432</v>
      </c>
      <c r="B1257" s="1">
        <v>45882</v>
      </c>
      <c r="C1257" t="s">
        <v>157</v>
      </c>
      <c r="D1257" t="s">
        <v>29</v>
      </c>
      <c r="E1257" t="s">
        <v>95</v>
      </c>
      <c r="F1257" t="s">
        <v>14</v>
      </c>
      <c r="G1257">
        <v>12.05</v>
      </c>
      <c r="H1257" t="s">
        <v>15</v>
      </c>
      <c r="I1257" t="s">
        <v>36</v>
      </c>
      <c r="J1257" t="s">
        <v>158</v>
      </c>
    </row>
    <row r="1258" spans="1:10" x14ac:dyDescent="0.35">
      <c r="A1258" t="s">
        <v>1433</v>
      </c>
      <c r="B1258" s="1">
        <v>45882</v>
      </c>
      <c r="C1258" t="s">
        <v>347</v>
      </c>
      <c r="D1258" t="s">
        <v>29</v>
      </c>
      <c r="E1258" t="s">
        <v>151</v>
      </c>
      <c r="F1258" t="s">
        <v>14</v>
      </c>
      <c r="G1258">
        <v>29.44</v>
      </c>
      <c r="H1258" t="s">
        <v>15</v>
      </c>
      <c r="I1258" t="s">
        <v>36</v>
      </c>
      <c r="J1258" t="s">
        <v>96</v>
      </c>
    </row>
    <row r="1259" spans="1:10" x14ac:dyDescent="0.35">
      <c r="A1259" t="s">
        <v>1434</v>
      </c>
      <c r="B1259" s="1">
        <v>45883</v>
      </c>
      <c r="C1259" t="s">
        <v>206</v>
      </c>
      <c r="D1259" t="s">
        <v>29</v>
      </c>
      <c r="E1259" t="s">
        <v>95</v>
      </c>
      <c r="F1259" t="s">
        <v>14</v>
      </c>
      <c r="G1259">
        <v>25.89</v>
      </c>
      <c r="H1259" t="s">
        <v>21</v>
      </c>
      <c r="I1259" t="s">
        <v>36</v>
      </c>
      <c r="J1259" t="s">
        <v>31</v>
      </c>
    </row>
    <row r="1260" spans="1:10" x14ac:dyDescent="0.35">
      <c r="A1260" t="s">
        <v>1435</v>
      </c>
      <c r="B1260" s="1">
        <v>45883</v>
      </c>
      <c r="C1260" t="s">
        <v>130</v>
      </c>
      <c r="D1260" t="s">
        <v>12</v>
      </c>
      <c r="E1260" t="s">
        <v>26</v>
      </c>
      <c r="F1260" t="s">
        <v>14</v>
      </c>
      <c r="G1260">
        <v>36.049999999999997</v>
      </c>
      <c r="H1260" t="s">
        <v>15</v>
      </c>
      <c r="I1260" t="s">
        <v>47</v>
      </c>
      <c r="J1260" t="s">
        <v>48</v>
      </c>
    </row>
    <row r="1261" spans="1:10" x14ac:dyDescent="0.35">
      <c r="A1261" t="s">
        <v>1436</v>
      </c>
      <c r="B1261" s="1">
        <v>45883</v>
      </c>
      <c r="C1261" t="s">
        <v>143</v>
      </c>
      <c r="D1261" t="s">
        <v>54</v>
      </c>
      <c r="E1261" t="s">
        <v>55</v>
      </c>
      <c r="F1261" t="s">
        <v>54</v>
      </c>
      <c r="G1261">
        <v>695.42</v>
      </c>
      <c r="H1261" t="s">
        <v>15</v>
      </c>
      <c r="I1261" t="s">
        <v>22</v>
      </c>
      <c r="J1261" t="s">
        <v>89</v>
      </c>
    </row>
    <row r="1262" spans="1:10" x14ac:dyDescent="0.35">
      <c r="A1262" t="s">
        <v>1437</v>
      </c>
      <c r="B1262" s="1">
        <v>45883</v>
      </c>
      <c r="C1262" t="s">
        <v>53</v>
      </c>
      <c r="D1262" t="s">
        <v>54</v>
      </c>
      <c r="E1262" t="s">
        <v>55</v>
      </c>
      <c r="F1262" t="s">
        <v>54</v>
      </c>
      <c r="G1262">
        <v>691.91</v>
      </c>
      <c r="H1262" t="s">
        <v>21</v>
      </c>
      <c r="I1262" t="s">
        <v>36</v>
      </c>
      <c r="J1262" t="s">
        <v>56</v>
      </c>
    </row>
    <row r="1263" spans="1:10" x14ac:dyDescent="0.35">
      <c r="A1263" t="s">
        <v>1438</v>
      </c>
      <c r="B1263" s="1">
        <v>45883</v>
      </c>
      <c r="C1263" t="s">
        <v>308</v>
      </c>
      <c r="D1263" t="s">
        <v>54</v>
      </c>
      <c r="E1263" t="s">
        <v>64</v>
      </c>
      <c r="F1263" t="s">
        <v>54</v>
      </c>
      <c r="G1263">
        <v>317.17</v>
      </c>
      <c r="H1263" t="s">
        <v>15</v>
      </c>
      <c r="I1263" t="s">
        <v>36</v>
      </c>
      <c r="J1263" t="s">
        <v>89</v>
      </c>
    </row>
    <row r="1264" spans="1:10" x14ac:dyDescent="0.35">
      <c r="A1264" t="s">
        <v>1439</v>
      </c>
      <c r="B1264" s="1">
        <v>45883</v>
      </c>
      <c r="C1264" t="s">
        <v>175</v>
      </c>
      <c r="D1264" t="s">
        <v>80</v>
      </c>
      <c r="E1264" t="s">
        <v>92</v>
      </c>
      <c r="F1264" t="s">
        <v>14</v>
      </c>
      <c r="G1264">
        <v>20.2</v>
      </c>
      <c r="H1264" t="s">
        <v>98</v>
      </c>
      <c r="I1264" t="s">
        <v>22</v>
      </c>
      <c r="J1264" t="s">
        <v>141</v>
      </c>
    </row>
    <row r="1265" spans="1:10" x14ac:dyDescent="0.35">
      <c r="A1265" t="s">
        <v>1440</v>
      </c>
      <c r="B1265" s="1">
        <v>45884</v>
      </c>
      <c r="C1265" t="s">
        <v>734</v>
      </c>
      <c r="D1265" t="s">
        <v>69</v>
      </c>
      <c r="E1265" t="s">
        <v>291</v>
      </c>
      <c r="F1265" t="s">
        <v>14</v>
      </c>
      <c r="G1265">
        <v>403.77</v>
      </c>
      <c r="H1265" t="s">
        <v>15</v>
      </c>
      <c r="I1265" t="s">
        <v>47</v>
      </c>
      <c r="J1265" t="s">
        <v>71</v>
      </c>
    </row>
    <row r="1266" spans="1:10" x14ac:dyDescent="0.35">
      <c r="A1266" t="s">
        <v>1441</v>
      </c>
      <c r="B1266" s="1">
        <v>45884</v>
      </c>
      <c r="C1266" t="s">
        <v>43</v>
      </c>
      <c r="D1266" t="s">
        <v>12</v>
      </c>
      <c r="E1266" t="s">
        <v>26</v>
      </c>
      <c r="F1266" t="s">
        <v>14</v>
      </c>
      <c r="G1266">
        <v>24.31</v>
      </c>
      <c r="H1266" t="s">
        <v>15</v>
      </c>
      <c r="I1266" t="s">
        <v>47</v>
      </c>
      <c r="J1266" t="s">
        <v>44</v>
      </c>
    </row>
    <row r="1267" spans="1:10" x14ac:dyDescent="0.35">
      <c r="A1267" t="s">
        <v>1442</v>
      </c>
      <c r="B1267" s="1">
        <v>45884</v>
      </c>
      <c r="C1267" t="s">
        <v>395</v>
      </c>
      <c r="D1267" t="s">
        <v>69</v>
      </c>
      <c r="E1267" t="s">
        <v>291</v>
      </c>
      <c r="F1267" t="s">
        <v>14</v>
      </c>
      <c r="G1267">
        <v>803.96</v>
      </c>
      <c r="H1267" t="s">
        <v>21</v>
      </c>
      <c r="I1267" t="s">
        <v>36</v>
      </c>
      <c r="J1267" t="s">
        <v>396</v>
      </c>
    </row>
    <row r="1268" spans="1:10" x14ac:dyDescent="0.35">
      <c r="A1268" t="s">
        <v>1443</v>
      </c>
      <c r="B1268" s="1">
        <v>45884</v>
      </c>
      <c r="C1268" t="s">
        <v>281</v>
      </c>
      <c r="D1268" t="s">
        <v>34</v>
      </c>
      <c r="E1268" t="s">
        <v>40</v>
      </c>
      <c r="F1268" t="s">
        <v>14</v>
      </c>
      <c r="G1268">
        <v>147.37</v>
      </c>
      <c r="H1268" t="s">
        <v>15</v>
      </c>
      <c r="I1268" t="s">
        <v>47</v>
      </c>
      <c r="J1268" t="s">
        <v>123</v>
      </c>
    </row>
    <row r="1269" spans="1:10" x14ac:dyDescent="0.35">
      <c r="A1269" t="s">
        <v>1444</v>
      </c>
      <c r="B1269" s="1">
        <v>45884</v>
      </c>
      <c r="C1269" t="s">
        <v>445</v>
      </c>
      <c r="D1269" t="s">
        <v>101</v>
      </c>
      <c r="E1269" t="s">
        <v>244</v>
      </c>
      <c r="F1269" t="s">
        <v>14</v>
      </c>
      <c r="G1269">
        <v>32.5</v>
      </c>
      <c r="H1269" t="s">
        <v>21</v>
      </c>
      <c r="I1269" t="s">
        <v>47</v>
      </c>
      <c r="J1269" t="s">
        <v>103</v>
      </c>
    </row>
    <row r="1270" spans="1:10" x14ac:dyDescent="0.35">
      <c r="A1270" t="s">
        <v>1445</v>
      </c>
      <c r="B1270" s="1">
        <v>45884</v>
      </c>
      <c r="C1270" t="s">
        <v>464</v>
      </c>
      <c r="D1270" t="s">
        <v>34</v>
      </c>
      <c r="E1270" t="s">
        <v>122</v>
      </c>
      <c r="F1270" t="s">
        <v>14</v>
      </c>
      <c r="G1270">
        <v>89.7</v>
      </c>
      <c r="H1270" t="s">
        <v>15</v>
      </c>
      <c r="I1270" t="s">
        <v>22</v>
      </c>
      <c r="J1270" t="s">
        <v>239</v>
      </c>
    </row>
    <row r="1271" spans="1:10" x14ac:dyDescent="0.35">
      <c r="A1271" t="s">
        <v>1446</v>
      </c>
      <c r="B1271" s="1">
        <v>45885</v>
      </c>
      <c r="C1271" t="s">
        <v>296</v>
      </c>
      <c r="D1271" t="s">
        <v>101</v>
      </c>
      <c r="E1271" t="s">
        <v>136</v>
      </c>
      <c r="F1271" t="s">
        <v>14</v>
      </c>
      <c r="G1271">
        <v>96.16</v>
      </c>
      <c r="H1271" t="s">
        <v>15</v>
      </c>
      <c r="I1271" t="s">
        <v>47</v>
      </c>
      <c r="J1271" t="s">
        <v>136</v>
      </c>
    </row>
    <row r="1272" spans="1:10" x14ac:dyDescent="0.35">
      <c r="A1272" t="s">
        <v>1447</v>
      </c>
      <c r="B1272" s="1">
        <v>45885</v>
      </c>
      <c r="C1272" t="s">
        <v>267</v>
      </c>
      <c r="D1272" t="s">
        <v>29</v>
      </c>
      <c r="E1272" t="s">
        <v>30</v>
      </c>
      <c r="F1272" t="s">
        <v>14</v>
      </c>
      <c r="G1272">
        <v>15.47</v>
      </c>
      <c r="H1272" t="s">
        <v>15</v>
      </c>
      <c r="I1272" t="s">
        <v>22</v>
      </c>
      <c r="J1272" t="s">
        <v>96</v>
      </c>
    </row>
    <row r="1273" spans="1:10" x14ac:dyDescent="0.35">
      <c r="A1273" t="s">
        <v>1448</v>
      </c>
      <c r="B1273" s="1">
        <v>45885</v>
      </c>
      <c r="C1273" t="s">
        <v>347</v>
      </c>
      <c r="D1273" t="s">
        <v>29</v>
      </c>
      <c r="E1273" t="s">
        <v>151</v>
      </c>
      <c r="F1273" t="s">
        <v>14</v>
      </c>
      <c r="G1273">
        <v>27.92</v>
      </c>
      <c r="H1273" t="s">
        <v>21</v>
      </c>
      <c r="I1273" t="s">
        <v>22</v>
      </c>
      <c r="J1273" t="s">
        <v>96</v>
      </c>
    </row>
    <row r="1274" spans="1:10" x14ac:dyDescent="0.35">
      <c r="A1274" t="s">
        <v>1449</v>
      </c>
      <c r="B1274" s="1">
        <v>45885</v>
      </c>
      <c r="C1274" t="s">
        <v>189</v>
      </c>
      <c r="D1274" t="s">
        <v>34</v>
      </c>
      <c r="E1274" t="s">
        <v>122</v>
      </c>
      <c r="F1274" t="s">
        <v>14</v>
      </c>
      <c r="G1274">
        <v>98.15</v>
      </c>
      <c r="H1274" t="s">
        <v>21</v>
      </c>
      <c r="I1274" t="s">
        <v>47</v>
      </c>
      <c r="J1274" t="s">
        <v>37</v>
      </c>
    </row>
    <row r="1275" spans="1:10" x14ac:dyDescent="0.35">
      <c r="A1275" t="s">
        <v>1450</v>
      </c>
      <c r="B1275" s="1">
        <v>45885</v>
      </c>
      <c r="C1275" t="s">
        <v>73</v>
      </c>
      <c r="D1275" t="s">
        <v>54</v>
      </c>
      <c r="E1275" t="s">
        <v>74</v>
      </c>
      <c r="F1275" t="s">
        <v>54</v>
      </c>
      <c r="G1275">
        <v>2360.08</v>
      </c>
      <c r="H1275" t="s">
        <v>21</v>
      </c>
      <c r="I1275" t="s">
        <v>47</v>
      </c>
      <c r="J1275" t="s">
        <v>65</v>
      </c>
    </row>
    <row r="1276" spans="1:10" x14ac:dyDescent="0.35">
      <c r="A1276" t="s">
        <v>1451</v>
      </c>
      <c r="B1276" s="1">
        <v>45885</v>
      </c>
      <c r="C1276" t="s">
        <v>204</v>
      </c>
      <c r="D1276" t="s">
        <v>12</v>
      </c>
      <c r="E1276" t="s">
        <v>51</v>
      </c>
      <c r="F1276" t="s">
        <v>14</v>
      </c>
      <c r="G1276">
        <v>69.94</v>
      </c>
      <c r="H1276" t="s">
        <v>15</v>
      </c>
      <c r="I1276" t="s">
        <v>47</v>
      </c>
      <c r="J1276" t="s">
        <v>23</v>
      </c>
    </row>
    <row r="1277" spans="1:10" x14ac:dyDescent="0.35">
      <c r="A1277" t="s">
        <v>1452</v>
      </c>
      <c r="B1277" s="1">
        <v>45885</v>
      </c>
      <c r="C1277" t="s">
        <v>184</v>
      </c>
      <c r="D1277" t="s">
        <v>59</v>
      </c>
      <c r="E1277" t="s">
        <v>185</v>
      </c>
      <c r="F1277" t="s">
        <v>14</v>
      </c>
      <c r="G1277">
        <v>321.36</v>
      </c>
      <c r="H1277" t="s">
        <v>15</v>
      </c>
      <c r="I1277" t="s">
        <v>22</v>
      </c>
      <c r="J1277" t="s">
        <v>61</v>
      </c>
    </row>
    <row r="1278" spans="1:10" x14ac:dyDescent="0.35">
      <c r="A1278" t="s">
        <v>1453</v>
      </c>
      <c r="B1278" s="1">
        <v>45886</v>
      </c>
      <c r="C1278" t="s">
        <v>259</v>
      </c>
      <c r="D1278" t="s">
        <v>59</v>
      </c>
      <c r="E1278" t="s">
        <v>199</v>
      </c>
      <c r="F1278" t="s">
        <v>14</v>
      </c>
      <c r="G1278">
        <v>94.06</v>
      </c>
      <c r="H1278" t="s">
        <v>15</v>
      </c>
      <c r="I1278" t="s">
        <v>47</v>
      </c>
      <c r="J1278" t="s">
        <v>170</v>
      </c>
    </row>
    <row r="1279" spans="1:10" x14ac:dyDescent="0.35">
      <c r="A1279" t="s">
        <v>1454</v>
      </c>
      <c r="B1279" s="1">
        <v>45886</v>
      </c>
      <c r="C1279" t="s">
        <v>296</v>
      </c>
      <c r="D1279" t="s">
        <v>101</v>
      </c>
      <c r="E1279" t="s">
        <v>136</v>
      </c>
      <c r="F1279" t="s">
        <v>14</v>
      </c>
      <c r="G1279">
        <v>21.77</v>
      </c>
      <c r="H1279" t="s">
        <v>15</v>
      </c>
      <c r="I1279" t="s">
        <v>22</v>
      </c>
      <c r="J1279" t="s">
        <v>136</v>
      </c>
    </row>
    <row r="1280" spans="1:10" x14ac:dyDescent="0.35">
      <c r="A1280" t="s">
        <v>1455</v>
      </c>
      <c r="B1280" s="1">
        <v>45886</v>
      </c>
      <c r="C1280" t="s">
        <v>217</v>
      </c>
      <c r="D1280" t="s">
        <v>80</v>
      </c>
      <c r="E1280" t="s">
        <v>81</v>
      </c>
      <c r="F1280" t="s">
        <v>14</v>
      </c>
      <c r="G1280">
        <v>17.32</v>
      </c>
      <c r="H1280" t="s">
        <v>15</v>
      </c>
      <c r="I1280" t="s">
        <v>36</v>
      </c>
      <c r="J1280" t="s">
        <v>180</v>
      </c>
    </row>
    <row r="1281" spans="1:10" x14ac:dyDescent="0.35">
      <c r="A1281" t="s">
        <v>1456</v>
      </c>
      <c r="B1281" s="1">
        <v>45886</v>
      </c>
      <c r="C1281" t="s">
        <v>135</v>
      </c>
      <c r="D1281" t="s">
        <v>101</v>
      </c>
      <c r="E1281" t="s">
        <v>102</v>
      </c>
      <c r="F1281" t="s">
        <v>14</v>
      </c>
      <c r="G1281">
        <v>77.06</v>
      </c>
      <c r="H1281" t="s">
        <v>98</v>
      </c>
      <c r="I1281" t="s">
        <v>36</v>
      </c>
      <c r="J1281" t="s">
        <v>136</v>
      </c>
    </row>
    <row r="1282" spans="1:10" x14ac:dyDescent="0.35">
      <c r="A1282" t="s">
        <v>1457</v>
      </c>
      <c r="B1282" s="1">
        <v>45887</v>
      </c>
      <c r="C1282" t="s">
        <v>220</v>
      </c>
      <c r="D1282" t="s">
        <v>59</v>
      </c>
      <c r="E1282" t="s">
        <v>199</v>
      </c>
      <c r="F1282" t="s">
        <v>14</v>
      </c>
      <c r="G1282">
        <v>229.14</v>
      </c>
      <c r="H1282" t="s">
        <v>15</v>
      </c>
      <c r="I1282" t="s">
        <v>84</v>
      </c>
      <c r="J1282" t="s">
        <v>211</v>
      </c>
    </row>
    <row r="1283" spans="1:10" x14ac:dyDescent="0.35">
      <c r="A1283" t="s">
        <v>1458</v>
      </c>
      <c r="B1283" s="1">
        <v>45887</v>
      </c>
      <c r="C1283" t="s">
        <v>198</v>
      </c>
      <c r="D1283" t="s">
        <v>59</v>
      </c>
      <c r="E1283" t="s">
        <v>199</v>
      </c>
      <c r="F1283" t="s">
        <v>14</v>
      </c>
      <c r="G1283">
        <v>681.59</v>
      </c>
      <c r="H1283" t="s">
        <v>15</v>
      </c>
      <c r="I1283" t="s">
        <v>36</v>
      </c>
      <c r="J1283" t="s">
        <v>61</v>
      </c>
    </row>
    <row r="1284" spans="1:10" x14ac:dyDescent="0.35">
      <c r="A1284" t="s">
        <v>1459</v>
      </c>
      <c r="B1284" s="1">
        <v>45887</v>
      </c>
      <c r="C1284" t="s">
        <v>88</v>
      </c>
      <c r="D1284" t="s">
        <v>54</v>
      </c>
      <c r="E1284" t="s">
        <v>74</v>
      </c>
      <c r="F1284" t="s">
        <v>54</v>
      </c>
      <c r="G1284">
        <v>2817.93</v>
      </c>
      <c r="H1284" t="s">
        <v>15</v>
      </c>
      <c r="I1284" t="s">
        <v>36</v>
      </c>
      <c r="J1284" t="s">
        <v>89</v>
      </c>
    </row>
    <row r="1285" spans="1:10" x14ac:dyDescent="0.35">
      <c r="A1285" t="s">
        <v>1460</v>
      </c>
      <c r="B1285" s="1">
        <v>45887</v>
      </c>
      <c r="C1285" t="s">
        <v>243</v>
      </c>
      <c r="D1285" t="s">
        <v>101</v>
      </c>
      <c r="E1285" t="s">
        <v>244</v>
      </c>
      <c r="F1285" t="s">
        <v>14</v>
      </c>
      <c r="G1285">
        <v>189.75</v>
      </c>
      <c r="H1285" t="s">
        <v>98</v>
      </c>
      <c r="I1285" t="s">
        <v>47</v>
      </c>
      <c r="J1285" t="s">
        <v>102</v>
      </c>
    </row>
    <row r="1286" spans="1:10" x14ac:dyDescent="0.35">
      <c r="A1286" t="s">
        <v>1461</v>
      </c>
      <c r="B1286" s="1">
        <v>45887</v>
      </c>
      <c r="C1286" t="s">
        <v>63</v>
      </c>
      <c r="D1286" t="s">
        <v>54</v>
      </c>
      <c r="E1286" t="s">
        <v>64</v>
      </c>
      <c r="F1286" t="s">
        <v>54</v>
      </c>
      <c r="G1286">
        <v>318.32</v>
      </c>
      <c r="H1286" t="s">
        <v>15</v>
      </c>
      <c r="I1286" t="s">
        <v>47</v>
      </c>
      <c r="J1286" t="s">
        <v>65</v>
      </c>
    </row>
    <row r="1287" spans="1:10" x14ac:dyDescent="0.35">
      <c r="A1287" t="s">
        <v>1462</v>
      </c>
      <c r="B1287" s="1">
        <v>45887</v>
      </c>
      <c r="C1287" t="s">
        <v>464</v>
      </c>
      <c r="D1287" t="s">
        <v>34</v>
      </c>
      <c r="E1287" t="s">
        <v>122</v>
      </c>
      <c r="F1287" t="s">
        <v>14</v>
      </c>
      <c r="G1287">
        <v>80.47</v>
      </c>
      <c r="H1287" t="s">
        <v>15</v>
      </c>
      <c r="I1287" t="s">
        <v>22</v>
      </c>
      <c r="J1287" t="s">
        <v>239</v>
      </c>
    </row>
    <row r="1288" spans="1:10" x14ac:dyDescent="0.35">
      <c r="A1288" t="s">
        <v>1463</v>
      </c>
      <c r="B1288" s="1">
        <v>45887</v>
      </c>
      <c r="C1288" t="s">
        <v>198</v>
      </c>
      <c r="D1288" t="s">
        <v>59</v>
      </c>
      <c r="E1288" t="s">
        <v>199</v>
      </c>
      <c r="F1288" t="s">
        <v>14</v>
      </c>
      <c r="G1288">
        <v>950</v>
      </c>
      <c r="H1288" t="s">
        <v>15</v>
      </c>
      <c r="I1288" t="s">
        <v>47</v>
      </c>
      <c r="J1288" t="s">
        <v>61</v>
      </c>
    </row>
    <row r="1289" spans="1:10" x14ac:dyDescent="0.35">
      <c r="A1289" t="s">
        <v>1464</v>
      </c>
      <c r="B1289" s="1">
        <v>45887</v>
      </c>
      <c r="C1289" t="s">
        <v>424</v>
      </c>
      <c r="D1289" t="s">
        <v>101</v>
      </c>
      <c r="E1289" t="s">
        <v>136</v>
      </c>
      <c r="F1289" t="s">
        <v>14</v>
      </c>
      <c r="G1289">
        <v>23.2</v>
      </c>
      <c r="H1289" t="s">
        <v>15</v>
      </c>
      <c r="I1289" t="s">
        <v>47</v>
      </c>
      <c r="J1289" t="s">
        <v>102</v>
      </c>
    </row>
    <row r="1290" spans="1:10" x14ac:dyDescent="0.35">
      <c r="A1290" t="s">
        <v>1465</v>
      </c>
      <c r="B1290" s="1">
        <v>45888</v>
      </c>
      <c r="C1290" t="s">
        <v>100</v>
      </c>
      <c r="D1290" t="s">
        <v>101</v>
      </c>
      <c r="E1290" t="s">
        <v>102</v>
      </c>
      <c r="F1290" t="s">
        <v>14</v>
      </c>
      <c r="G1290">
        <v>24.4</v>
      </c>
      <c r="H1290" t="s">
        <v>21</v>
      </c>
      <c r="I1290" t="s">
        <v>22</v>
      </c>
      <c r="J1290" t="s">
        <v>103</v>
      </c>
    </row>
    <row r="1291" spans="1:10" x14ac:dyDescent="0.35">
      <c r="A1291" t="s">
        <v>1466</v>
      </c>
      <c r="B1291" s="1">
        <v>45888</v>
      </c>
      <c r="C1291" t="s">
        <v>256</v>
      </c>
      <c r="D1291" t="s">
        <v>34</v>
      </c>
      <c r="E1291" t="s">
        <v>40</v>
      </c>
      <c r="F1291" t="s">
        <v>14</v>
      </c>
      <c r="G1291">
        <v>90.59</v>
      </c>
      <c r="H1291" t="s">
        <v>21</v>
      </c>
      <c r="I1291" t="s">
        <v>22</v>
      </c>
      <c r="J1291" t="s">
        <v>239</v>
      </c>
    </row>
    <row r="1292" spans="1:10" x14ac:dyDescent="0.35">
      <c r="A1292" t="s">
        <v>1467</v>
      </c>
      <c r="B1292" s="1">
        <v>45888</v>
      </c>
      <c r="C1292" t="s">
        <v>210</v>
      </c>
      <c r="D1292" t="s">
        <v>59</v>
      </c>
      <c r="E1292" t="s">
        <v>185</v>
      </c>
      <c r="F1292" t="s">
        <v>14</v>
      </c>
      <c r="G1292">
        <v>593.57000000000005</v>
      </c>
      <c r="H1292" t="s">
        <v>15</v>
      </c>
      <c r="I1292" t="s">
        <v>36</v>
      </c>
      <c r="J1292" t="s">
        <v>211</v>
      </c>
    </row>
    <row r="1293" spans="1:10" x14ac:dyDescent="0.35">
      <c r="A1293" t="s">
        <v>1468</v>
      </c>
      <c r="B1293" s="1">
        <v>45888</v>
      </c>
      <c r="C1293" t="s">
        <v>324</v>
      </c>
      <c r="D1293" t="s">
        <v>80</v>
      </c>
      <c r="E1293" t="s">
        <v>92</v>
      </c>
      <c r="F1293" t="s">
        <v>14</v>
      </c>
      <c r="G1293">
        <v>43.39</v>
      </c>
      <c r="H1293" t="s">
        <v>21</v>
      </c>
      <c r="I1293" t="s">
        <v>22</v>
      </c>
      <c r="J1293" t="s">
        <v>161</v>
      </c>
    </row>
    <row r="1294" spans="1:10" x14ac:dyDescent="0.35">
      <c r="A1294" t="s">
        <v>1469</v>
      </c>
      <c r="B1294" s="1">
        <v>45888</v>
      </c>
      <c r="C1294" t="s">
        <v>253</v>
      </c>
      <c r="D1294" t="s">
        <v>29</v>
      </c>
      <c r="E1294" t="s">
        <v>30</v>
      </c>
      <c r="F1294" t="s">
        <v>14</v>
      </c>
      <c r="G1294">
        <v>23.99</v>
      </c>
      <c r="H1294" t="s">
        <v>15</v>
      </c>
      <c r="I1294" t="s">
        <v>22</v>
      </c>
      <c r="J1294" t="s">
        <v>158</v>
      </c>
    </row>
    <row r="1295" spans="1:10" x14ac:dyDescent="0.35">
      <c r="A1295" t="s">
        <v>1470</v>
      </c>
      <c r="B1295" s="1">
        <v>45888</v>
      </c>
      <c r="C1295" t="s">
        <v>272</v>
      </c>
      <c r="D1295" t="s">
        <v>54</v>
      </c>
      <c r="E1295" t="s">
        <v>55</v>
      </c>
      <c r="F1295" t="s">
        <v>54</v>
      </c>
      <c r="G1295">
        <v>645.88</v>
      </c>
      <c r="H1295" t="s">
        <v>15</v>
      </c>
      <c r="I1295" t="s">
        <v>22</v>
      </c>
      <c r="J1295" t="s">
        <v>65</v>
      </c>
    </row>
    <row r="1296" spans="1:10" x14ac:dyDescent="0.35">
      <c r="A1296" t="s">
        <v>1471</v>
      </c>
      <c r="B1296" s="1">
        <v>45888</v>
      </c>
      <c r="C1296" t="s">
        <v>163</v>
      </c>
      <c r="D1296" t="s">
        <v>80</v>
      </c>
      <c r="E1296" t="s">
        <v>92</v>
      </c>
      <c r="F1296" t="s">
        <v>14</v>
      </c>
      <c r="G1296">
        <v>48.6</v>
      </c>
      <c r="H1296" t="s">
        <v>15</v>
      </c>
      <c r="I1296" t="s">
        <v>84</v>
      </c>
      <c r="J1296" t="s">
        <v>118</v>
      </c>
    </row>
    <row r="1297" spans="1:10" x14ac:dyDescent="0.35">
      <c r="A1297" t="s">
        <v>1472</v>
      </c>
      <c r="B1297" s="1">
        <v>45889</v>
      </c>
      <c r="C1297" t="s">
        <v>143</v>
      </c>
      <c r="D1297" t="s">
        <v>54</v>
      </c>
      <c r="E1297" t="s">
        <v>55</v>
      </c>
      <c r="F1297" t="s">
        <v>54</v>
      </c>
      <c r="G1297">
        <v>523.52</v>
      </c>
      <c r="H1297" t="s">
        <v>21</v>
      </c>
      <c r="I1297" t="s">
        <v>36</v>
      </c>
      <c r="J1297" t="s">
        <v>89</v>
      </c>
    </row>
    <row r="1298" spans="1:10" x14ac:dyDescent="0.35">
      <c r="A1298" t="s">
        <v>1473</v>
      </c>
      <c r="B1298" s="1">
        <v>45889</v>
      </c>
      <c r="C1298" t="s">
        <v>345</v>
      </c>
      <c r="D1298" t="s">
        <v>59</v>
      </c>
      <c r="E1298" t="s">
        <v>60</v>
      </c>
      <c r="F1298" t="s">
        <v>14</v>
      </c>
      <c r="G1298">
        <v>115.82</v>
      </c>
      <c r="H1298" t="s">
        <v>21</v>
      </c>
      <c r="I1298" t="s">
        <v>22</v>
      </c>
      <c r="J1298" t="s">
        <v>211</v>
      </c>
    </row>
    <row r="1299" spans="1:10" x14ac:dyDescent="0.35">
      <c r="A1299" t="s">
        <v>1474</v>
      </c>
      <c r="B1299" s="1">
        <v>45889</v>
      </c>
      <c r="C1299" t="s">
        <v>28</v>
      </c>
      <c r="D1299" t="s">
        <v>29</v>
      </c>
      <c r="E1299" t="s">
        <v>30</v>
      </c>
      <c r="F1299" t="s">
        <v>14</v>
      </c>
      <c r="G1299">
        <v>5</v>
      </c>
      <c r="H1299" t="s">
        <v>15</v>
      </c>
      <c r="I1299" t="s">
        <v>36</v>
      </c>
      <c r="J1299" t="s">
        <v>31</v>
      </c>
    </row>
    <row r="1300" spans="1:10" x14ac:dyDescent="0.35">
      <c r="A1300" t="s">
        <v>1475</v>
      </c>
      <c r="B1300" s="1">
        <v>45889</v>
      </c>
      <c r="C1300" t="s">
        <v>376</v>
      </c>
      <c r="D1300" t="s">
        <v>80</v>
      </c>
      <c r="E1300" t="s">
        <v>117</v>
      </c>
      <c r="F1300" t="s">
        <v>14</v>
      </c>
      <c r="G1300">
        <v>31.04</v>
      </c>
      <c r="H1300" t="s">
        <v>98</v>
      </c>
      <c r="I1300" t="s">
        <v>22</v>
      </c>
      <c r="J1300" t="s">
        <v>82</v>
      </c>
    </row>
    <row r="1301" spans="1:10" x14ac:dyDescent="0.35">
      <c r="A1301" t="s">
        <v>1476</v>
      </c>
      <c r="B1301" s="1">
        <v>45889</v>
      </c>
      <c r="C1301" t="s">
        <v>63</v>
      </c>
      <c r="D1301" t="s">
        <v>54</v>
      </c>
      <c r="E1301" t="s">
        <v>64</v>
      </c>
      <c r="F1301" t="s">
        <v>54</v>
      </c>
      <c r="G1301">
        <v>311.06</v>
      </c>
      <c r="H1301" t="s">
        <v>15</v>
      </c>
      <c r="I1301" t="s">
        <v>22</v>
      </c>
      <c r="J1301" t="s">
        <v>65</v>
      </c>
    </row>
    <row r="1302" spans="1:10" x14ac:dyDescent="0.35">
      <c r="A1302" t="s">
        <v>1477</v>
      </c>
      <c r="B1302" s="1">
        <v>45889</v>
      </c>
      <c r="C1302" t="s">
        <v>229</v>
      </c>
      <c r="D1302" t="s">
        <v>54</v>
      </c>
      <c r="E1302" t="s">
        <v>64</v>
      </c>
      <c r="F1302" t="s">
        <v>54</v>
      </c>
      <c r="G1302">
        <v>357.36</v>
      </c>
      <c r="H1302" t="s">
        <v>15</v>
      </c>
      <c r="I1302" t="s">
        <v>16</v>
      </c>
      <c r="J1302" t="s">
        <v>56</v>
      </c>
    </row>
    <row r="1303" spans="1:10" x14ac:dyDescent="0.35">
      <c r="A1303" t="s">
        <v>1478</v>
      </c>
      <c r="B1303" s="1">
        <v>45890</v>
      </c>
      <c r="C1303" t="s">
        <v>91</v>
      </c>
      <c r="D1303" t="s">
        <v>80</v>
      </c>
      <c r="E1303" t="s">
        <v>92</v>
      </c>
      <c r="F1303" t="s">
        <v>14</v>
      </c>
      <c r="G1303">
        <v>71.27</v>
      </c>
      <c r="H1303" t="s">
        <v>15</v>
      </c>
      <c r="I1303" t="s">
        <v>16</v>
      </c>
      <c r="J1303" t="s">
        <v>82</v>
      </c>
    </row>
    <row r="1304" spans="1:10" x14ac:dyDescent="0.35">
      <c r="A1304" t="s">
        <v>1479</v>
      </c>
      <c r="B1304" s="1">
        <v>45890</v>
      </c>
      <c r="C1304" t="s">
        <v>415</v>
      </c>
      <c r="D1304" t="s">
        <v>12</v>
      </c>
      <c r="E1304" t="s">
        <v>51</v>
      </c>
      <c r="F1304" t="s">
        <v>14</v>
      </c>
      <c r="G1304">
        <v>155.83000000000001</v>
      </c>
      <c r="H1304" t="s">
        <v>21</v>
      </c>
      <c r="I1304" t="s">
        <v>22</v>
      </c>
      <c r="J1304" t="s">
        <v>77</v>
      </c>
    </row>
    <row r="1305" spans="1:10" x14ac:dyDescent="0.35">
      <c r="A1305" t="s">
        <v>1480</v>
      </c>
      <c r="B1305" s="1">
        <v>45890</v>
      </c>
      <c r="C1305" t="s">
        <v>411</v>
      </c>
      <c r="D1305" t="s">
        <v>29</v>
      </c>
      <c r="E1305" t="s">
        <v>151</v>
      </c>
      <c r="F1305" t="s">
        <v>14</v>
      </c>
      <c r="G1305">
        <v>22.9</v>
      </c>
      <c r="H1305" t="s">
        <v>15</v>
      </c>
      <c r="I1305" t="s">
        <v>47</v>
      </c>
      <c r="J1305" t="s">
        <v>151</v>
      </c>
    </row>
    <row r="1306" spans="1:10" x14ac:dyDescent="0.35">
      <c r="A1306" t="s">
        <v>1481</v>
      </c>
      <c r="B1306" s="1">
        <v>45890</v>
      </c>
      <c r="C1306" t="s">
        <v>215</v>
      </c>
      <c r="D1306" t="s">
        <v>80</v>
      </c>
      <c r="E1306" t="s">
        <v>117</v>
      </c>
      <c r="F1306" t="s">
        <v>14</v>
      </c>
      <c r="G1306">
        <v>37.33</v>
      </c>
      <c r="H1306" t="s">
        <v>21</v>
      </c>
      <c r="I1306" t="s">
        <v>36</v>
      </c>
      <c r="J1306" t="s">
        <v>141</v>
      </c>
    </row>
    <row r="1307" spans="1:10" x14ac:dyDescent="0.35">
      <c r="A1307" t="s">
        <v>1482</v>
      </c>
      <c r="B1307" s="1">
        <v>45890</v>
      </c>
      <c r="C1307" t="s">
        <v>143</v>
      </c>
      <c r="D1307" t="s">
        <v>54</v>
      </c>
      <c r="E1307" t="s">
        <v>55</v>
      </c>
      <c r="F1307" t="s">
        <v>54</v>
      </c>
      <c r="G1307">
        <v>643.51</v>
      </c>
      <c r="H1307" t="s">
        <v>15</v>
      </c>
      <c r="I1307" t="s">
        <v>16</v>
      </c>
      <c r="J1307" t="s">
        <v>89</v>
      </c>
    </row>
    <row r="1308" spans="1:10" x14ac:dyDescent="0.35">
      <c r="A1308" t="s">
        <v>1483</v>
      </c>
      <c r="B1308" s="1">
        <v>45890</v>
      </c>
      <c r="C1308" t="s">
        <v>253</v>
      </c>
      <c r="D1308" t="s">
        <v>29</v>
      </c>
      <c r="E1308" t="s">
        <v>30</v>
      </c>
      <c r="F1308" t="s">
        <v>14</v>
      </c>
      <c r="G1308">
        <v>29.56</v>
      </c>
      <c r="H1308" t="s">
        <v>98</v>
      </c>
      <c r="I1308" t="s">
        <v>47</v>
      </c>
      <c r="J1308" t="s">
        <v>158</v>
      </c>
    </row>
    <row r="1309" spans="1:10" x14ac:dyDescent="0.35">
      <c r="A1309" t="s">
        <v>1484</v>
      </c>
      <c r="B1309" s="1">
        <v>45891</v>
      </c>
      <c r="C1309" t="s">
        <v>143</v>
      </c>
      <c r="D1309" t="s">
        <v>54</v>
      </c>
      <c r="E1309" t="s">
        <v>55</v>
      </c>
      <c r="F1309" t="s">
        <v>54</v>
      </c>
      <c r="G1309">
        <v>636.99</v>
      </c>
      <c r="H1309" t="s">
        <v>15</v>
      </c>
      <c r="I1309" t="s">
        <v>1485</v>
      </c>
      <c r="J1309" t="s">
        <v>89</v>
      </c>
    </row>
    <row r="1310" spans="1:10" x14ac:dyDescent="0.35">
      <c r="A1310" t="s">
        <v>1486</v>
      </c>
      <c r="B1310" s="1">
        <v>45891</v>
      </c>
      <c r="C1310" t="s">
        <v>73</v>
      </c>
      <c r="D1310" t="s">
        <v>54</v>
      </c>
      <c r="E1310" t="s">
        <v>74</v>
      </c>
      <c r="F1310" t="s">
        <v>54</v>
      </c>
      <c r="G1310">
        <v>2221.04</v>
      </c>
      <c r="H1310" t="s">
        <v>98</v>
      </c>
      <c r="I1310" t="s">
        <v>22</v>
      </c>
      <c r="J1310" t="s">
        <v>65</v>
      </c>
    </row>
    <row r="1311" spans="1:10" x14ac:dyDescent="0.35">
      <c r="A1311" t="s">
        <v>1487</v>
      </c>
      <c r="B1311" s="1">
        <v>45891</v>
      </c>
      <c r="C1311" t="s">
        <v>125</v>
      </c>
      <c r="D1311" t="s">
        <v>12</v>
      </c>
      <c r="E1311" t="s">
        <v>13</v>
      </c>
      <c r="F1311" t="s">
        <v>14</v>
      </c>
      <c r="G1311">
        <v>35.33</v>
      </c>
      <c r="H1311" t="s">
        <v>15</v>
      </c>
      <c r="I1311" t="s">
        <v>47</v>
      </c>
      <c r="J1311" t="s">
        <v>44</v>
      </c>
    </row>
    <row r="1312" spans="1:10" x14ac:dyDescent="0.35">
      <c r="A1312" t="s">
        <v>1488</v>
      </c>
      <c r="B1312" s="1">
        <v>45891</v>
      </c>
      <c r="C1312" t="s">
        <v>88</v>
      </c>
      <c r="D1312" t="s">
        <v>54</v>
      </c>
      <c r="E1312" t="s">
        <v>74</v>
      </c>
      <c r="F1312" t="s">
        <v>54</v>
      </c>
      <c r="G1312">
        <v>2804.54</v>
      </c>
      <c r="H1312" t="s">
        <v>21</v>
      </c>
      <c r="I1312" t="s">
        <v>22</v>
      </c>
      <c r="J1312" t="s">
        <v>89</v>
      </c>
    </row>
    <row r="1313" spans="1:10" x14ac:dyDescent="0.35">
      <c r="A1313" t="s">
        <v>1489</v>
      </c>
      <c r="B1313" s="1">
        <v>45891</v>
      </c>
      <c r="C1313" t="s">
        <v>238</v>
      </c>
      <c r="D1313" t="s">
        <v>34</v>
      </c>
      <c r="E1313" t="s">
        <v>35</v>
      </c>
      <c r="F1313" t="s">
        <v>14</v>
      </c>
      <c r="G1313">
        <v>138.15</v>
      </c>
      <c r="H1313" t="s">
        <v>15</v>
      </c>
      <c r="I1313" t="s">
        <v>22</v>
      </c>
      <c r="J1313" t="s">
        <v>239</v>
      </c>
    </row>
    <row r="1314" spans="1:10" x14ac:dyDescent="0.35">
      <c r="A1314" t="s">
        <v>1490</v>
      </c>
      <c r="B1314" s="1">
        <v>45891</v>
      </c>
      <c r="C1314" t="s">
        <v>1491</v>
      </c>
      <c r="D1314" t="s">
        <v>69</v>
      </c>
      <c r="E1314" t="s">
        <v>233</v>
      </c>
      <c r="F1314" t="s">
        <v>14</v>
      </c>
      <c r="G1314">
        <v>337.6</v>
      </c>
      <c r="H1314" t="s">
        <v>15</v>
      </c>
      <c r="I1314" t="s">
        <v>47</v>
      </c>
      <c r="J1314" t="s">
        <v>396</v>
      </c>
    </row>
    <row r="1315" spans="1:10" x14ac:dyDescent="0.35">
      <c r="A1315" t="s">
        <v>1492</v>
      </c>
      <c r="B1315" s="1">
        <v>45891</v>
      </c>
      <c r="C1315" t="s">
        <v>464</v>
      </c>
      <c r="D1315" t="s">
        <v>34</v>
      </c>
      <c r="E1315" t="s">
        <v>122</v>
      </c>
      <c r="F1315" t="s">
        <v>14</v>
      </c>
      <c r="G1315">
        <v>66.540000000000006</v>
      </c>
      <c r="H1315" t="s">
        <v>15</v>
      </c>
      <c r="I1315" t="s">
        <v>22</v>
      </c>
      <c r="J1315" t="s">
        <v>239</v>
      </c>
    </row>
    <row r="1316" spans="1:10" x14ac:dyDescent="0.35">
      <c r="A1316" t="s">
        <v>1493</v>
      </c>
      <c r="B1316" s="1">
        <v>45891</v>
      </c>
      <c r="C1316" t="s">
        <v>113</v>
      </c>
      <c r="D1316" t="s">
        <v>34</v>
      </c>
      <c r="E1316" t="s">
        <v>40</v>
      </c>
      <c r="F1316" t="s">
        <v>14</v>
      </c>
      <c r="G1316">
        <v>135.02000000000001</v>
      </c>
      <c r="H1316" t="s">
        <v>98</v>
      </c>
      <c r="I1316" t="s">
        <v>84</v>
      </c>
      <c r="J1316" t="s">
        <v>37</v>
      </c>
    </row>
    <row r="1317" spans="1:10" x14ac:dyDescent="0.35">
      <c r="A1317" t="s">
        <v>1494</v>
      </c>
      <c r="B1317" s="1">
        <v>45891</v>
      </c>
      <c r="C1317" t="s">
        <v>259</v>
      </c>
      <c r="D1317" t="s">
        <v>59</v>
      </c>
      <c r="E1317" t="s">
        <v>199</v>
      </c>
      <c r="F1317" t="s">
        <v>14</v>
      </c>
      <c r="G1317">
        <v>100.2</v>
      </c>
      <c r="H1317" t="s">
        <v>15</v>
      </c>
      <c r="I1317" t="s">
        <v>36</v>
      </c>
      <c r="J1317" t="s">
        <v>170</v>
      </c>
    </row>
    <row r="1318" spans="1:10" x14ac:dyDescent="0.35">
      <c r="A1318" t="s">
        <v>1495</v>
      </c>
      <c r="B1318" s="1">
        <v>45891</v>
      </c>
      <c r="C1318" t="s">
        <v>140</v>
      </c>
      <c r="D1318" t="s">
        <v>80</v>
      </c>
      <c r="E1318" t="s">
        <v>81</v>
      </c>
      <c r="F1318" t="s">
        <v>14</v>
      </c>
      <c r="G1318">
        <v>180.76</v>
      </c>
      <c r="H1318" t="s">
        <v>15</v>
      </c>
      <c r="I1318" t="s">
        <v>22</v>
      </c>
      <c r="J1318" t="s">
        <v>141</v>
      </c>
    </row>
    <row r="1319" spans="1:10" x14ac:dyDescent="0.35">
      <c r="A1319" t="s">
        <v>1496</v>
      </c>
      <c r="B1319" s="1">
        <v>45892</v>
      </c>
      <c r="C1319" t="s">
        <v>168</v>
      </c>
      <c r="D1319" t="s">
        <v>59</v>
      </c>
      <c r="E1319" t="s">
        <v>60</v>
      </c>
      <c r="F1319" t="s">
        <v>14</v>
      </c>
      <c r="G1319">
        <v>194.23</v>
      </c>
      <c r="H1319" t="s">
        <v>15</v>
      </c>
      <c r="I1319" t="s">
        <v>47</v>
      </c>
      <c r="J1319" t="s">
        <v>170</v>
      </c>
    </row>
    <row r="1320" spans="1:10" x14ac:dyDescent="0.35">
      <c r="A1320" t="s">
        <v>1497</v>
      </c>
      <c r="B1320" s="1">
        <v>45892</v>
      </c>
      <c r="C1320" t="s">
        <v>153</v>
      </c>
      <c r="D1320" t="s">
        <v>34</v>
      </c>
      <c r="E1320" t="s">
        <v>122</v>
      </c>
      <c r="F1320" t="s">
        <v>14</v>
      </c>
      <c r="G1320">
        <v>227.87</v>
      </c>
      <c r="H1320" t="s">
        <v>21</v>
      </c>
      <c r="I1320" t="s">
        <v>22</v>
      </c>
      <c r="J1320" t="s">
        <v>41</v>
      </c>
    </row>
    <row r="1321" spans="1:10" x14ac:dyDescent="0.35">
      <c r="A1321" t="s">
        <v>1498</v>
      </c>
      <c r="B1321" s="1">
        <v>45892</v>
      </c>
      <c r="C1321" t="s">
        <v>88</v>
      </c>
      <c r="D1321" t="s">
        <v>54</v>
      </c>
      <c r="E1321" t="s">
        <v>74</v>
      </c>
      <c r="F1321" t="s">
        <v>54</v>
      </c>
      <c r="G1321">
        <v>2294.94</v>
      </c>
      <c r="H1321" t="s">
        <v>15</v>
      </c>
      <c r="I1321" t="s">
        <v>22</v>
      </c>
      <c r="J1321" t="s">
        <v>89</v>
      </c>
    </row>
    <row r="1322" spans="1:10" x14ac:dyDescent="0.35">
      <c r="A1322" t="s">
        <v>1499</v>
      </c>
      <c r="B1322" s="1">
        <v>45893</v>
      </c>
      <c r="C1322" t="s">
        <v>138</v>
      </c>
      <c r="D1322" t="s">
        <v>12</v>
      </c>
      <c r="E1322" t="s">
        <v>26</v>
      </c>
      <c r="F1322" t="s">
        <v>14</v>
      </c>
      <c r="G1322">
        <v>51.6</v>
      </c>
      <c r="H1322" t="s">
        <v>15</v>
      </c>
      <c r="I1322" t="s">
        <v>22</v>
      </c>
      <c r="J1322" t="s">
        <v>77</v>
      </c>
    </row>
    <row r="1323" spans="1:10" x14ac:dyDescent="0.35">
      <c r="A1323" t="s">
        <v>1500</v>
      </c>
      <c r="B1323" s="1">
        <v>45893</v>
      </c>
      <c r="C1323" t="s">
        <v>33</v>
      </c>
      <c r="D1323" t="s">
        <v>34</v>
      </c>
      <c r="E1323" t="s">
        <v>35</v>
      </c>
      <c r="F1323" t="s">
        <v>14</v>
      </c>
      <c r="G1323">
        <v>142.96</v>
      </c>
      <c r="H1323" t="s">
        <v>15</v>
      </c>
      <c r="I1323" t="s">
        <v>47</v>
      </c>
      <c r="J1323" t="s">
        <v>37</v>
      </c>
    </row>
    <row r="1324" spans="1:10" x14ac:dyDescent="0.35">
      <c r="A1324" t="s">
        <v>1501</v>
      </c>
      <c r="B1324" s="1">
        <v>45894</v>
      </c>
      <c r="C1324" t="s">
        <v>734</v>
      </c>
      <c r="D1324" t="s">
        <v>69</v>
      </c>
      <c r="E1324" t="s">
        <v>291</v>
      </c>
      <c r="F1324" t="s">
        <v>14</v>
      </c>
      <c r="G1324">
        <v>216.23</v>
      </c>
      <c r="H1324" t="s">
        <v>21</v>
      </c>
      <c r="I1324" t="s">
        <v>47</v>
      </c>
      <c r="J1324" t="s">
        <v>71</v>
      </c>
    </row>
    <row r="1325" spans="1:10" x14ac:dyDescent="0.35">
      <c r="A1325" t="s">
        <v>1502</v>
      </c>
      <c r="B1325" s="1">
        <v>45894</v>
      </c>
      <c r="C1325" t="s">
        <v>130</v>
      </c>
      <c r="D1325" t="s">
        <v>12</v>
      </c>
      <c r="E1325" t="s">
        <v>26</v>
      </c>
      <c r="F1325" t="s">
        <v>14</v>
      </c>
      <c r="G1325">
        <v>46.25</v>
      </c>
      <c r="H1325" t="s">
        <v>21</v>
      </c>
      <c r="I1325" t="s">
        <v>84</v>
      </c>
      <c r="J1325" t="s">
        <v>48</v>
      </c>
    </row>
    <row r="1326" spans="1:10" x14ac:dyDescent="0.35">
      <c r="A1326" t="s">
        <v>1503</v>
      </c>
      <c r="B1326" s="1">
        <v>45894</v>
      </c>
      <c r="C1326" t="s">
        <v>734</v>
      </c>
      <c r="D1326" t="s">
        <v>69</v>
      </c>
      <c r="E1326" t="s">
        <v>291</v>
      </c>
      <c r="F1326" t="s">
        <v>14</v>
      </c>
      <c r="G1326">
        <v>235.72</v>
      </c>
      <c r="H1326" t="s">
        <v>15</v>
      </c>
      <c r="I1326" t="s">
        <v>22</v>
      </c>
      <c r="J1326" t="s">
        <v>71</v>
      </c>
    </row>
    <row r="1327" spans="1:10" x14ac:dyDescent="0.35">
      <c r="A1327" t="s">
        <v>1504</v>
      </c>
      <c r="B1327" s="1">
        <v>45895</v>
      </c>
      <c r="C1327" t="s">
        <v>125</v>
      </c>
      <c r="D1327" t="s">
        <v>12</v>
      </c>
      <c r="E1327" t="s">
        <v>13</v>
      </c>
      <c r="F1327" t="s">
        <v>14</v>
      </c>
      <c r="G1327">
        <v>72.02</v>
      </c>
      <c r="H1327" t="s">
        <v>21</v>
      </c>
      <c r="I1327" t="s">
        <v>22</v>
      </c>
      <c r="J1327" t="s">
        <v>44</v>
      </c>
    </row>
    <row r="1328" spans="1:10" x14ac:dyDescent="0.35">
      <c r="A1328" t="s">
        <v>1505</v>
      </c>
      <c r="B1328" s="1">
        <v>45895</v>
      </c>
      <c r="C1328" t="s">
        <v>177</v>
      </c>
      <c r="D1328" t="s">
        <v>54</v>
      </c>
      <c r="E1328" t="s">
        <v>74</v>
      </c>
      <c r="F1328" t="s">
        <v>54</v>
      </c>
      <c r="G1328">
        <v>2761.94</v>
      </c>
      <c r="H1328" t="s">
        <v>15</v>
      </c>
      <c r="I1328" t="s">
        <v>36</v>
      </c>
      <c r="J1328" t="s">
        <v>56</v>
      </c>
    </row>
    <row r="1329" spans="1:10" x14ac:dyDescent="0.35">
      <c r="A1329" t="s">
        <v>1506</v>
      </c>
      <c r="B1329" s="1">
        <v>45895</v>
      </c>
      <c r="C1329" t="s">
        <v>88</v>
      </c>
      <c r="D1329" t="s">
        <v>54</v>
      </c>
      <c r="E1329" t="s">
        <v>74</v>
      </c>
      <c r="F1329" t="s">
        <v>54</v>
      </c>
      <c r="G1329">
        <v>1827.74</v>
      </c>
      <c r="H1329" t="s">
        <v>15</v>
      </c>
      <c r="I1329" t="s">
        <v>36</v>
      </c>
      <c r="J1329" t="s">
        <v>89</v>
      </c>
    </row>
    <row r="1330" spans="1:10" x14ac:dyDescent="0.35">
      <c r="A1330" t="s">
        <v>1507</v>
      </c>
      <c r="B1330" s="1">
        <v>45895</v>
      </c>
      <c r="C1330" t="s">
        <v>73</v>
      </c>
      <c r="D1330" t="s">
        <v>54</v>
      </c>
      <c r="E1330" t="s">
        <v>74</v>
      </c>
      <c r="F1330" t="s">
        <v>54</v>
      </c>
      <c r="G1330">
        <v>2460.9299999999998</v>
      </c>
      <c r="H1330" t="s">
        <v>15</v>
      </c>
      <c r="I1330" t="s">
        <v>22</v>
      </c>
      <c r="J1330" t="s">
        <v>65</v>
      </c>
    </row>
    <row r="1331" spans="1:10" x14ac:dyDescent="0.35">
      <c r="A1331" t="s">
        <v>1508</v>
      </c>
      <c r="B1331" s="1">
        <v>45895</v>
      </c>
      <c r="C1331" t="s">
        <v>220</v>
      </c>
      <c r="D1331" t="s">
        <v>59</v>
      </c>
      <c r="E1331" t="s">
        <v>199</v>
      </c>
      <c r="F1331" t="s">
        <v>14</v>
      </c>
      <c r="G1331">
        <v>152.82</v>
      </c>
      <c r="H1331" t="s">
        <v>15</v>
      </c>
      <c r="I1331" t="s">
        <v>36</v>
      </c>
      <c r="J1331" t="s">
        <v>211</v>
      </c>
    </row>
    <row r="1332" spans="1:10" x14ac:dyDescent="0.35">
      <c r="A1332" t="s">
        <v>1509</v>
      </c>
      <c r="B1332" s="1">
        <v>45895</v>
      </c>
      <c r="C1332" t="s">
        <v>138</v>
      </c>
      <c r="D1332" t="s">
        <v>12</v>
      </c>
      <c r="E1332" t="s">
        <v>26</v>
      </c>
      <c r="F1332" t="s">
        <v>14</v>
      </c>
      <c r="G1332">
        <v>22.07</v>
      </c>
      <c r="H1332" t="s">
        <v>98</v>
      </c>
      <c r="I1332" t="s">
        <v>36</v>
      </c>
      <c r="J1332" t="s">
        <v>77</v>
      </c>
    </row>
    <row r="1333" spans="1:10" x14ac:dyDescent="0.35">
      <c r="A1333" t="s">
        <v>1510</v>
      </c>
      <c r="B1333" s="1">
        <v>45895</v>
      </c>
      <c r="C1333" t="s">
        <v>160</v>
      </c>
      <c r="D1333" t="s">
        <v>80</v>
      </c>
      <c r="E1333" t="s">
        <v>117</v>
      </c>
      <c r="F1333" t="s">
        <v>14</v>
      </c>
      <c r="G1333">
        <v>27.73</v>
      </c>
      <c r="H1333" t="s">
        <v>15</v>
      </c>
      <c r="I1333" t="s">
        <v>22</v>
      </c>
      <c r="J1333" t="s">
        <v>161</v>
      </c>
    </row>
    <row r="1334" spans="1:10" x14ac:dyDescent="0.35">
      <c r="A1334" t="s">
        <v>1511</v>
      </c>
      <c r="B1334" s="1">
        <v>45896</v>
      </c>
      <c r="C1334" t="s">
        <v>88</v>
      </c>
      <c r="D1334" t="s">
        <v>54</v>
      </c>
      <c r="E1334" t="s">
        <v>74</v>
      </c>
      <c r="F1334" t="s">
        <v>54</v>
      </c>
      <c r="G1334">
        <v>2941.93</v>
      </c>
      <c r="H1334" t="s">
        <v>15</v>
      </c>
      <c r="I1334" t="s">
        <v>22</v>
      </c>
      <c r="J1334" t="s">
        <v>89</v>
      </c>
    </row>
    <row r="1335" spans="1:10" x14ac:dyDescent="0.35">
      <c r="A1335" t="s">
        <v>1512</v>
      </c>
      <c r="B1335" s="1">
        <v>45896</v>
      </c>
      <c r="C1335" t="s">
        <v>125</v>
      </c>
      <c r="D1335" t="s">
        <v>12</v>
      </c>
      <c r="E1335" t="s">
        <v>13</v>
      </c>
      <c r="F1335" t="s">
        <v>14</v>
      </c>
      <c r="G1335">
        <v>26.68</v>
      </c>
      <c r="H1335" t="s">
        <v>15</v>
      </c>
      <c r="I1335" t="s">
        <v>36</v>
      </c>
      <c r="J1335" t="s">
        <v>44</v>
      </c>
    </row>
    <row r="1336" spans="1:10" x14ac:dyDescent="0.35">
      <c r="A1336" t="s">
        <v>1513</v>
      </c>
      <c r="B1336" s="1">
        <v>45896</v>
      </c>
      <c r="C1336" t="s">
        <v>94</v>
      </c>
      <c r="D1336" t="s">
        <v>29</v>
      </c>
      <c r="E1336" t="s">
        <v>95</v>
      </c>
      <c r="F1336" t="s">
        <v>14</v>
      </c>
      <c r="G1336">
        <v>36.78</v>
      </c>
      <c r="H1336" t="s">
        <v>21</v>
      </c>
      <c r="I1336" t="s">
        <v>22</v>
      </c>
      <c r="J1336" t="s">
        <v>96</v>
      </c>
    </row>
    <row r="1337" spans="1:10" x14ac:dyDescent="0.35">
      <c r="A1337" t="s">
        <v>1514</v>
      </c>
      <c r="B1337" s="1">
        <v>45896</v>
      </c>
      <c r="C1337" t="s">
        <v>296</v>
      </c>
      <c r="D1337" t="s">
        <v>101</v>
      </c>
      <c r="E1337" t="s">
        <v>136</v>
      </c>
      <c r="F1337" t="s">
        <v>14</v>
      </c>
      <c r="G1337">
        <v>38.43</v>
      </c>
      <c r="H1337" t="s">
        <v>15</v>
      </c>
      <c r="I1337" t="s">
        <v>16</v>
      </c>
      <c r="J1337" t="s">
        <v>136</v>
      </c>
    </row>
    <row r="1338" spans="1:10" x14ac:dyDescent="0.35">
      <c r="A1338" t="s">
        <v>1515</v>
      </c>
      <c r="B1338" s="1">
        <v>45896</v>
      </c>
      <c r="C1338" t="s">
        <v>76</v>
      </c>
      <c r="D1338" t="s">
        <v>12</v>
      </c>
      <c r="E1338" t="s">
        <v>13</v>
      </c>
      <c r="F1338" t="s">
        <v>14</v>
      </c>
      <c r="G1338">
        <v>26.92</v>
      </c>
      <c r="H1338" t="s">
        <v>15</v>
      </c>
      <c r="I1338" t="s">
        <v>47</v>
      </c>
      <c r="J1338" t="s">
        <v>77</v>
      </c>
    </row>
    <row r="1339" spans="1:10" x14ac:dyDescent="0.35">
      <c r="A1339" t="s">
        <v>1516</v>
      </c>
      <c r="B1339" s="1">
        <v>45896</v>
      </c>
      <c r="C1339" t="s">
        <v>296</v>
      </c>
      <c r="D1339" t="s">
        <v>101</v>
      </c>
      <c r="E1339" t="s">
        <v>136</v>
      </c>
      <c r="F1339" t="s">
        <v>14</v>
      </c>
      <c r="G1339">
        <v>41.43</v>
      </c>
      <c r="H1339" t="s">
        <v>21</v>
      </c>
      <c r="I1339" t="s">
        <v>36</v>
      </c>
      <c r="J1339" t="s">
        <v>136</v>
      </c>
    </row>
    <row r="1340" spans="1:10" x14ac:dyDescent="0.35">
      <c r="A1340" t="s">
        <v>1517</v>
      </c>
      <c r="B1340" s="1">
        <v>45896</v>
      </c>
      <c r="C1340" t="s">
        <v>76</v>
      </c>
      <c r="D1340" t="s">
        <v>12</v>
      </c>
      <c r="E1340" t="s">
        <v>13</v>
      </c>
      <c r="F1340" t="s">
        <v>14</v>
      </c>
      <c r="G1340">
        <v>24.52</v>
      </c>
      <c r="H1340" t="s">
        <v>15</v>
      </c>
      <c r="I1340" t="s">
        <v>47</v>
      </c>
      <c r="J1340" t="s">
        <v>77</v>
      </c>
    </row>
    <row r="1341" spans="1:10" x14ac:dyDescent="0.35">
      <c r="A1341" t="s">
        <v>1518</v>
      </c>
      <c r="B1341" s="1">
        <v>45896</v>
      </c>
      <c r="C1341" t="s">
        <v>272</v>
      </c>
      <c r="D1341" t="s">
        <v>54</v>
      </c>
      <c r="E1341" t="s">
        <v>55</v>
      </c>
      <c r="F1341" t="s">
        <v>54</v>
      </c>
      <c r="G1341">
        <v>639.86</v>
      </c>
      <c r="H1341" t="s">
        <v>15</v>
      </c>
      <c r="I1341" t="s">
        <v>36</v>
      </c>
      <c r="J1341" t="s">
        <v>65</v>
      </c>
    </row>
    <row r="1342" spans="1:10" x14ac:dyDescent="0.35">
      <c r="A1342" t="s">
        <v>1519</v>
      </c>
      <c r="B1342" s="1">
        <v>45896</v>
      </c>
      <c r="C1342" t="s">
        <v>28</v>
      </c>
      <c r="D1342" t="s">
        <v>29</v>
      </c>
      <c r="E1342" t="s">
        <v>30</v>
      </c>
      <c r="F1342" t="s">
        <v>14</v>
      </c>
      <c r="G1342">
        <v>35.409999999999997</v>
      </c>
      <c r="H1342" t="s">
        <v>15</v>
      </c>
      <c r="I1342" t="s">
        <v>22</v>
      </c>
      <c r="J1342" t="s">
        <v>31</v>
      </c>
    </row>
    <row r="1343" spans="1:10" x14ac:dyDescent="0.35">
      <c r="A1343" t="s">
        <v>1520</v>
      </c>
      <c r="B1343" s="1">
        <v>45896</v>
      </c>
      <c r="C1343" t="s">
        <v>58</v>
      </c>
      <c r="D1343" t="s">
        <v>59</v>
      </c>
      <c r="E1343" t="s">
        <v>60</v>
      </c>
      <c r="F1343" t="s">
        <v>14</v>
      </c>
      <c r="G1343">
        <v>65.63</v>
      </c>
      <c r="H1343" t="s">
        <v>15</v>
      </c>
      <c r="I1343" t="s">
        <v>22</v>
      </c>
      <c r="J1343" t="s">
        <v>61</v>
      </c>
    </row>
    <row r="1344" spans="1:10" x14ac:dyDescent="0.35">
      <c r="A1344" t="s">
        <v>1521</v>
      </c>
      <c r="B1344" s="1">
        <v>45896</v>
      </c>
      <c r="C1344" t="s">
        <v>88</v>
      </c>
      <c r="D1344" t="s">
        <v>54</v>
      </c>
      <c r="E1344" t="s">
        <v>74</v>
      </c>
      <c r="F1344" t="s">
        <v>54</v>
      </c>
      <c r="G1344">
        <v>2721.59</v>
      </c>
      <c r="H1344" t="s">
        <v>15</v>
      </c>
      <c r="I1344" t="s">
        <v>22</v>
      </c>
      <c r="J1344" t="s">
        <v>89</v>
      </c>
    </row>
    <row r="1345" spans="1:10" x14ac:dyDescent="0.35">
      <c r="A1345" t="s">
        <v>1522</v>
      </c>
      <c r="B1345" s="1">
        <v>45897</v>
      </c>
      <c r="C1345" t="s">
        <v>76</v>
      </c>
      <c r="D1345" t="s">
        <v>12</v>
      </c>
      <c r="E1345" t="s">
        <v>13</v>
      </c>
      <c r="F1345" t="s">
        <v>14</v>
      </c>
      <c r="G1345">
        <v>47.98</v>
      </c>
      <c r="H1345" t="s">
        <v>15</v>
      </c>
      <c r="I1345" t="s">
        <v>36</v>
      </c>
      <c r="J1345" t="s">
        <v>77</v>
      </c>
    </row>
    <row r="1346" spans="1:10" x14ac:dyDescent="0.35">
      <c r="A1346" t="s">
        <v>1523</v>
      </c>
      <c r="B1346" s="1">
        <v>45897</v>
      </c>
      <c r="C1346" t="s">
        <v>160</v>
      </c>
      <c r="D1346" t="s">
        <v>80</v>
      </c>
      <c r="E1346" t="s">
        <v>117</v>
      </c>
      <c r="F1346" t="s">
        <v>14</v>
      </c>
      <c r="G1346">
        <v>67.38</v>
      </c>
      <c r="H1346" t="s">
        <v>15</v>
      </c>
      <c r="I1346" t="s">
        <v>47</v>
      </c>
      <c r="J1346" t="s">
        <v>161</v>
      </c>
    </row>
    <row r="1347" spans="1:10" x14ac:dyDescent="0.35">
      <c r="A1347" t="s">
        <v>1524</v>
      </c>
      <c r="B1347" s="1">
        <v>45897</v>
      </c>
      <c r="C1347" t="s">
        <v>88</v>
      </c>
      <c r="D1347" t="s">
        <v>54</v>
      </c>
      <c r="E1347" t="s">
        <v>74</v>
      </c>
      <c r="F1347" t="s">
        <v>54</v>
      </c>
      <c r="G1347">
        <v>2610.86</v>
      </c>
      <c r="H1347" t="s">
        <v>15</v>
      </c>
      <c r="I1347" t="s">
        <v>16</v>
      </c>
      <c r="J1347" t="s">
        <v>89</v>
      </c>
    </row>
    <row r="1348" spans="1:10" x14ac:dyDescent="0.35">
      <c r="A1348" t="s">
        <v>1525</v>
      </c>
      <c r="B1348" s="1">
        <v>45897</v>
      </c>
      <c r="C1348" t="s">
        <v>163</v>
      </c>
      <c r="D1348" t="s">
        <v>80</v>
      </c>
      <c r="E1348" t="s">
        <v>92</v>
      </c>
      <c r="F1348" t="s">
        <v>14</v>
      </c>
      <c r="G1348">
        <v>32.909999999999997</v>
      </c>
      <c r="H1348" t="s">
        <v>15</v>
      </c>
      <c r="I1348" t="s">
        <v>47</v>
      </c>
      <c r="J1348" t="s">
        <v>118</v>
      </c>
    </row>
    <row r="1349" spans="1:10" x14ac:dyDescent="0.35">
      <c r="A1349" t="s">
        <v>1526</v>
      </c>
      <c r="B1349" s="1">
        <v>45897</v>
      </c>
      <c r="C1349" t="s">
        <v>331</v>
      </c>
      <c r="D1349" t="s">
        <v>29</v>
      </c>
      <c r="E1349" t="s">
        <v>95</v>
      </c>
      <c r="F1349" t="s">
        <v>14</v>
      </c>
      <c r="G1349">
        <v>22.23</v>
      </c>
      <c r="H1349" t="s">
        <v>15</v>
      </c>
      <c r="I1349" t="s">
        <v>22</v>
      </c>
      <c r="J1349" t="s">
        <v>151</v>
      </c>
    </row>
    <row r="1350" spans="1:10" x14ac:dyDescent="0.35">
      <c r="A1350" t="s">
        <v>1527</v>
      </c>
      <c r="B1350" s="1">
        <v>45897</v>
      </c>
      <c r="C1350" t="s">
        <v>143</v>
      </c>
      <c r="D1350" t="s">
        <v>54</v>
      </c>
      <c r="E1350" t="s">
        <v>55</v>
      </c>
      <c r="F1350" t="s">
        <v>54</v>
      </c>
      <c r="G1350">
        <v>791.44</v>
      </c>
      <c r="H1350" t="s">
        <v>15</v>
      </c>
      <c r="I1350" t="s">
        <v>36</v>
      </c>
      <c r="J1350" t="s">
        <v>89</v>
      </c>
    </row>
    <row r="1351" spans="1:10" x14ac:dyDescent="0.35">
      <c r="A1351" t="s">
        <v>1528</v>
      </c>
      <c r="B1351" s="1">
        <v>45898</v>
      </c>
      <c r="C1351" t="s">
        <v>345</v>
      </c>
      <c r="D1351" t="s">
        <v>59</v>
      </c>
      <c r="E1351" t="s">
        <v>60</v>
      </c>
      <c r="F1351" t="s">
        <v>14</v>
      </c>
      <c r="G1351">
        <v>147.03</v>
      </c>
      <c r="H1351" t="s">
        <v>15</v>
      </c>
      <c r="I1351" t="s">
        <v>22</v>
      </c>
      <c r="J1351" t="s">
        <v>211</v>
      </c>
    </row>
    <row r="1352" spans="1:10" x14ac:dyDescent="0.35">
      <c r="A1352" t="s">
        <v>1529</v>
      </c>
      <c r="B1352" s="1">
        <v>45898</v>
      </c>
      <c r="C1352" t="s">
        <v>415</v>
      </c>
      <c r="D1352" t="s">
        <v>12</v>
      </c>
      <c r="E1352" t="s">
        <v>51</v>
      </c>
      <c r="F1352" t="s">
        <v>14</v>
      </c>
      <c r="G1352">
        <v>74.19</v>
      </c>
      <c r="H1352" t="s">
        <v>15</v>
      </c>
      <c r="I1352" t="s">
        <v>22</v>
      </c>
      <c r="J1352" t="s">
        <v>77</v>
      </c>
    </row>
    <row r="1353" spans="1:10" x14ac:dyDescent="0.35">
      <c r="A1353" t="s">
        <v>1530</v>
      </c>
      <c r="B1353" s="1">
        <v>45898</v>
      </c>
      <c r="C1353" t="s">
        <v>79</v>
      </c>
      <c r="D1353" t="s">
        <v>80</v>
      </c>
      <c r="E1353" t="s">
        <v>81</v>
      </c>
      <c r="F1353" t="s">
        <v>14</v>
      </c>
      <c r="G1353">
        <v>98.68</v>
      </c>
      <c r="H1353" t="s">
        <v>15</v>
      </c>
      <c r="I1353" t="s">
        <v>22</v>
      </c>
      <c r="J1353" t="s">
        <v>82</v>
      </c>
    </row>
    <row r="1354" spans="1:10" x14ac:dyDescent="0.35">
      <c r="A1354" t="s">
        <v>1531</v>
      </c>
      <c r="B1354" s="1">
        <v>45898</v>
      </c>
      <c r="C1354" t="s">
        <v>259</v>
      </c>
      <c r="D1354" t="s">
        <v>59</v>
      </c>
      <c r="E1354" t="s">
        <v>199</v>
      </c>
      <c r="F1354" t="s">
        <v>14</v>
      </c>
      <c r="G1354">
        <v>86.22</v>
      </c>
      <c r="H1354" t="s">
        <v>15</v>
      </c>
      <c r="I1354" t="s">
        <v>16</v>
      </c>
      <c r="J1354" t="s">
        <v>170</v>
      </c>
    </row>
    <row r="1355" spans="1:10" x14ac:dyDescent="0.35">
      <c r="A1355" t="s">
        <v>1532</v>
      </c>
      <c r="B1355" s="1">
        <v>45898</v>
      </c>
      <c r="C1355" t="s">
        <v>243</v>
      </c>
      <c r="D1355" t="s">
        <v>101</v>
      </c>
      <c r="E1355" t="s">
        <v>244</v>
      </c>
      <c r="F1355" t="s">
        <v>14</v>
      </c>
      <c r="G1355">
        <v>41.5</v>
      </c>
      <c r="H1355" t="s">
        <v>15</v>
      </c>
      <c r="I1355" t="s">
        <v>36</v>
      </c>
      <c r="J1355" t="s">
        <v>102</v>
      </c>
    </row>
    <row r="1356" spans="1:10" x14ac:dyDescent="0.35">
      <c r="A1356" t="s">
        <v>1533</v>
      </c>
      <c r="B1356" s="1">
        <v>45898</v>
      </c>
      <c r="C1356" t="s">
        <v>243</v>
      </c>
      <c r="D1356" t="s">
        <v>101</v>
      </c>
      <c r="E1356" t="s">
        <v>244</v>
      </c>
      <c r="F1356" t="s">
        <v>14</v>
      </c>
      <c r="G1356">
        <v>189.06</v>
      </c>
      <c r="H1356" t="s">
        <v>15</v>
      </c>
      <c r="I1356" t="s">
        <v>22</v>
      </c>
      <c r="J1356" t="s">
        <v>102</v>
      </c>
    </row>
    <row r="1357" spans="1:10" x14ac:dyDescent="0.35">
      <c r="A1357" t="s">
        <v>1534</v>
      </c>
      <c r="B1357" s="1">
        <v>45899</v>
      </c>
      <c r="C1357" t="s">
        <v>53</v>
      </c>
      <c r="D1357" t="s">
        <v>54</v>
      </c>
      <c r="E1357" t="s">
        <v>55</v>
      </c>
      <c r="F1357" t="s">
        <v>54</v>
      </c>
      <c r="G1357">
        <v>750.62</v>
      </c>
      <c r="H1357" t="s">
        <v>15</v>
      </c>
      <c r="I1357" t="s">
        <v>16</v>
      </c>
      <c r="J1357" t="s">
        <v>56</v>
      </c>
    </row>
    <row r="1358" spans="1:10" x14ac:dyDescent="0.35">
      <c r="A1358" t="s">
        <v>1535</v>
      </c>
      <c r="B1358" s="1">
        <v>45899</v>
      </c>
      <c r="C1358" t="s">
        <v>121</v>
      </c>
      <c r="D1358" t="s">
        <v>34</v>
      </c>
      <c r="E1358" t="s">
        <v>122</v>
      </c>
      <c r="F1358" t="s">
        <v>14</v>
      </c>
      <c r="G1358">
        <v>149.18</v>
      </c>
      <c r="H1358" t="s">
        <v>21</v>
      </c>
      <c r="I1358" t="s">
        <v>22</v>
      </c>
      <c r="J1358" t="s">
        <v>123</v>
      </c>
    </row>
    <row r="1359" spans="1:10" x14ac:dyDescent="0.35">
      <c r="A1359" t="s">
        <v>1536</v>
      </c>
      <c r="B1359" s="1">
        <v>45899</v>
      </c>
      <c r="C1359" t="s">
        <v>411</v>
      </c>
      <c r="D1359" t="s">
        <v>29</v>
      </c>
      <c r="E1359" t="s">
        <v>151</v>
      </c>
      <c r="F1359" t="s">
        <v>14</v>
      </c>
      <c r="G1359">
        <v>15.64</v>
      </c>
      <c r="H1359" t="s">
        <v>21</v>
      </c>
      <c r="I1359" t="s">
        <v>22</v>
      </c>
      <c r="J1359" t="s">
        <v>151</v>
      </c>
    </row>
    <row r="1360" spans="1:10" x14ac:dyDescent="0.35">
      <c r="A1360" t="s">
        <v>1537</v>
      </c>
      <c r="B1360" s="1">
        <v>45899</v>
      </c>
      <c r="C1360" t="s">
        <v>229</v>
      </c>
      <c r="D1360" t="s">
        <v>54</v>
      </c>
      <c r="E1360" t="s">
        <v>64</v>
      </c>
      <c r="F1360" t="s">
        <v>54</v>
      </c>
      <c r="G1360">
        <v>366.37</v>
      </c>
      <c r="H1360" t="s">
        <v>15</v>
      </c>
      <c r="I1360" t="s">
        <v>22</v>
      </c>
      <c r="J1360" t="s">
        <v>56</v>
      </c>
    </row>
    <row r="1361" spans="1:10" x14ac:dyDescent="0.35">
      <c r="A1361" t="s">
        <v>1538</v>
      </c>
      <c r="B1361" s="1">
        <v>45899</v>
      </c>
      <c r="C1361" t="s">
        <v>19</v>
      </c>
      <c r="D1361" t="s">
        <v>12</v>
      </c>
      <c r="E1361" t="s">
        <v>13</v>
      </c>
      <c r="F1361" t="s">
        <v>14</v>
      </c>
      <c r="G1361">
        <v>180</v>
      </c>
      <c r="H1361" t="s">
        <v>21</v>
      </c>
      <c r="I1361" t="s">
        <v>84</v>
      </c>
      <c r="J1361" t="s">
        <v>23</v>
      </c>
    </row>
    <row r="1362" spans="1:10" x14ac:dyDescent="0.35">
      <c r="A1362" t="s">
        <v>1539</v>
      </c>
      <c r="B1362" s="1">
        <v>45900</v>
      </c>
      <c r="C1362" t="s">
        <v>73</v>
      </c>
      <c r="D1362" t="s">
        <v>54</v>
      </c>
      <c r="E1362" t="s">
        <v>74</v>
      </c>
      <c r="F1362" t="s">
        <v>54</v>
      </c>
      <c r="G1362">
        <v>2790.85</v>
      </c>
      <c r="H1362" t="s">
        <v>15</v>
      </c>
      <c r="I1362" t="s">
        <v>36</v>
      </c>
      <c r="J1362" t="s">
        <v>65</v>
      </c>
    </row>
    <row r="1363" spans="1:10" x14ac:dyDescent="0.35">
      <c r="A1363" t="s">
        <v>1540</v>
      </c>
      <c r="B1363" s="1">
        <v>45900</v>
      </c>
      <c r="C1363" t="s">
        <v>168</v>
      </c>
      <c r="D1363" t="s">
        <v>59</v>
      </c>
      <c r="E1363" t="s">
        <v>60</v>
      </c>
      <c r="F1363" t="s">
        <v>14</v>
      </c>
      <c r="G1363">
        <v>449.47</v>
      </c>
      <c r="H1363" t="s">
        <v>15</v>
      </c>
      <c r="I1363" t="s">
        <v>22</v>
      </c>
      <c r="J1363" t="s">
        <v>170</v>
      </c>
    </row>
    <row r="1364" spans="1:10" x14ac:dyDescent="0.35">
      <c r="A1364" t="s">
        <v>1541</v>
      </c>
      <c r="B1364" s="1">
        <v>45900</v>
      </c>
      <c r="C1364" t="s">
        <v>415</v>
      </c>
      <c r="D1364" t="s">
        <v>12</v>
      </c>
      <c r="E1364" t="s">
        <v>51</v>
      </c>
      <c r="F1364" t="s">
        <v>14</v>
      </c>
      <c r="G1364">
        <v>53.04</v>
      </c>
      <c r="H1364" t="s">
        <v>15</v>
      </c>
      <c r="I1364" t="s">
        <v>22</v>
      </c>
      <c r="J1364" t="s">
        <v>77</v>
      </c>
    </row>
    <row r="1365" spans="1:10" x14ac:dyDescent="0.35">
      <c r="A1365" t="s">
        <v>1542</v>
      </c>
      <c r="B1365" s="1">
        <v>45900</v>
      </c>
      <c r="C1365" t="s">
        <v>179</v>
      </c>
      <c r="D1365" t="s">
        <v>80</v>
      </c>
      <c r="E1365" t="s">
        <v>117</v>
      </c>
      <c r="F1365" t="s">
        <v>14</v>
      </c>
      <c r="G1365">
        <v>90.76</v>
      </c>
      <c r="H1365" t="s">
        <v>21</v>
      </c>
      <c r="I1365" t="s">
        <v>36</v>
      </c>
      <c r="J1365" t="s">
        <v>180</v>
      </c>
    </row>
    <row r="1366" spans="1:10" x14ac:dyDescent="0.35">
      <c r="A1366" t="s">
        <v>1543</v>
      </c>
      <c r="B1366" s="1">
        <v>45901</v>
      </c>
      <c r="C1366" t="s">
        <v>220</v>
      </c>
      <c r="D1366" t="s">
        <v>59</v>
      </c>
      <c r="E1366" t="s">
        <v>199</v>
      </c>
      <c r="F1366" t="s">
        <v>14</v>
      </c>
      <c r="G1366">
        <v>312.68</v>
      </c>
      <c r="H1366" t="s">
        <v>21</v>
      </c>
      <c r="I1366" t="s">
        <v>22</v>
      </c>
      <c r="J1366" t="s">
        <v>211</v>
      </c>
    </row>
    <row r="1367" spans="1:10" x14ac:dyDescent="0.35">
      <c r="A1367" t="s">
        <v>1544</v>
      </c>
      <c r="B1367" s="1">
        <v>45901</v>
      </c>
      <c r="C1367" t="s">
        <v>73</v>
      </c>
      <c r="D1367" t="s">
        <v>54</v>
      </c>
      <c r="E1367" t="s">
        <v>74</v>
      </c>
      <c r="F1367" t="s">
        <v>54</v>
      </c>
      <c r="G1367">
        <v>2493.4699999999998</v>
      </c>
      <c r="H1367" t="s">
        <v>21</v>
      </c>
      <c r="I1367" t="s">
        <v>22</v>
      </c>
      <c r="J1367" t="s">
        <v>65</v>
      </c>
    </row>
    <row r="1368" spans="1:10" x14ac:dyDescent="0.35">
      <c r="A1368" t="s">
        <v>1545</v>
      </c>
      <c r="B1368" s="1">
        <v>45901</v>
      </c>
      <c r="C1368" t="s">
        <v>424</v>
      </c>
      <c r="D1368" t="s">
        <v>101</v>
      </c>
      <c r="E1368" t="s">
        <v>136</v>
      </c>
      <c r="F1368" t="s">
        <v>14</v>
      </c>
      <c r="G1368">
        <v>41.36</v>
      </c>
      <c r="H1368" t="s">
        <v>15</v>
      </c>
      <c r="I1368" t="s">
        <v>36</v>
      </c>
      <c r="J1368" t="s">
        <v>102</v>
      </c>
    </row>
    <row r="1369" spans="1:10" x14ac:dyDescent="0.35">
      <c r="A1369" t="s">
        <v>1546</v>
      </c>
      <c r="B1369" s="1">
        <v>45901</v>
      </c>
      <c r="C1369" t="s">
        <v>281</v>
      </c>
      <c r="D1369" t="s">
        <v>34</v>
      </c>
      <c r="E1369" t="s">
        <v>40</v>
      </c>
      <c r="F1369" t="s">
        <v>14</v>
      </c>
      <c r="G1369">
        <v>56.86</v>
      </c>
      <c r="H1369" t="s">
        <v>15</v>
      </c>
      <c r="I1369" t="s">
        <v>22</v>
      </c>
      <c r="J1369" t="s">
        <v>123</v>
      </c>
    </row>
    <row r="1370" spans="1:10" x14ac:dyDescent="0.35">
      <c r="A1370" t="s">
        <v>1547</v>
      </c>
      <c r="B1370" s="1">
        <v>45901</v>
      </c>
      <c r="C1370" t="s">
        <v>109</v>
      </c>
      <c r="D1370" t="s">
        <v>34</v>
      </c>
      <c r="E1370" t="s">
        <v>35</v>
      </c>
      <c r="F1370" t="s">
        <v>14</v>
      </c>
      <c r="G1370">
        <v>245.73</v>
      </c>
      <c r="H1370" t="s">
        <v>21</v>
      </c>
      <c r="I1370" t="s">
        <v>47</v>
      </c>
      <c r="J1370" t="s">
        <v>41</v>
      </c>
    </row>
    <row r="1371" spans="1:10" x14ac:dyDescent="0.35">
      <c r="A1371" t="s">
        <v>1548</v>
      </c>
      <c r="B1371" s="1">
        <v>45902</v>
      </c>
      <c r="C1371" t="s">
        <v>734</v>
      </c>
      <c r="D1371" t="s">
        <v>69</v>
      </c>
      <c r="E1371" t="s">
        <v>291</v>
      </c>
      <c r="F1371" t="s">
        <v>14</v>
      </c>
      <c r="G1371">
        <v>514.03</v>
      </c>
      <c r="H1371" t="s">
        <v>21</v>
      </c>
      <c r="I1371" t="s">
        <v>47</v>
      </c>
      <c r="J1371" t="s">
        <v>71</v>
      </c>
    </row>
    <row r="1372" spans="1:10" x14ac:dyDescent="0.35">
      <c r="A1372" t="s">
        <v>1549</v>
      </c>
      <c r="B1372" s="1">
        <v>45902</v>
      </c>
      <c r="C1372" t="s">
        <v>88</v>
      </c>
      <c r="D1372" t="s">
        <v>54</v>
      </c>
      <c r="E1372" t="s">
        <v>74</v>
      </c>
      <c r="F1372" t="s">
        <v>54</v>
      </c>
      <c r="G1372">
        <v>2768.16</v>
      </c>
      <c r="H1372" t="s">
        <v>15</v>
      </c>
      <c r="I1372" t="s">
        <v>36</v>
      </c>
      <c r="J1372" t="s">
        <v>89</v>
      </c>
    </row>
    <row r="1373" spans="1:10" x14ac:dyDescent="0.35">
      <c r="A1373" t="s">
        <v>1550</v>
      </c>
      <c r="B1373" s="1">
        <v>45902</v>
      </c>
      <c r="C1373" t="s">
        <v>113</v>
      </c>
      <c r="D1373" t="s">
        <v>34</v>
      </c>
      <c r="E1373" t="s">
        <v>40</v>
      </c>
      <c r="F1373" t="s">
        <v>14</v>
      </c>
      <c r="G1373">
        <v>142.66999999999999</v>
      </c>
      <c r="H1373" t="s">
        <v>15</v>
      </c>
      <c r="I1373" t="s">
        <v>84</v>
      </c>
      <c r="J1373" t="s">
        <v>37</v>
      </c>
    </row>
    <row r="1374" spans="1:10" x14ac:dyDescent="0.35">
      <c r="A1374" t="s">
        <v>1551</v>
      </c>
      <c r="B1374" s="1">
        <v>45902</v>
      </c>
      <c r="C1374" t="s">
        <v>238</v>
      </c>
      <c r="D1374" t="s">
        <v>34</v>
      </c>
      <c r="E1374" t="s">
        <v>35</v>
      </c>
      <c r="F1374" t="s">
        <v>14</v>
      </c>
      <c r="G1374">
        <v>146.49</v>
      </c>
      <c r="H1374" t="s">
        <v>15</v>
      </c>
      <c r="I1374" t="s">
        <v>16</v>
      </c>
      <c r="J1374" t="s">
        <v>239</v>
      </c>
    </row>
    <row r="1375" spans="1:10" x14ac:dyDescent="0.35">
      <c r="A1375" t="s">
        <v>1552</v>
      </c>
      <c r="B1375" s="1">
        <v>45902</v>
      </c>
      <c r="C1375" t="s">
        <v>109</v>
      </c>
      <c r="D1375" t="s">
        <v>34</v>
      </c>
      <c r="E1375" t="s">
        <v>35</v>
      </c>
      <c r="F1375" t="s">
        <v>14</v>
      </c>
      <c r="G1375">
        <v>82.49</v>
      </c>
      <c r="H1375" t="s">
        <v>15</v>
      </c>
      <c r="I1375" t="s">
        <v>22</v>
      </c>
      <c r="J1375" t="s">
        <v>41</v>
      </c>
    </row>
    <row r="1376" spans="1:10" x14ac:dyDescent="0.35">
      <c r="A1376" t="s">
        <v>1553</v>
      </c>
      <c r="B1376" s="1">
        <v>45902</v>
      </c>
      <c r="C1376" t="s">
        <v>251</v>
      </c>
      <c r="D1376" t="s">
        <v>29</v>
      </c>
      <c r="E1376" t="s">
        <v>151</v>
      </c>
      <c r="F1376" t="s">
        <v>14</v>
      </c>
      <c r="G1376">
        <v>84.56</v>
      </c>
      <c r="H1376" t="s">
        <v>15</v>
      </c>
      <c r="I1376" t="s">
        <v>36</v>
      </c>
      <c r="J1376" t="s">
        <v>31</v>
      </c>
    </row>
    <row r="1377" spans="1:10" x14ac:dyDescent="0.35">
      <c r="A1377" t="s">
        <v>1554</v>
      </c>
      <c r="B1377" s="1">
        <v>45902</v>
      </c>
      <c r="C1377" t="s">
        <v>28</v>
      </c>
      <c r="D1377" t="s">
        <v>29</v>
      </c>
      <c r="E1377" t="s">
        <v>30</v>
      </c>
      <c r="F1377" t="s">
        <v>14</v>
      </c>
      <c r="G1377">
        <v>9.24</v>
      </c>
      <c r="H1377" t="s">
        <v>21</v>
      </c>
      <c r="I1377" t="s">
        <v>36</v>
      </c>
      <c r="J1377" t="s">
        <v>31</v>
      </c>
    </row>
    <row r="1378" spans="1:10" x14ac:dyDescent="0.35">
      <c r="A1378" t="s">
        <v>1555</v>
      </c>
      <c r="B1378" s="1">
        <v>45902</v>
      </c>
      <c r="C1378" t="s">
        <v>73</v>
      </c>
      <c r="D1378" t="s">
        <v>54</v>
      </c>
      <c r="E1378" t="s">
        <v>74</v>
      </c>
      <c r="F1378" t="s">
        <v>54</v>
      </c>
      <c r="G1378">
        <v>2509.17</v>
      </c>
      <c r="H1378" t="s">
        <v>15</v>
      </c>
      <c r="I1378" t="s">
        <v>16</v>
      </c>
      <c r="J1378" t="s">
        <v>65</v>
      </c>
    </row>
    <row r="1379" spans="1:10" x14ac:dyDescent="0.35">
      <c r="A1379" t="s">
        <v>1556</v>
      </c>
      <c r="B1379" s="1">
        <v>45902</v>
      </c>
      <c r="C1379" t="s">
        <v>39</v>
      </c>
      <c r="D1379" t="s">
        <v>34</v>
      </c>
      <c r="E1379" t="s">
        <v>40</v>
      </c>
      <c r="F1379" t="s">
        <v>14</v>
      </c>
      <c r="G1379">
        <v>113.16</v>
      </c>
      <c r="H1379" t="s">
        <v>15</v>
      </c>
      <c r="I1379" t="s">
        <v>22</v>
      </c>
      <c r="J1379" t="s">
        <v>41</v>
      </c>
    </row>
    <row r="1380" spans="1:10" x14ac:dyDescent="0.35">
      <c r="A1380" t="s">
        <v>1557</v>
      </c>
      <c r="B1380" s="1">
        <v>45902</v>
      </c>
      <c r="C1380" t="s">
        <v>73</v>
      </c>
      <c r="D1380" t="s">
        <v>54</v>
      </c>
      <c r="E1380" t="s">
        <v>74</v>
      </c>
      <c r="F1380" t="s">
        <v>54</v>
      </c>
      <c r="G1380">
        <v>2327.25</v>
      </c>
      <c r="H1380" t="s">
        <v>98</v>
      </c>
      <c r="I1380" t="s">
        <v>22</v>
      </c>
      <c r="J1380" t="s">
        <v>65</v>
      </c>
    </row>
    <row r="1381" spans="1:10" x14ac:dyDescent="0.35">
      <c r="A1381" t="s">
        <v>1558</v>
      </c>
      <c r="B1381" s="1">
        <v>45903</v>
      </c>
      <c r="C1381" t="s">
        <v>143</v>
      </c>
      <c r="D1381" t="s">
        <v>54</v>
      </c>
      <c r="E1381" t="s">
        <v>55</v>
      </c>
      <c r="F1381" t="s">
        <v>54</v>
      </c>
      <c r="G1381">
        <v>735.62</v>
      </c>
      <c r="H1381" t="s">
        <v>98</v>
      </c>
      <c r="I1381" t="s">
        <v>36</v>
      </c>
      <c r="J1381" t="s">
        <v>89</v>
      </c>
    </row>
    <row r="1382" spans="1:10" x14ac:dyDescent="0.35">
      <c r="A1382" t="s">
        <v>1559</v>
      </c>
      <c r="B1382" s="1">
        <v>45903</v>
      </c>
      <c r="C1382" t="s">
        <v>63</v>
      </c>
      <c r="D1382" t="s">
        <v>54</v>
      </c>
      <c r="E1382" t="s">
        <v>64</v>
      </c>
      <c r="F1382" t="s">
        <v>54</v>
      </c>
      <c r="G1382">
        <v>381.99</v>
      </c>
      <c r="H1382" t="s">
        <v>15</v>
      </c>
      <c r="I1382" t="s">
        <v>36</v>
      </c>
      <c r="J1382" t="s">
        <v>65</v>
      </c>
    </row>
    <row r="1383" spans="1:10" x14ac:dyDescent="0.35">
      <c r="A1383" t="s">
        <v>1560</v>
      </c>
      <c r="B1383" s="1">
        <v>45903</v>
      </c>
      <c r="C1383" t="s">
        <v>33</v>
      </c>
      <c r="D1383" t="s">
        <v>34</v>
      </c>
      <c r="E1383" t="s">
        <v>35</v>
      </c>
      <c r="F1383" t="s">
        <v>14</v>
      </c>
      <c r="G1383">
        <v>107.56</v>
      </c>
      <c r="H1383" t="s">
        <v>15</v>
      </c>
      <c r="I1383" t="s">
        <v>22</v>
      </c>
      <c r="J1383" t="s">
        <v>37</v>
      </c>
    </row>
    <row r="1384" spans="1:10" x14ac:dyDescent="0.35">
      <c r="A1384" t="s">
        <v>1561</v>
      </c>
      <c r="B1384" s="1">
        <v>45903</v>
      </c>
      <c r="C1384" t="s">
        <v>269</v>
      </c>
      <c r="D1384" t="s">
        <v>34</v>
      </c>
      <c r="E1384" t="s">
        <v>35</v>
      </c>
      <c r="F1384" t="s">
        <v>14</v>
      </c>
      <c r="G1384">
        <v>55.18</v>
      </c>
      <c r="H1384" t="s">
        <v>15</v>
      </c>
      <c r="I1384" t="s">
        <v>47</v>
      </c>
      <c r="J1384" t="s">
        <v>123</v>
      </c>
    </row>
    <row r="1385" spans="1:10" x14ac:dyDescent="0.35">
      <c r="A1385" t="s">
        <v>1562</v>
      </c>
      <c r="B1385" s="1">
        <v>45903</v>
      </c>
      <c r="C1385" t="s">
        <v>138</v>
      </c>
      <c r="D1385" t="s">
        <v>12</v>
      </c>
      <c r="E1385" t="s">
        <v>26</v>
      </c>
      <c r="F1385" t="s">
        <v>14</v>
      </c>
      <c r="G1385">
        <v>35.549999999999997</v>
      </c>
      <c r="H1385" t="s">
        <v>15</v>
      </c>
      <c r="I1385" t="s">
        <v>22</v>
      </c>
      <c r="J1385" t="s">
        <v>77</v>
      </c>
    </row>
    <row r="1386" spans="1:10" x14ac:dyDescent="0.35">
      <c r="A1386" t="s">
        <v>1563</v>
      </c>
      <c r="B1386" s="1">
        <v>45903</v>
      </c>
      <c r="C1386" t="s">
        <v>46</v>
      </c>
      <c r="D1386" t="s">
        <v>12</v>
      </c>
      <c r="E1386" t="s">
        <v>13</v>
      </c>
      <c r="F1386" t="s">
        <v>14</v>
      </c>
      <c r="G1386">
        <v>66.03</v>
      </c>
      <c r="H1386" t="s">
        <v>15</v>
      </c>
      <c r="I1386" t="s">
        <v>22</v>
      </c>
      <c r="J1386" t="s">
        <v>48</v>
      </c>
    </row>
    <row r="1387" spans="1:10" x14ac:dyDescent="0.35">
      <c r="A1387" t="s">
        <v>1564</v>
      </c>
      <c r="B1387" s="1">
        <v>45904</v>
      </c>
      <c r="C1387" t="s">
        <v>157</v>
      </c>
      <c r="D1387" t="s">
        <v>29</v>
      </c>
      <c r="E1387" t="s">
        <v>95</v>
      </c>
      <c r="F1387" t="s">
        <v>14</v>
      </c>
      <c r="G1387">
        <v>61.4</v>
      </c>
      <c r="H1387" t="s">
        <v>15</v>
      </c>
      <c r="I1387" t="s">
        <v>36</v>
      </c>
      <c r="J1387" t="s">
        <v>158</v>
      </c>
    </row>
    <row r="1388" spans="1:10" x14ac:dyDescent="0.35">
      <c r="A1388" t="s">
        <v>1565</v>
      </c>
      <c r="B1388" s="1">
        <v>45904</v>
      </c>
      <c r="C1388" t="s">
        <v>125</v>
      </c>
      <c r="D1388" t="s">
        <v>12</v>
      </c>
      <c r="E1388" t="s">
        <v>13</v>
      </c>
      <c r="F1388" t="s">
        <v>14</v>
      </c>
      <c r="G1388">
        <v>78.25</v>
      </c>
      <c r="H1388" t="s">
        <v>15</v>
      </c>
      <c r="I1388" t="s">
        <v>36</v>
      </c>
      <c r="J1388" t="s">
        <v>44</v>
      </c>
    </row>
    <row r="1389" spans="1:10" x14ac:dyDescent="0.35">
      <c r="A1389" t="s">
        <v>1566</v>
      </c>
      <c r="B1389" s="1">
        <v>45904</v>
      </c>
      <c r="C1389" t="s">
        <v>227</v>
      </c>
      <c r="D1389" t="s">
        <v>12</v>
      </c>
      <c r="E1389" t="s">
        <v>51</v>
      </c>
      <c r="F1389" t="s">
        <v>14</v>
      </c>
      <c r="G1389">
        <v>47.38</v>
      </c>
      <c r="H1389" t="s">
        <v>98</v>
      </c>
      <c r="I1389" t="s">
        <v>22</v>
      </c>
      <c r="J1389" t="s">
        <v>17</v>
      </c>
    </row>
    <row r="1390" spans="1:10" x14ac:dyDescent="0.35">
      <c r="A1390" t="s">
        <v>1567</v>
      </c>
      <c r="B1390" s="1">
        <v>45904</v>
      </c>
      <c r="C1390" t="s">
        <v>331</v>
      </c>
      <c r="D1390" t="s">
        <v>29</v>
      </c>
      <c r="E1390" t="s">
        <v>95</v>
      </c>
      <c r="F1390" t="s">
        <v>14</v>
      </c>
      <c r="G1390">
        <v>38.729999999999997</v>
      </c>
      <c r="H1390" t="s">
        <v>15</v>
      </c>
      <c r="I1390" t="s">
        <v>22</v>
      </c>
      <c r="J1390" t="s">
        <v>151</v>
      </c>
    </row>
    <row r="1391" spans="1:10" x14ac:dyDescent="0.35">
      <c r="A1391" t="s">
        <v>1568</v>
      </c>
      <c r="B1391" s="1">
        <v>45905</v>
      </c>
      <c r="C1391" t="s">
        <v>217</v>
      </c>
      <c r="D1391" t="s">
        <v>80</v>
      </c>
      <c r="E1391" t="s">
        <v>81</v>
      </c>
      <c r="F1391" t="s">
        <v>14</v>
      </c>
      <c r="G1391">
        <v>72.739999999999995</v>
      </c>
      <c r="H1391" t="s">
        <v>21</v>
      </c>
      <c r="I1391" t="s">
        <v>47</v>
      </c>
      <c r="J1391" t="s">
        <v>180</v>
      </c>
    </row>
    <row r="1392" spans="1:10" x14ac:dyDescent="0.35">
      <c r="A1392" t="s">
        <v>1569</v>
      </c>
      <c r="B1392" s="1">
        <v>45905</v>
      </c>
      <c r="C1392" t="s">
        <v>63</v>
      </c>
      <c r="D1392" t="s">
        <v>54</v>
      </c>
      <c r="E1392" t="s">
        <v>64</v>
      </c>
      <c r="F1392" t="s">
        <v>54</v>
      </c>
      <c r="G1392">
        <v>351.21</v>
      </c>
      <c r="H1392" t="s">
        <v>98</v>
      </c>
      <c r="I1392" t="s">
        <v>16</v>
      </c>
      <c r="J1392" t="s">
        <v>65</v>
      </c>
    </row>
    <row r="1393" spans="1:10" x14ac:dyDescent="0.35">
      <c r="A1393" t="s">
        <v>1570</v>
      </c>
      <c r="B1393" s="1">
        <v>45905</v>
      </c>
      <c r="C1393" t="s">
        <v>39</v>
      </c>
      <c r="D1393" t="s">
        <v>34</v>
      </c>
      <c r="E1393" t="s">
        <v>40</v>
      </c>
      <c r="F1393" t="s">
        <v>14</v>
      </c>
      <c r="G1393">
        <v>78.02</v>
      </c>
      <c r="H1393" t="s">
        <v>15</v>
      </c>
      <c r="I1393" t="s">
        <v>36</v>
      </c>
      <c r="J1393" t="s">
        <v>41</v>
      </c>
    </row>
    <row r="1394" spans="1:10" x14ac:dyDescent="0.35">
      <c r="A1394" t="s">
        <v>1571</v>
      </c>
      <c r="B1394" s="1">
        <v>45906</v>
      </c>
      <c r="C1394" t="s">
        <v>189</v>
      </c>
      <c r="D1394" t="s">
        <v>34</v>
      </c>
      <c r="E1394" t="s">
        <v>122</v>
      </c>
      <c r="F1394" t="s">
        <v>14</v>
      </c>
      <c r="G1394">
        <v>87.2</v>
      </c>
      <c r="H1394" t="s">
        <v>15</v>
      </c>
      <c r="I1394" t="s">
        <v>84</v>
      </c>
      <c r="J1394" t="s">
        <v>37</v>
      </c>
    </row>
    <row r="1395" spans="1:10" x14ac:dyDescent="0.35">
      <c r="A1395" t="s">
        <v>1572</v>
      </c>
      <c r="B1395" s="1">
        <v>45906</v>
      </c>
      <c r="C1395" t="s">
        <v>238</v>
      </c>
      <c r="D1395" t="s">
        <v>34</v>
      </c>
      <c r="E1395" t="s">
        <v>35</v>
      </c>
      <c r="F1395" t="s">
        <v>14</v>
      </c>
      <c r="G1395">
        <v>142.97999999999999</v>
      </c>
      <c r="H1395" t="s">
        <v>15</v>
      </c>
      <c r="I1395" t="s">
        <v>22</v>
      </c>
      <c r="J1395" t="s">
        <v>239</v>
      </c>
    </row>
    <row r="1396" spans="1:10" x14ac:dyDescent="0.35">
      <c r="A1396" t="s">
        <v>1573</v>
      </c>
      <c r="B1396" s="1">
        <v>45906</v>
      </c>
      <c r="C1396" t="s">
        <v>272</v>
      </c>
      <c r="D1396" t="s">
        <v>54</v>
      </c>
      <c r="E1396" t="s">
        <v>55</v>
      </c>
      <c r="F1396" t="s">
        <v>54</v>
      </c>
      <c r="G1396">
        <v>724.07</v>
      </c>
      <c r="H1396" t="s">
        <v>15</v>
      </c>
      <c r="I1396" t="s">
        <v>47</v>
      </c>
      <c r="J1396" t="s">
        <v>65</v>
      </c>
    </row>
    <row r="1397" spans="1:10" x14ac:dyDescent="0.35">
      <c r="A1397" t="s">
        <v>1574</v>
      </c>
      <c r="B1397" s="1">
        <v>45906</v>
      </c>
      <c r="C1397" t="s">
        <v>220</v>
      </c>
      <c r="D1397" t="s">
        <v>59</v>
      </c>
      <c r="E1397" t="s">
        <v>199</v>
      </c>
      <c r="F1397" t="s">
        <v>14</v>
      </c>
      <c r="G1397">
        <v>113.66</v>
      </c>
      <c r="H1397" t="s">
        <v>21</v>
      </c>
      <c r="I1397" t="s">
        <v>16</v>
      </c>
      <c r="J1397" t="s">
        <v>211</v>
      </c>
    </row>
    <row r="1398" spans="1:10" x14ac:dyDescent="0.35">
      <c r="A1398" t="s">
        <v>1575</v>
      </c>
      <c r="B1398" s="1">
        <v>45906</v>
      </c>
      <c r="C1398" t="s">
        <v>168</v>
      </c>
      <c r="D1398" t="s">
        <v>59</v>
      </c>
      <c r="E1398" t="s">
        <v>60</v>
      </c>
      <c r="F1398" t="s">
        <v>14</v>
      </c>
      <c r="G1398">
        <v>300.82</v>
      </c>
      <c r="H1398" t="s">
        <v>21</v>
      </c>
      <c r="I1398" t="s">
        <v>22</v>
      </c>
      <c r="J1398" t="s">
        <v>170</v>
      </c>
    </row>
    <row r="1399" spans="1:10" x14ac:dyDescent="0.35">
      <c r="A1399" t="s">
        <v>1576</v>
      </c>
      <c r="B1399" s="1">
        <v>45907</v>
      </c>
      <c r="C1399" t="s">
        <v>130</v>
      </c>
      <c r="D1399" t="s">
        <v>12</v>
      </c>
      <c r="E1399" t="s">
        <v>26</v>
      </c>
      <c r="F1399" t="s">
        <v>14</v>
      </c>
      <c r="G1399">
        <v>77.08</v>
      </c>
      <c r="H1399" t="s">
        <v>21</v>
      </c>
      <c r="I1399" t="s">
        <v>22</v>
      </c>
      <c r="J1399" t="s">
        <v>48</v>
      </c>
    </row>
    <row r="1400" spans="1:10" x14ac:dyDescent="0.35">
      <c r="A1400" t="s">
        <v>1577</v>
      </c>
      <c r="B1400" s="1">
        <v>45907</v>
      </c>
      <c r="C1400" t="s">
        <v>824</v>
      </c>
      <c r="D1400" t="s">
        <v>69</v>
      </c>
      <c r="E1400" t="s">
        <v>233</v>
      </c>
      <c r="F1400" t="s">
        <v>14</v>
      </c>
      <c r="G1400">
        <v>242.41</v>
      </c>
      <c r="H1400" t="s">
        <v>15</v>
      </c>
      <c r="I1400" t="s">
        <v>22</v>
      </c>
      <c r="J1400" t="s">
        <v>133</v>
      </c>
    </row>
    <row r="1401" spans="1:10" x14ac:dyDescent="0.35">
      <c r="A1401" t="s">
        <v>1578</v>
      </c>
      <c r="B1401" s="1">
        <v>45907</v>
      </c>
      <c r="C1401" t="s">
        <v>198</v>
      </c>
      <c r="D1401" t="s">
        <v>59</v>
      </c>
      <c r="E1401" t="s">
        <v>199</v>
      </c>
      <c r="F1401" t="s">
        <v>14</v>
      </c>
      <c r="G1401">
        <v>380.2</v>
      </c>
      <c r="H1401" t="s">
        <v>15</v>
      </c>
      <c r="I1401" t="s">
        <v>36</v>
      </c>
      <c r="J1401" t="s">
        <v>61</v>
      </c>
    </row>
    <row r="1402" spans="1:10" x14ac:dyDescent="0.35">
      <c r="A1402" t="s">
        <v>1579</v>
      </c>
      <c r="B1402" s="1">
        <v>45907</v>
      </c>
      <c r="C1402" t="s">
        <v>445</v>
      </c>
      <c r="D1402" t="s">
        <v>101</v>
      </c>
      <c r="E1402" t="s">
        <v>244</v>
      </c>
      <c r="F1402" t="s">
        <v>14</v>
      </c>
      <c r="G1402">
        <v>39.83</v>
      </c>
      <c r="H1402" t="s">
        <v>15</v>
      </c>
      <c r="I1402" t="s">
        <v>22</v>
      </c>
      <c r="J1402" t="s">
        <v>103</v>
      </c>
    </row>
    <row r="1403" spans="1:10" x14ac:dyDescent="0.35">
      <c r="A1403" t="s">
        <v>1580</v>
      </c>
      <c r="B1403" s="1">
        <v>45907</v>
      </c>
      <c r="C1403" t="s">
        <v>155</v>
      </c>
      <c r="D1403" t="s">
        <v>12</v>
      </c>
      <c r="E1403" t="s">
        <v>51</v>
      </c>
      <c r="F1403" t="s">
        <v>14</v>
      </c>
      <c r="G1403">
        <v>72.62</v>
      </c>
      <c r="H1403" t="s">
        <v>15</v>
      </c>
      <c r="I1403" t="s">
        <v>22</v>
      </c>
      <c r="J1403" t="s">
        <v>48</v>
      </c>
    </row>
    <row r="1404" spans="1:10" x14ac:dyDescent="0.35">
      <c r="A1404" t="s">
        <v>1581</v>
      </c>
      <c r="B1404" s="1">
        <v>45908</v>
      </c>
      <c r="C1404" t="s">
        <v>204</v>
      </c>
      <c r="D1404" t="s">
        <v>12</v>
      </c>
      <c r="E1404" t="s">
        <v>51</v>
      </c>
      <c r="F1404" t="s">
        <v>14</v>
      </c>
      <c r="G1404">
        <v>64.73</v>
      </c>
      <c r="H1404" t="s">
        <v>15</v>
      </c>
      <c r="I1404" t="s">
        <v>22</v>
      </c>
      <c r="J1404" t="s">
        <v>23</v>
      </c>
    </row>
    <row r="1405" spans="1:10" x14ac:dyDescent="0.35">
      <c r="A1405" t="s">
        <v>1582</v>
      </c>
      <c r="B1405" s="1">
        <v>45908</v>
      </c>
      <c r="C1405" t="s">
        <v>109</v>
      </c>
      <c r="D1405" t="s">
        <v>34</v>
      </c>
      <c r="E1405" t="s">
        <v>35</v>
      </c>
      <c r="F1405" t="s">
        <v>14</v>
      </c>
      <c r="G1405">
        <v>354.33</v>
      </c>
      <c r="H1405" t="s">
        <v>15</v>
      </c>
      <c r="I1405" t="s">
        <v>22</v>
      </c>
      <c r="J1405" t="s">
        <v>41</v>
      </c>
    </row>
    <row r="1406" spans="1:10" x14ac:dyDescent="0.35">
      <c r="A1406" t="s">
        <v>1583</v>
      </c>
      <c r="B1406" s="1">
        <v>45908</v>
      </c>
      <c r="C1406" t="s">
        <v>113</v>
      </c>
      <c r="D1406" t="s">
        <v>34</v>
      </c>
      <c r="E1406" t="s">
        <v>40</v>
      </c>
      <c r="F1406" t="s">
        <v>14</v>
      </c>
      <c r="G1406">
        <v>77.17</v>
      </c>
      <c r="H1406" t="s">
        <v>15</v>
      </c>
      <c r="I1406" t="s">
        <v>36</v>
      </c>
      <c r="J1406" t="s">
        <v>37</v>
      </c>
    </row>
    <row r="1407" spans="1:10" x14ac:dyDescent="0.35">
      <c r="A1407" t="s">
        <v>1584</v>
      </c>
      <c r="B1407" s="1">
        <v>45908</v>
      </c>
      <c r="C1407" t="s">
        <v>25</v>
      </c>
      <c r="D1407" t="s">
        <v>12</v>
      </c>
      <c r="E1407" t="s">
        <v>26</v>
      </c>
      <c r="F1407" t="s">
        <v>14</v>
      </c>
      <c r="G1407">
        <v>34.700000000000003</v>
      </c>
      <c r="H1407" t="s">
        <v>15</v>
      </c>
      <c r="I1407" t="s">
        <v>36</v>
      </c>
      <c r="J1407" t="s">
        <v>17</v>
      </c>
    </row>
    <row r="1408" spans="1:10" x14ac:dyDescent="0.35">
      <c r="A1408" t="s">
        <v>1585</v>
      </c>
      <c r="B1408" s="1">
        <v>45908</v>
      </c>
      <c r="C1408" t="s">
        <v>168</v>
      </c>
      <c r="D1408" t="s">
        <v>59</v>
      </c>
      <c r="E1408" t="s">
        <v>60</v>
      </c>
      <c r="F1408" t="s">
        <v>14</v>
      </c>
      <c r="G1408">
        <v>253.48</v>
      </c>
      <c r="H1408" t="s">
        <v>21</v>
      </c>
      <c r="I1408" t="s">
        <v>36</v>
      </c>
      <c r="J1408" t="s">
        <v>170</v>
      </c>
    </row>
    <row r="1409" spans="1:10" x14ac:dyDescent="0.35">
      <c r="A1409" t="s">
        <v>1586</v>
      </c>
      <c r="B1409" s="1">
        <v>45908</v>
      </c>
      <c r="C1409" t="s">
        <v>411</v>
      </c>
      <c r="D1409" t="s">
        <v>29</v>
      </c>
      <c r="E1409" t="s">
        <v>151</v>
      </c>
      <c r="F1409" t="s">
        <v>14</v>
      </c>
      <c r="G1409">
        <v>33.82</v>
      </c>
      <c r="H1409" t="s">
        <v>15</v>
      </c>
      <c r="I1409" t="s">
        <v>84</v>
      </c>
      <c r="J1409" t="s">
        <v>151</v>
      </c>
    </row>
    <row r="1410" spans="1:10" x14ac:dyDescent="0.35">
      <c r="A1410" t="s">
        <v>1587</v>
      </c>
      <c r="B1410" s="1">
        <v>45908</v>
      </c>
      <c r="C1410" t="s">
        <v>272</v>
      </c>
      <c r="D1410" t="s">
        <v>54</v>
      </c>
      <c r="E1410" t="s">
        <v>55</v>
      </c>
      <c r="F1410" t="s">
        <v>54</v>
      </c>
      <c r="G1410">
        <v>775.74</v>
      </c>
      <c r="H1410" t="s">
        <v>21</v>
      </c>
      <c r="I1410" t="s">
        <v>47</v>
      </c>
      <c r="J1410" t="s">
        <v>65</v>
      </c>
    </row>
    <row r="1411" spans="1:10" x14ac:dyDescent="0.35">
      <c r="A1411" t="s">
        <v>1588</v>
      </c>
      <c r="B1411" s="1">
        <v>45908</v>
      </c>
      <c r="C1411" t="s">
        <v>140</v>
      </c>
      <c r="D1411" t="s">
        <v>80</v>
      </c>
      <c r="E1411" t="s">
        <v>81</v>
      </c>
      <c r="F1411" t="s">
        <v>14</v>
      </c>
      <c r="G1411">
        <v>154.6</v>
      </c>
      <c r="H1411" t="s">
        <v>15</v>
      </c>
      <c r="I1411" t="s">
        <v>22</v>
      </c>
      <c r="J1411" t="s">
        <v>141</v>
      </c>
    </row>
    <row r="1412" spans="1:10" x14ac:dyDescent="0.35">
      <c r="A1412" t="s">
        <v>1589</v>
      </c>
      <c r="B1412" s="1">
        <v>45908</v>
      </c>
      <c r="C1412" t="s">
        <v>415</v>
      </c>
      <c r="D1412" t="s">
        <v>12</v>
      </c>
      <c r="E1412" t="s">
        <v>51</v>
      </c>
      <c r="F1412" t="s">
        <v>14</v>
      </c>
      <c r="G1412">
        <v>111.56</v>
      </c>
      <c r="H1412" t="s">
        <v>15</v>
      </c>
      <c r="I1412" t="s">
        <v>16</v>
      </c>
      <c r="J1412" t="s">
        <v>77</v>
      </c>
    </row>
    <row r="1413" spans="1:10" x14ac:dyDescent="0.35">
      <c r="A1413" t="s">
        <v>1590</v>
      </c>
      <c r="B1413" s="1">
        <v>45908</v>
      </c>
      <c r="C1413" t="s">
        <v>143</v>
      </c>
      <c r="D1413" t="s">
        <v>54</v>
      </c>
      <c r="E1413" t="s">
        <v>55</v>
      </c>
      <c r="F1413" t="s">
        <v>54</v>
      </c>
      <c r="G1413">
        <v>667.66</v>
      </c>
      <c r="H1413" t="s">
        <v>21</v>
      </c>
      <c r="I1413" t="s">
        <v>36</v>
      </c>
      <c r="J1413" t="s">
        <v>89</v>
      </c>
    </row>
    <row r="1414" spans="1:10" x14ac:dyDescent="0.35">
      <c r="A1414" t="s">
        <v>1591</v>
      </c>
      <c r="B1414" s="1">
        <v>45908</v>
      </c>
      <c r="C1414" t="s">
        <v>43</v>
      </c>
      <c r="D1414" t="s">
        <v>12</v>
      </c>
      <c r="E1414" t="s">
        <v>26</v>
      </c>
      <c r="F1414" t="s">
        <v>14</v>
      </c>
      <c r="G1414">
        <v>23.07</v>
      </c>
      <c r="H1414" t="s">
        <v>98</v>
      </c>
      <c r="I1414" t="s">
        <v>36</v>
      </c>
      <c r="J1414" t="s">
        <v>44</v>
      </c>
    </row>
    <row r="1415" spans="1:10" x14ac:dyDescent="0.35">
      <c r="A1415" t="s">
        <v>1592</v>
      </c>
      <c r="B1415" s="1">
        <v>45909</v>
      </c>
      <c r="C1415" t="s">
        <v>345</v>
      </c>
      <c r="D1415" t="s">
        <v>59</v>
      </c>
      <c r="E1415" t="s">
        <v>60</v>
      </c>
      <c r="F1415" t="s">
        <v>14</v>
      </c>
      <c r="G1415">
        <v>207.56</v>
      </c>
      <c r="H1415" t="s">
        <v>15</v>
      </c>
      <c r="I1415" t="s">
        <v>16</v>
      </c>
      <c r="J1415" t="s">
        <v>211</v>
      </c>
    </row>
    <row r="1416" spans="1:10" x14ac:dyDescent="0.35">
      <c r="A1416" t="s">
        <v>1593</v>
      </c>
      <c r="B1416" s="1">
        <v>45909</v>
      </c>
      <c r="C1416" t="s">
        <v>50</v>
      </c>
      <c r="D1416" t="s">
        <v>12</v>
      </c>
      <c r="E1416" t="s">
        <v>51</v>
      </c>
      <c r="F1416" t="s">
        <v>14</v>
      </c>
      <c r="G1416">
        <v>21.2</v>
      </c>
      <c r="H1416" t="s">
        <v>15</v>
      </c>
      <c r="I1416" t="s">
        <v>36</v>
      </c>
      <c r="J1416" t="s">
        <v>44</v>
      </c>
    </row>
    <row r="1417" spans="1:10" x14ac:dyDescent="0.35">
      <c r="A1417" t="s">
        <v>1594</v>
      </c>
      <c r="B1417" s="1">
        <v>45909</v>
      </c>
      <c r="C1417" t="s">
        <v>168</v>
      </c>
      <c r="D1417" t="s">
        <v>59</v>
      </c>
      <c r="E1417" t="s">
        <v>60</v>
      </c>
      <c r="F1417" t="s">
        <v>14</v>
      </c>
      <c r="G1417">
        <v>358.96</v>
      </c>
      <c r="H1417" t="s">
        <v>21</v>
      </c>
      <c r="I1417" t="s">
        <v>16</v>
      </c>
      <c r="J1417" t="s">
        <v>170</v>
      </c>
    </row>
    <row r="1418" spans="1:10" x14ac:dyDescent="0.35">
      <c r="A1418" t="s">
        <v>1595</v>
      </c>
      <c r="B1418" s="1">
        <v>45909</v>
      </c>
      <c r="C1418" t="s">
        <v>281</v>
      </c>
      <c r="D1418" t="s">
        <v>34</v>
      </c>
      <c r="E1418" t="s">
        <v>40</v>
      </c>
      <c r="F1418" t="s">
        <v>14</v>
      </c>
      <c r="G1418">
        <v>55.4</v>
      </c>
      <c r="H1418" t="s">
        <v>98</v>
      </c>
      <c r="I1418" t="s">
        <v>36</v>
      </c>
      <c r="J1418" t="s">
        <v>123</v>
      </c>
    </row>
    <row r="1419" spans="1:10" x14ac:dyDescent="0.35">
      <c r="A1419" t="s">
        <v>1596</v>
      </c>
      <c r="B1419" s="1">
        <v>45909</v>
      </c>
      <c r="C1419" t="s">
        <v>192</v>
      </c>
      <c r="D1419" t="s">
        <v>80</v>
      </c>
      <c r="E1419" t="s">
        <v>92</v>
      </c>
      <c r="F1419" t="s">
        <v>14</v>
      </c>
      <c r="G1419">
        <v>50.67</v>
      </c>
      <c r="H1419" t="s">
        <v>15</v>
      </c>
      <c r="I1419" t="s">
        <v>22</v>
      </c>
      <c r="J1419" t="s">
        <v>180</v>
      </c>
    </row>
    <row r="1420" spans="1:10" x14ac:dyDescent="0.35">
      <c r="A1420" t="s">
        <v>1597</v>
      </c>
      <c r="B1420" s="1">
        <v>45909</v>
      </c>
      <c r="C1420" t="s">
        <v>177</v>
      </c>
      <c r="D1420" t="s">
        <v>54</v>
      </c>
      <c r="E1420" t="s">
        <v>74</v>
      </c>
      <c r="F1420" t="s">
        <v>54</v>
      </c>
      <c r="G1420">
        <v>2434.5500000000002</v>
      </c>
      <c r="H1420" t="s">
        <v>15</v>
      </c>
      <c r="I1420" t="s">
        <v>22</v>
      </c>
      <c r="J1420" t="s">
        <v>56</v>
      </c>
    </row>
    <row r="1421" spans="1:10" x14ac:dyDescent="0.35">
      <c r="A1421" t="s">
        <v>1598</v>
      </c>
      <c r="B1421" s="1">
        <v>45909</v>
      </c>
      <c r="C1421" t="s">
        <v>204</v>
      </c>
      <c r="D1421" t="s">
        <v>12</v>
      </c>
      <c r="E1421" t="s">
        <v>51</v>
      </c>
      <c r="F1421" t="s">
        <v>14</v>
      </c>
      <c r="G1421">
        <v>24.6</v>
      </c>
      <c r="H1421" t="s">
        <v>15</v>
      </c>
      <c r="I1421" t="s">
        <v>22</v>
      </c>
      <c r="J1421" t="s">
        <v>23</v>
      </c>
    </row>
    <row r="1422" spans="1:10" x14ac:dyDescent="0.35">
      <c r="A1422" t="s">
        <v>1599</v>
      </c>
      <c r="B1422" s="1">
        <v>45910</v>
      </c>
      <c r="C1422" t="s">
        <v>94</v>
      </c>
      <c r="D1422" t="s">
        <v>29</v>
      </c>
      <c r="E1422" t="s">
        <v>95</v>
      </c>
      <c r="F1422" t="s">
        <v>14</v>
      </c>
      <c r="G1422">
        <v>33.380000000000003</v>
      </c>
      <c r="H1422" t="s">
        <v>15</v>
      </c>
      <c r="I1422" t="s">
        <v>22</v>
      </c>
      <c r="J1422" t="s">
        <v>96</v>
      </c>
    </row>
    <row r="1423" spans="1:10" x14ac:dyDescent="0.35">
      <c r="A1423" t="s">
        <v>1600</v>
      </c>
      <c r="B1423" s="1">
        <v>45910</v>
      </c>
      <c r="C1423" t="s">
        <v>1491</v>
      </c>
      <c r="D1423" t="s">
        <v>69</v>
      </c>
      <c r="E1423" t="s">
        <v>233</v>
      </c>
      <c r="F1423" t="s">
        <v>14</v>
      </c>
      <c r="G1423">
        <v>476.28</v>
      </c>
      <c r="H1423" t="s">
        <v>15</v>
      </c>
      <c r="I1423" t="s">
        <v>36</v>
      </c>
      <c r="J1423" t="s">
        <v>396</v>
      </c>
    </row>
    <row r="1424" spans="1:10" x14ac:dyDescent="0.35">
      <c r="A1424" t="s">
        <v>1601</v>
      </c>
      <c r="B1424" s="1">
        <v>45911</v>
      </c>
      <c r="C1424" t="s">
        <v>184</v>
      </c>
      <c r="D1424" t="s">
        <v>59</v>
      </c>
      <c r="E1424" t="s">
        <v>185</v>
      </c>
      <c r="F1424" t="s">
        <v>14</v>
      </c>
      <c r="G1424">
        <v>237.95</v>
      </c>
      <c r="H1424" t="s">
        <v>15</v>
      </c>
      <c r="I1424" t="s">
        <v>16</v>
      </c>
      <c r="J1424" t="s">
        <v>61</v>
      </c>
    </row>
    <row r="1425" spans="1:10" x14ac:dyDescent="0.35">
      <c r="A1425" t="s">
        <v>1602</v>
      </c>
      <c r="B1425" s="1">
        <v>45911</v>
      </c>
      <c r="C1425" t="s">
        <v>198</v>
      </c>
      <c r="D1425" t="s">
        <v>59</v>
      </c>
      <c r="E1425" t="s">
        <v>199</v>
      </c>
      <c r="F1425" t="s">
        <v>14</v>
      </c>
      <c r="G1425">
        <v>131.68</v>
      </c>
      <c r="H1425" t="s">
        <v>15</v>
      </c>
      <c r="I1425" t="s">
        <v>47</v>
      </c>
      <c r="J1425" t="s">
        <v>61</v>
      </c>
    </row>
    <row r="1426" spans="1:10" x14ac:dyDescent="0.35">
      <c r="A1426" t="s">
        <v>1603</v>
      </c>
      <c r="B1426" s="1">
        <v>45911</v>
      </c>
      <c r="C1426" t="s">
        <v>113</v>
      </c>
      <c r="D1426" t="s">
        <v>34</v>
      </c>
      <c r="E1426" t="s">
        <v>40</v>
      </c>
      <c r="F1426" t="s">
        <v>14</v>
      </c>
      <c r="G1426">
        <v>264.14999999999998</v>
      </c>
      <c r="H1426" t="s">
        <v>21</v>
      </c>
      <c r="I1426" t="s">
        <v>36</v>
      </c>
      <c r="J1426" t="s">
        <v>37</v>
      </c>
    </row>
    <row r="1427" spans="1:10" x14ac:dyDescent="0.35">
      <c r="A1427" t="s">
        <v>1604</v>
      </c>
      <c r="B1427" s="1">
        <v>45911</v>
      </c>
      <c r="C1427" t="s">
        <v>580</v>
      </c>
      <c r="D1427" t="s">
        <v>80</v>
      </c>
      <c r="E1427" t="s">
        <v>81</v>
      </c>
      <c r="F1427" t="s">
        <v>14</v>
      </c>
      <c r="G1427">
        <v>15.27</v>
      </c>
      <c r="H1427" t="s">
        <v>21</v>
      </c>
      <c r="I1427" t="s">
        <v>22</v>
      </c>
      <c r="J1427" t="s">
        <v>118</v>
      </c>
    </row>
    <row r="1428" spans="1:10" x14ac:dyDescent="0.35">
      <c r="A1428" t="s">
        <v>1605</v>
      </c>
      <c r="B1428" s="1">
        <v>45911</v>
      </c>
      <c r="C1428" t="s">
        <v>58</v>
      </c>
      <c r="D1428" t="s">
        <v>59</v>
      </c>
      <c r="E1428" t="s">
        <v>60</v>
      </c>
      <c r="F1428" t="s">
        <v>14</v>
      </c>
      <c r="G1428">
        <v>222.74</v>
      </c>
      <c r="H1428" t="s">
        <v>15</v>
      </c>
      <c r="I1428" t="s">
        <v>36</v>
      </c>
      <c r="J1428" t="s">
        <v>61</v>
      </c>
    </row>
    <row r="1429" spans="1:10" x14ac:dyDescent="0.35">
      <c r="A1429" t="s">
        <v>1606</v>
      </c>
      <c r="B1429" s="1">
        <v>45911</v>
      </c>
      <c r="C1429" t="s">
        <v>179</v>
      </c>
      <c r="D1429" t="s">
        <v>80</v>
      </c>
      <c r="E1429" t="s">
        <v>117</v>
      </c>
      <c r="F1429" t="s">
        <v>14</v>
      </c>
      <c r="G1429">
        <v>37.909999999999997</v>
      </c>
      <c r="H1429" t="s">
        <v>21</v>
      </c>
      <c r="I1429" t="s">
        <v>22</v>
      </c>
      <c r="J1429" t="s">
        <v>180</v>
      </c>
    </row>
    <row r="1430" spans="1:10" x14ac:dyDescent="0.35">
      <c r="A1430" t="s">
        <v>1607</v>
      </c>
      <c r="B1430" s="1">
        <v>45911</v>
      </c>
      <c r="C1430" t="s">
        <v>58</v>
      </c>
      <c r="D1430" t="s">
        <v>59</v>
      </c>
      <c r="E1430" t="s">
        <v>60</v>
      </c>
      <c r="F1430" t="s">
        <v>14</v>
      </c>
      <c r="G1430">
        <v>108.36</v>
      </c>
      <c r="H1430" t="s">
        <v>15</v>
      </c>
      <c r="I1430" t="s">
        <v>257</v>
      </c>
      <c r="J1430" t="s">
        <v>61</v>
      </c>
    </row>
    <row r="1431" spans="1:10" x14ac:dyDescent="0.35">
      <c r="A1431" t="s">
        <v>1608</v>
      </c>
      <c r="B1431" s="1">
        <v>45911</v>
      </c>
      <c r="C1431" t="s">
        <v>345</v>
      </c>
      <c r="D1431" t="s">
        <v>59</v>
      </c>
      <c r="E1431" t="s">
        <v>60</v>
      </c>
      <c r="F1431" t="s">
        <v>14</v>
      </c>
      <c r="G1431">
        <v>707.3</v>
      </c>
      <c r="H1431" t="s">
        <v>15</v>
      </c>
      <c r="I1431" t="s">
        <v>16</v>
      </c>
      <c r="J1431" t="s">
        <v>211</v>
      </c>
    </row>
    <row r="1432" spans="1:10" x14ac:dyDescent="0.35">
      <c r="A1432" t="s">
        <v>1609</v>
      </c>
      <c r="B1432" s="1">
        <v>45912</v>
      </c>
      <c r="C1432" t="s">
        <v>269</v>
      </c>
      <c r="D1432" t="s">
        <v>34</v>
      </c>
      <c r="E1432" t="s">
        <v>35</v>
      </c>
      <c r="F1432" t="s">
        <v>14</v>
      </c>
      <c r="G1432">
        <v>61.54</v>
      </c>
      <c r="H1432" t="s">
        <v>21</v>
      </c>
      <c r="I1432" t="s">
        <v>36</v>
      </c>
      <c r="J1432" t="s">
        <v>123</v>
      </c>
    </row>
    <row r="1433" spans="1:10" x14ac:dyDescent="0.35">
      <c r="A1433" t="s">
        <v>1610</v>
      </c>
      <c r="B1433" s="1">
        <v>45912</v>
      </c>
      <c r="C1433" t="s">
        <v>179</v>
      </c>
      <c r="D1433" t="s">
        <v>80</v>
      </c>
      <c r="E1433" t="s">
        <v>117</v>
      </c>
      <c r="F1433" t="s">
        <v>14</v>
      </c>
      <c r="G1433">
        <v>31.94</v>
      </c>
      <c r="H1433" t="s">
        <v>15</v>
      </c>
      <c r="I1433" t="s">
        <v>22</v>
      </c>
      <c r="J1433" t="s">
        <v>180</v>
      </c>
    </row>
    <row r="1434" spans="1:10" x14ac:dyDescent="0.35">
      <c r="A1434" t="s">
        <v>1611</v>
      </c>
      <c r="B1434" s="1">
        <v>45912</v>
      </c>
      <c r="C1434" t="s">
        <v>76</v>
      </c>
      <c r="D1434" t="s">
        <v>12</v>
      </c>
      <c r="E1434" t="s">
        <v>13</v>
      </c>
      <c r="F1434" t="s">
        <v>14</v>
      </c>
      <c r="G1434">
        <v>63.19</v>
      </c>
      <c r="H1434" t="s">
        <v>15</v>
      </c>
      <c r="I1434" t="s">
        <v>47</v>
      </c>
      <c r="J1434" t="s">
        <v>77</v>
      </c>
    </row>
    <row r="1435" spans="1:10" x14ac:dyDescent="0.35">
      <c r="A1435" t="s">
        <v>1612</v>
      </c>
      <c r="B1435" s="1">
        <v>45912</v>
      </c>
      <c r="C1435" t="s">
        <v>25</v>
      </c>
      <c r="D1435" t="s">
        <v>12</v>
      </c>
      <c r="E1435" t="s">
        <v>26</v>
      </c>
      <c r="F1435" t="s">
        <v>14</v>
      </c>
      <c r="G1435">
        <v>25.18</v>
      </c>
      <c r="H1435" t="s">
        <v>15</v>
      </c>
      <c r="I1435" t="s">
        <v>22</v>
      </c>
      <c r="J1435" t="s">
        <v>17</v>
      </c>
    </row>
    <row r="1436" spans="1:10" x14ac:dyDescent="0.35">
      <c r="A1436" t="s">
        <v>1613</v>
      </c>
      <c r="B1436" s="1">
        <v>45913</v>
      </c>
      <c r="C1436" t="s">
        <v>445</v>
      </c>
      <c r="D1436" t="s">
        <v>101</v>
      </c>
      <c r="E1436" t="s">
        <v>244</v>
      </c>
      <c r="F1436" t="s">
        <v>14</v>
      </c>
      <c r="G1436">
        <v>16.11</v>
      </c>
      <c r="H1436" t="s">
        <v>21</v>
      </c>
      <c r="I1436" t="s">
        <v>47</v>
      </c>
      <c r="J1436" t="s">
        <v>103</v>
      </c>
    </row>
    <row r="1437" spans="1:10" x14ac:dyDescent="0.35">
      <c r="A1437" t="s">
        <v>1614</v>
      </c>
      <c r="B1437" s="1">
        <v>45913</v>
      </c>
      <c r="C1437" t="s">
        <v>150</v>
      </c>
      <c r="D1437" t="s">
        <v>29</v>
      </c>
      <c r="E1437" t="s">
        <v>30</v>
      </c>
      <c r="F1437" t="s">
        <v>14</v>
      </c>
      <c r="G1437">
        <v>10.44</v>
      </c>
      <c r="H1437" t="s">
        <v>21</v>
      </c>
      <c r="I1437" t="s">
        <v>22</v>
      </c>
      <c r="J1437" t="s">
        <v>151</v>
      </c>
    </row>
    <row r="1438" spans="1:10" x14ac:dyDescent="0.35">
      <c r="A1438" t="s">
        <v>1615</v>
      </c>
      <c r="B1438" s="1">
        <v>45913</v>
      </c>
      <c r="C1438" t="s">
        <v>168</v>
      </c>
      <c r="D1438" t="s">
        <v>59</v>
      </c>
      <c r="E1438" t="s">
        <v>60</v>
      </c>
      <c r="F1438" t="s">
        <v>14</v>
      </c>
      <c r="G1438">
        <v>204.54</v>
      </c>
      <c r="H1438" t="s">
        <v>15</v>
      </c>
      <c r="I1438" t="s">
        <v>16</v>
      </c>
      <c r="J1438" t="s">
        <v>170</v>
      </c>
    </row>
    <row r="1439" spans="1:10" x14ac:dyDescent="0.35">
      <c r="A1439" t="s">
        <v>1616</v>
      </c>
      <c r="B1439" s="1">
        <v>45913</v>
      </c>
      <c r="C1439" t="s">
        <v>11</v>
      </c>
      <c r="D1439" t="s">
        <v>12</v>
      </c>
      <c r="E1439" t="s">
        <v>13</v>
      </c>
      <c r="F1439" t="s">
        <v>14</v>
      </c>
      <c r="G1439">
        <v>169.82</v>
      </c>
      <c r="H1439" t="s">
        <v>15</v>
      </c>
      <c r="I1439" t="s">
        <v>47</v>
      </c>
      <c r="J1439" t="s">
        <v>17</v>
      </c>
    </row>
    <row r="1440" spans="1:10" x14ac:dyDescent="0.35">
      <c r="A1440" t="s">
        <v>1617</v>
      </c>
      <c r="B1440" s="1">
        <v>45914</v>
      </c>
      <c r="C1440" t="s">
        <v>172</v>
      </c>
      <c r="D1440" t="s">
        <v>101</v>
      </c>
      <c r="E1440" t="s">
        <v>102</v>
      </c>
      <c r="F1440" t="s">
        <v>14</v>
      </c>
      <c r="G1440">
        <v>119.68</v>
      </c>
      <c r="H1440" t="s">
        <v>21</v>
      </c>
      <c r="I1440" t="s">
        <v>22</v>
      </c>
      <c r="J1440" t="s">
        <v>102</v>
      </c>
    </row>
    <row r="1441" spans="1:10" x14ac:dyDescent="0.35">
      <c r="A1441" t="s">
        <v>1618</v>
      </c>
      <c r="B1441" s="1">
        <v>45914</v>
      </c>
      <c r="C1441" t="s">
        <v>111</v>
      </c>
      <c r="D1441" t="s">
        <v>12</v>
      </c>
      <c r="E1441" t="s">
        <v>26</v>
      </c>
      <c r="F1441" t="s">
        <v>14</v>
      </c>
      <c r="G1441">
        <v>31</v>
      </c>
      <c r="H1441" t="s">
        <v>98</v>
      </c>
      <c r="I1441" t="s">
        <v>22</v>
      </c>
      <c r="J1441" t="s">
        <v>23</v>
      </c>
    </row>
    <row r="1442" spans="1:10" x14ac:dyDescent="0.35">
      <c r="A1442" t="s">
        <v>1619</v>
      </c>
      <c r="B1442" s="1">
        <v>45914</v>
      </c>
      <c r="C1442" t="s">
        <v>160</v>
      </c>
      <c r="D1442" t="s">
        <v>80</v>
      </c>
      <c r="E1442" t="s">
        <v>117</v>
      </c>
      <c r="F1442" t="s">
        <v>14</v>
      </c>
      <c r="G1442">
        <v>32.590000000000003</v>
      </c>
      <c r="H1442" t="s">
        <v>15</v>
      </c>
      <c r="I1442" t="s">
        <v>22</v>
      </c>
      <c r="J1442" t="s">
        <v>161</v>
      </c>
    </row>
    <row r="1443" spans="1:10" x14ac:dyDescent="0.35">
      <c r="A1443" t="s">
        <v>1620</v>
      </c>
      <c r="B1443" s="1">
        <v>45914</v>
      </c>
      <c r="C1443" t="s">
        <v>194</v>
      </c>
      <c r="D1443" t="s">
        <v>101</v>
      </c>
      <c r="E1443" t="s">
        <v>136</v>
      </c>
      <c r="F1443" t="s">
        <v>14</v>
      </c>
      <c r="G1443">
        <v>31.25</v>
      </c>
      <c r="H1443" t="s">
        <v>98</v>
      </c>
      <c r="I1443" t="s">
        <v>16</v>
      </c>
      <c r="J1443" t="s">
        <v>103</v>
      </c>
    </row>
    <row r="1444" spans="1:10" x14ac:dyDescent="0.35">
      <c r="A1444" t="s">
        <v>1621</v>
      </c>
      <c r="B1444" s="1">
        <v>45914</v>
      </c>
      <c r="C1444" t="s">
        <v>272</v>
      </c>
      <c r="D1444" t="s">
        <v>54</v>
      </c>
      <c r="E1444" t="s">
        <v>55</v>
      </c>
      <c r="F1444" t="s">
        <v>54</v>
      </c>
      <c r="G1444">
        <v>759.06</v>
      </c>
      <c r="H1444" t="s">
        <v>15</v>
      </c>
      <c r="I1444" t="s">
        <v>16</v>
      </c>
      <c r="J1444" t="s">
        <v>65</v>
      </c>
    </row>
    <row r="1445" spans="1:10" x14ac:dyDescent="0.35">
      <c r="A1445" t="s">
        <v>1622</v>
      </c>
      <c r="B1445" s="1">
        <v>45914</v>
      </c>
      <c r="C1445" t="s">
        <v>177</v>
      </c>
      <c r="D1445" t="s">
        <v>54</v>
      </c>
      <c r="E1445" t="s">
        <v>74</v>
      </c>
      <c r="F1445" t="s">
        <v>54</v>
      </c>
      <c r="G1445">
        <v>2325.4899999999998</v>
      </c>
      <c r="H1445" t="s">
        <v>15</v>
      </c>
      <c r="I1445" t="s">
        <v>47</v>
      </c>
      <c r="J1445" t="s">
        <v>1623</v>
      </c>
    </row>
    <row r="1446" spans="1:10" x14ac:dyDescent="0.35">
      <c r="A1446" t="s">
        <v>1624</v>
      </c>
      <c r="B1446" s="1">
        <v>45915</v>
      </c>
      <c r="C1446" t="s">
        <v>238</v>
      </c>
      <c r="D1446" t="s">
        <v>34</v>
      </c>
      <c r="E1446" t="s">
        <v>35</v>
      </c>
      <c r="F1446" t="s">
        <v>14</v>
      </c>
      <c r="G1446">
        <v>85.55</v>
      </c>
      <c r="H1446" t="s">
        <v>15</v>
      </c>
      <c r="I1446" t="s">
        <v>47</v>
      </c>
      <c r="J1446" t="s">
        <v>239</v>
      </c>
    </row>
    <row r="1447" spans="1:10" x14ac:dyDescent="0.35">
      <c r="A1447" t="s">
        <v>1625</v>
      </c>
      <c r="B1447" s="1">
        <v>45915</v>
      </c>
      <c r="C1447" t="s">
        <v>138</v>
      </c>
      <c r="D1447" t="s">
        <v>12</v>
      </c>
      <c r="E1447" t="s">
        <v>26</v>
      </c>
      <c r="F1447" t="s">
        <v>14</v>
      </c>
      <c r="G1447">
        <v>20.11</v>
      </c>
      <c r="H1447" t="s">
        <v>21</v>
      </c>
      <c r="I1447" t="s">
        <v>16</v>
      </c>
      <c r="J1447" t="s">
        <v>77</v>
      </c>
    </row>
    <row r="1448" spans="1:10" x14ac:dyDescent="0.35">
      <c r="A1448" t="s">
        <v>1626</v>
      </c>
      <c r="B1448" s="1">
        <v>45915</v>
      </c>
      <c r="C1448" t="s">
        <v>253</v>
      </c>
      <c r="D1448" t="s">
        <v>29</v>
      </c>
      <c r="E1448" t="s">
        <v>30</v>
      </c>
      <c r="F1448" t="s">
        <v>14</v>
      </c>
      <c r="G1448">
        <v>103.44</v>
      </c>
      <c r="H1448" t="s">
        <v>15</v>
      </c>
      <c r="I1448" t="s">
        <v>22</v>
      </c>
      <c r="J1448" t="s">
        <v>158</v>
      </c>
    </row>
    <row r="1449" spans="1:10" x14ac:dyDescent="0.35">
      <c r="A1449" t="s">
        <v>1627</v>
      </c>
      <c r="B1449" s="1">
        <v>45915</v>
      </c>
      <c r="C1449" t="s">
        <v>116</v>
      </c>
      <c r="D1449" t="s">
        <v>80</v>
      </c>
      <c r="E1449" t="s">
        <v>117</v>
      </c>
      <c r="F1449" t="s">
        <v>14</v>
      </c>
      <c r="G1449">
        <v>23.73</v>
      </c>
      <c r="H1449" t="s">
        <v>21</v>
      </c>
      <c r="I1449" t="s">
        <v>84</v>
      </c>
      <c r="J1449" t="s">
        <v>118</v>
      </c>
    </row>
    <row r="1450" spans="1:10" x14ac:dyDescent="0.35">
      <c r="A1450" t="s">
        <v>1628</v>
      </c>
      <c r="B1450" s="1">
        <v>45916</v>
      </c>
      <c r="C1450" t="s">
        <v>25</v>
      </c>
      <c r="D1450" t="s">
        <v>12</v>
      </c>
      <c r="E1450" t="s">
        <v>26</v>
      </c>
      <c r="F1450" t="s">
        <v>14</v>
      </c>
      <c r="G1450">
        <v>26.2</v>
      </c>
      <c r="H1450" t="s">
        <v>98</v>
      </c>
      <c r="I1450" t="s">
        <v>22</v>
      </c>
      <c r="J1450" t="s">
        <v>17</v>
      </c>
    </row>
    <row r="1451" spans="1:10" x14ac:dyDescent="0.35">
      <c r="A1451" t="s">
        <v>1629</v>
      </c>
      <c r="B1451" s="1">
        <v>45916</v>
      </c>
      <c r="C1451" t="s">
        <v>272</v>
      </c>
      <c r="D1451" t="s">
        <v>54</v>
      </c>
      <c r="E1451" t="s">
        <v>55</v>
      </c>
      <c r="F1451" t="s">
        <v>54</v>
      </c>
      <c r="G1451">
        <v>691.96</v>
      </c>
      <c r="H1451" t="s">
        <v>15</v>
      </c>
      <c r="I1451" t="s">
        <v>22</v>
      </c>
      <c r="J1451" t="s">
        <v>65</v>
      </c>
    </row>
    <row r="1452" spans="1:10" x14ac:dyDescent="0.35">
      <c r="A1452" t="s">
        <v>1630</v>
      </c>
      <c r="B1452" s="1">
        <v>45916</v>
      </c>
      <c r="C1452" t="s">
        <v>116</v>
      </c>
      <c r="D1452" t="s">
        <v>80</v>
      </c>
      <c r="E1452" t="s">
        <v>117</v>
      </c>
      <c r="F1452" t="s">
        <v>14</v>
      </c>
      <c r="G1452">
        <v>21.33</v>
      </c>
      <c r="H1452" t="s">
        <v>15</v>
      </c>
      <c r="I1452" t="s">
        <v>36</v>
      </c>
      <c r="J1452" t="s">
        <v>118</v>
      </c>
    </row>
    <row r="1453" spans="1:10" x14ac:dyDescent="0.35">
      <c r="A1453" t="s">
        <v>1631</v>
      </c>
      <c r="B1453" s="1">
        <v>45916</v>
      </c>
      <c r="C1453" t="s">
        <v>113</v>
      </c>
      <c r="D1453" t="s">
        <v>34</v>
      </c>
      <c r="E1453" t="s">
        <v>40</v>
      </c>
      <c r="F1453" t="s">
        <v>14</v>
      </c>
      <c r="G1453">
        <v>120.51</v>
      </c>
      <c r="H1453" t="s">
        <v>21</v>
      </c>
      <c r="I1453" t="s">
        <v>22</v>
      </c>
      <c r="J1453" t="s">
        <v>37</v>
      </c>
    </row>
    <row r="1454" spans="1:10" x14ac:dyDescent="0.35">
      <c r="A1454" t="s">
        <v>1632</v>
      </c>
      <c r="B1454" s="1">
        <v>45916</v>
      </c>
      <c r="C1454" t="s">
        <v>272</v>
      </c>
      <c r="D1454" t="s">
        <v>54</v>
      </c>
      <c r="E1454" t="s">
        <v>55</v>
      </c>
      <c r="F1454" t="s">
        <v>54</v>
      </c>
      <c r="G1454">
        <v>723.65</v>
      </c>
      <c r="H1454" t="s">
        <v>15</v>
      </c>
      <c r="I1454" t="s">
        <v>22</v>
      </c>
      <c r="J1454" t="s">
        <v>65</v>
      </c>
    </row>
    <row r="1455" spans="1:10" x14ac:dyDescent="0.35">
      <c r="A1455" t="s">
        <v>1633</v>
      </c>
      <c r="B1455" s="1">
        <v>45916</v>
      </c>
      <c r="C1455" t="s">
        <v>308</v>
      </c>
      <c r="D1455" t="s">
        <v>54</v>
      </c>
      <c r="E1455" t="s">
        <v>64</v>
      </c>
      <c r="F1455" t="s">
        <v>54</v>
      </c>
      <c r="G1455">
        <v>284.08</v>
      </c>
      <c r="H1455" t="s">
        <v>15</v>
      </c>
      <c r="I1455" t="s">
        <v>47</v>
      </c>
      <c r="J1455" t="s">
        <v>89</v>
      </c>
    </row>
    <row r="1456" spans="1:10" x14ac:dyDescent="0.35">
      <c r="A1456" t="s">
        <v>1634</v>
      </c>
      <c r="B1456" s="1">
        <v>45917</v>
      </c>
      <c r="C1456" t="s">
        <v>168</v>
      </c>
      <c r="D1456" t="s">
        <v>59</v>
      </c>
      <c r="E1456" t="s">
        <v>60</v>
      </c>
      <c r="F1456" t="s">
        <v>14</v>
      </c>
      <c r="G1456">
        <v>188.5</v>
      </c>
      <c r="H1456" t="s">
        <v>98</v>
      </c>
      <c r="I1456" t="s">
        <v>16</v>
      </c>
      <c r="J1456" t="s">
        <v>170</v>
      </c>
    </row>
    <row r="1457" spans="1:10" x14ac:dyDescent="0.35">
      <c r="A1457" t="s">
        <v>1635</v>
      </c>
      <c r="B1457" s="1">
        <v>45917</v>
      </c>
      <c r="C1457" t="s">
        <v>68</v>
      </c>
      <c r="D1457" t="s">
        <v>69</v>
      </c>
      <c r="E1457" t="s">
        <v>70</v>
      </c>
      <c r="F1457" t="s">
        <v>14</v>
      </c>
      <c r="G1457">
        <v>187.03</v>
      </c>
      <c r="H1457" t="s">
        <v>98</v>
      </c>
      <c r="I1457" t="s">
        <v>22</v>
      </c>
      <c r="J1457" t="s">
        <v>71</v>
      </c>
    </row>
    <row r="1458" spans="1:10" x14ac:dyDescent="0.35">
      <c r="A1458" t="s">
        <v>1636</v>
      </c>
      <c r="B1458" s="1">
        <v>45917</v>
      </c>
      <c r="C1458" t="s">
        <v>88</v>
      </c>
      <c r="D1458" t="s">
        <v>54</v>
      </c>
      <c r="E1458" t="s">
        <v>74</v>
      </c>
      <c r="F1458" t="s">
        <v>54</v>
      </c>
      <c r="G1458">
        <v>2241.6999999999998</v>
      </c>
      <c r="H1458" t="s">
        <v>15</v>
      </c>
      <c r="I1458" t="s">
        <v>36</v>
      </c>
      <c r="J1458" t="s">
        <v>89</v>
      </c>
    </row>
    <row r="1459" spans="1:10" x14ac:dyDescent="0.35">
      <c r="A1459" t="s">
        <v>1637</v>
      </c>
      <c r="B1459" s="1">
        <v>45917</v>
      </c>
      <c r="C1459" t="s">
        <v>33</v>
      </c>
      <c r="D1459" t="s">
        <v>34</v>
      </c>
      <c r="E1459" t="s">
        <v>35</v>
      </c>
      <c r="F1459" t="s">
        <v>14</v>
      </c>
      <c r="G1459">
        <v>138.03</v>
      </c>
      <c r="H1459" t="s">
        <v>15</v>
      </c>
      <c r="I1459" t="s">
        <v>84</v>
      </c>
      <c r="J1459" t="s">
        <v>37</v>
      </c>
    </row>
    <row r="1460" spans="1:10" x14ac:dyDescent="0.35">
      <c r="A1460" t="s">
        <v>1638</v>
      </c>
      <c r="B1460" s="1">
        <v>45917</v>
      </c>
      <c r="C1460" t="s">
        <v>88</v>
      </c>
      <c r="D1460" t="s">
        <v>54</v>
      </c>
      <c r="E1460" t="s">
        <v>74</v>
      </c>
      <c r="F1460" t="s">
        <v>54</v>
      </c>
      <c r="G1460">
        <v>2127.1999999999998</v>
      </c>
      <c r="H1460" t="s">
        <v>15</v>
      </c>
      <c r="I1460" t="s">
        <v>22</v>
      </c>
      <c r="J1460" t="s">
        <v>89</v>
      </c>
    </row>
    <row r="1461" spans="1:10" x14ac:dyDescent="0.35">
      <c r="A1461" t="s">
        <v>1639</v>
      </c>
      <c r="B1461" s="1">
        <v>45918</v>
      </c>
      <c r="C1461" t="s">
        <v>135</v>
      </c>
      <c r="D1461" t="s">
        <v>101</v>
      </c>
      <c r="E1461" t="s">
        <v>102</v>
      </c>
      <c r="F1461" t="s">
        <v>14</v>
      </c>
      <c r="G1461">
        <v>93.36</v>
      </c>
      <c r="H1461" t="s">
        <v>15</v>
      </c>
      <c r="I1461" t="s">
        <v>47</v>
      </c>
      <c r="J1461" t="s">
        <v>136</v>
      </c>
    </row>
    <row r="1462" spans="1:10" x14ac:dyDescent="0.35">
      <c r="A1462" t="s">
        <v>1640</v>
      </c>
      <c r="B1462" s="1">
        <v>45918</v>
      </c>
      <c r="C1462" t="s">
        <v>68</v>
      </c>
      <c r="D1462" t="s">
        <v>69</v>
      </c>
      <c r="E1462" t="s">
        <v>70</v>
      </c>
      <c r="F1462" t="s">
        <v>14</v>
      </c>
      <c r="G1462">
        <v>637.84</v>
      </c>
      <c r="H1462" t="s">
        <v>15</v>
      </c>
      <c r="I1462" t="s">
        <v>22</v>
      </c>
      <c r="J1462" t="s">
        <v>71</v>
      </c>
    </row>
    <row r="1463" spans="1:10" x14ac:dyDescent="0.35">
      <c r="A1463" t="s">
        <v>1641</v>
      </c>
      <c r="B1463" s="1">
        <v>45918</v>
      </c>
      <c r="C1463" t="s">
        <v>140</v>
      </c>
      <c r="D1463" t="s">
        <v>80</v>
      </c>
      <c r="E1463" t="s">
        <v>81</v>
      </c>
      <c r="F1463" t="s">
        <v>14</v>
      </c>
      <c r="G1463">
        <v>95.03</v>
      </c>
      <c r="H1463" t="s">
        <v>15</v>
      </c>
      <c r="I1463" t="s">
        <v>22</v>
      </c>
      <c r="J1463" t="s">
        <v>141</v>
      </c>
    </row>
    <row r="1464" spans="1:10" x14ac:dyDescent="0.35">
      <c r="A1464" t="s">
        <v>1642</v>
      </c>
      <c r="B1464" s="1">
        <v>45918</v>
      </c>
      <c r="C1464" t="s">
        <v>580</v>
      </c>
      <c r="D1464" t="s">
        <v>80</v>
      </c>
      <c r="E1464" t="s">
        <v>81</v>
      </c>
      <c r="F1464" t="s">
        <v>14</v>
      </c>
      <c r="G1464">
        <v>111.54</v>
      </c>
      <c r="H1464" t="s">
        <v>98</v>
      </c>
      <c r="I1464" t="s">
        <v>22</v>
      </c>
      <c r="J1464" t="s">
        <v>118</v>
      </c>
    </row>
    <row r="1465" spans="1:10" x14ac:dyDescent="0.35">
      <c r="A1465" t="s">
        <v>1643</v>
      </c>
      <c r="B1465" s="1">
        <v>45918</v>
      </c>
      <c r="C1465" t="s">
        <v>153</v>
      </c>
      <c r="D1465" t="s">
        <v>34</v>
      </c>
      <c r="E1465" t="s">
        <v>122</v>
      </c>
      <c r="F1465" t="s">
        <v>14</v>
      </c>
      <c r="G1465">
        <v>104.74</v>
      </c>
      <c r="H1465" t="s">
        <v>21</v>
      </c>
      <c r="I1465" t="s">
        <v>22</v>
      </c>
      <c r="J1465" t="s">
        <v>41</v>
      </c>
    </row>
    <row r="1466" spans="1:10" x14ac:dyDescent="0.35">
      <c r="A1466" t="s">
        <v>1644</v>
      </c>
      <c r="B1466" s="1">
        <v>45919</v>
      </c>
      <c r="C1466" t="s">
        <v>824</v>
      </c>
      <c r="D1466" t="s">
        <v>69</v>
      </c>
      <c r="E1466" t="s">
        <v>233</v>
      </c>
      <c r="F1466" t="s">
        <v>14</v>
      </c>
      <c r="G1466">
        <v>343.02</v>
      </c>
      <c r="H1466" t="s">
        <v>15</v>
      </c>
      <c r="I1466" t="s">
        <v>36</v>
      </c>
      <c r="J1466" t="s">
        <v>133</v>
      </c>
    </row>
    <row r="1467" spans="1:10" x14ac:dyDescent="0.35">
      <c r="A1467" t="s">
        <v>1645</v>
      </c>
      <c r="B1467" s="1">
        <v>45919</v>
      </c>
      <c r="C1467" t="s">
        <v>91</v>
      </c>
      <c r="D1467" t="s">
        <v>80</v>
      </c>
      <c r="E1467" t="s">
        <v>92</v>
      </c>
      <c r="F1467" t="s">
        <v>14</v>
      </c>
      <c r="G1467">
        <v>45.02</v>
      </c>
      <c r="H1467" t="s">
        <v>98</v>
      </c>
      <c r="I1467" t="s">
        <v>22</v>
      </c>
      <c r="J1467" t="s">
        <v>82</v>
      </c>
    </row>
    <row r="1468" spans="1:10" x14ac:dyDescent="0.35">
      <c r="A1468" t="s">
        <v>1646</v>
      </c>
      <c r="B1468" s="1">
        <v>45919</v>
      </c>
      <c r="C1468" t="s">
        <v>143</v>
      </c>
      <c r="D1468" t="s">
        <v>54</v>
      </c>
      <c r="E1468" t="s">
        <v>55</v>
      </c>
      <c r="F1468" t="s">
        <v>54</v>
      </c>
      <c r="G1468">
        <v>652.35</v>
      </c>
      <c r="H1468" t="s">
        <v>98</v>
      </c>
      <c r="I1468" t="s">
        <v>22</v>
      </c>
      <c r="J1468" t="s">
        <v>89</v>
      </c>
    </row>
    <row r="1469" spans="1:10" x14ac:dyDescent="0.35">
      <c r="A1469" t="s">
        <v>1647</v>
      </c>
      <c r="B1469" s="1">
        <v>45919</v>
      </c>
      <c r="C1469" t="s">
        <v>251</v>
      </c>
      <c r="D1469" t="s">
        <v>29</v>
      </c>
      <c r="E1469" t="s">
        <v>151</v>
      </c>
      <c r="F1469" t="s">
        <v>14</v>
      </c>
      <c r="G1469">
        <v>26.67</v>
      </c>
      <c r="H1469" t="s">
        <v>21</v>
      </c>
      <c r="I1469" t="s">
        <v>36</v>
      </c>
      <c r="J1469" t="s">
        <v>31</v>
      </c>
    </row>
    <row r="1470" spans="1:10" x14ac:dyDescent="0.35">
      <c r="A1470" t="s">
        <v>1648</v>
      </c>
      <c r="B1470" s="1">
        <v>45920</v>
      </c>
      <c r="C1470" t="s">
        <v>175</v>
      </c>
      <c r="D1470" t="s">
        <v>80</v>
      </c>
      <c r="E1470" t="s">
        <v>92</v>
      </c>
      <c r="F1470" t="s">
        <v>14</v>
      </c>
      <c r="G1470">
        <v>20.47</v>
      </c>
      <c r="H1470" t="s">
        <v>15</v>
      </c>
      <c r="I1470" t="s">
        <v>36</v>
      </c>
      <c r="J1470" t="s">
        <v>141</v>
      </c>
    </row>
    <row r="1471" spans="1:10" x14ac:dyDescent="0.35">
      <c r="A1471" t="s">
        <v>1649</v>
      </c>
      <c r="B1471" s="1">
        <v>45920</v>
      </c>
      <c r="C1471" t="s">
        <v>175</v>
      </c>
      <c r="D1471" t="s">
        <v>80</v>
      </c>
      <c r="E1471" t="s">
        <v>92</v>
      </c>
      <c r="F1471" t="s">
        <v>14</v>
      </c>
      <c r="G1471">
        <v>97.72</v>
      </c>
      <c r="H1471" t="s">
        <v>15</v>
      </c>
      <c r="I1471" t="s">
        <v>22</v>
      </c>
      <c r="J1471" t="s">
        <v>141</v>
      </c>
    </row>
    <row r="1472" spans="1:10" x14ac:dyDescent="0.35">
      <c r="A1472" t="s">
        <v>1650</v>
      </c>
      <c r="B1472" s="1">
        <v>45920</v>
      </c>
      <c r="C1472" t="s">
        <v>376</v>
      </c>
      <c r="D1472" t="s">
        <v>80</v>
      </c>
      <c r="E1472" t="s">
        <v>117</v>
      </c>
      <c r="F1472" t="s">
        <v>14</v>
      </c>
      <c r="G1472">
        <v>243.2</v>
      </c>
      <c r="H1472" t="s">
        <v>15</v>
      </c>
      <c r="I1472" t="s">
        <v>36</v>
      </c>
      <c r="J1472" t="s">
        <v>82</v>
      </c>
    </row>
    <row r="1473" spans="1:10" x14ac:dyDescent="0.35">
      <c r="A1473" t="s">
        <v>1651</v>
      </c>
      <c r="B1473" s="1">
        <v>45920</v>
      </c>
      <c r="C1473" t="s">
        <v>192</v>
      </c>
      <c r="D1473" t="s">
        <v>80</v>
      </c>
      <c r="E1473" t="s">
        <v>92</v>
      </c>
      <c r="F1473" t="s">
        <v>14</v>
      </c>
      <c r="G1473">
        <v>25.45</v>
      </c>
      <c r="H1473" t="s">
        <v>15</v>
      </c>
      <c r="I1473" t="s">
        <v>22</v>
      </c>
      <c r="J1473" t="s">
        <v>180</v>
      </c>
    </row>
    <row r="1474" spans="1:10" x14ac:dyDescent="0.35">
      <c r="A1474" t="s">
        <v>1652</v>
      </c>
      <c r="B1474" s="1">
        <v>45920</v>
      </c>
      <c r="C1474" t="s">
        <v>25</v>
      </c>
      <c r="D1474" t="s">
        <v>12</v>
      </c>
      <c r="E1474" t="s">
        <v>26</v>
      </c>
      <c r="F1474" t="s">
        <v>14</v>
      </c>
      <c r="G1474">
        <v>92.53</v>
      </c>
      <c r="H1474" t="s">
        <v>15</v>
      </c>
      <c r="I1474" t="s">
        <v>22</v>
      </c>
      <c r="J1474" t="s">
        <v>17</v>
      </c>
    </row>
    <row r="1475" spans="1:10" x14ac:dyDescent="0.35">
      <c r="A1475" t="s">
        <v>1653</v>
      </c>
      <c r="B1475" s="1">
        <v>45920</v>
      </c>
      <c r="C1475" t="s">
        <v>155</v>
      </c>
      <c r="D1475" t="s">
        <v>12</v>
      </c>
      <c r="E1475" t="s">
        <v>51</v>
      </c>
      <c r="F1475" t="s">
        <v>14</v>
      </c>
      <c r="G1475">
        <v>50.32</v>
      </c>
      <c r="H1475" t="s">
        <v>98</v>
      </c>
      <c r="I1475" t="s">
        <v>16</v>
      </c>
      <c r="J1475" t="s">
        <v>48</v>
      </c>
    </row>
    <row r="1476" spans="1:10" x14ac:dyDescent="0.35">
      <c r="A1476" t="s">
        <v>1654</v>
      </c>
      <c r="B1476" s="1">
        <v>45920</v>
      </c>
      <c r="C1476" t="s">
        <v>347</v>
      </c>
      <c r="D1476" t="s">
        <v>29</v>
      </c>
      <c r="E1476" t="s">
        <v>151</v>
      </c>
      <c r="F1476" t="s">
        <v>14</v>
      </c>
      <c r="G1476">
        <v>10.199999999999999</v>
      </c>
      <c r="H1476" t="s">
        <v>15</v>
      </c>
      <c r="I1476" t="s">
        <v>47</v>
      </c>
      <c r="J1476" t="s">
        <v>96</v>
      </c>
    </row>
    <row r="1477" spans="1:10" x14ac:dyDescent="0.35">
      <c r="A1477" t="s">
        <v>1655</v>
      </c>
      <c r="B1477" s="1">
        <v>45921</v>
      </c>
      <c r="C1477" t="s">
        <v>121</v>
      </c>
      <c r="D1477" t="s">
        <v>34</v>
      </c>
      <c r="E1477" t="s">
        <v>122</v>
      </c>
      <c r="F1477" t="s">
        <v>14</v>
      </c>
      <c r="G1477">
        <v>98.6</v>
      </c>
      <c r="H1477" t="s">
        <v>21</v>
      </c>
      <c r="I1477" t="s">
        <v>36</v>
      </c>
      <c r="J1477" t="s">
        <v>123</v>
      </c>
    </row>
    <row r="1478" spans="1:10" x14ac:dyDescent="0.35">
      <c r="A1478" t="s">
        <v>1656</v>
      </c>
      <c r="B1478" s="1">
        <v>45921</v>
      </c>
      <c r="C1478" t="s">
        <v>204</v>
      </c>
      <c r="D1478" t="s">
        <v>12</v>
      </c>
      <c r="E1478" t="s">
        <v>51</v>
      </c>
      <c r="F1478" t="s">
        <v>14</v>
      </c>
      <c r="G1478">
        <v>25.57</v>
      </c>
      <c r="H1478" t="s">
        <v>21</v>
      </c>
      <c r="I1478" t="s">
        <v>36</v>
      </c>
      <c r="J1478" t="s">
        <v>23</v>
      </c>
    </row>
    <row r="1479" spans="1:10" x14ac:dyDescent="0.35">
      <c r="A1479" t="s">
        <v>1657</v>
      </c>
      <c r="B1479" s="1">
        <v>45921</v>
      </c>
      <c r="C1479" t="s">
        <v>281</v>
      </c>
      <c r="D1479" t="s">
        <v>34</v>
      </c>
      <c r="E1479" t="s">
        <v>40</v>
      </c>
      <c r="F1479" t="s">
        <v>14</v>
      </c>
      <c r="G1479">
        <v>38.89</v>
      </c>
      <c r="H1479" t="s">
        <v>15</v>
      </c>
      <c r="I1479" t="s">
        <v>36</v>
      </c>
      <c r="J1479" t="s">
        <v>123</v>
      </c>
    </row>
    <row r="1480" spans="1:10" x14ac:dyDescent="0.35">
      <c r="A1480" t="s">
        <v>1658</v>
      </c>
      <c r="B1480" s="1">
        <v>45921</v>
      </c>
      <c r="C1480" t="s">
        <v>19</v>
      </c>
      <c r="D1480" t="s">
        <v>12</v>
      </c>
      <c r="E1480" t="s">
        <v>13</v>
      </c>
      <c r="F1480" t="s">
        <v>14</v>
      </c>
      <c r="G1480">
        <v>110.31</v>
      </c>
      <c r="H1480" t="s">
        <v>15</v>
      </c>
      <c r="I1480" t="s">
        <v>22</v>
      </c>
      <c r="J1480" t="s">
        <v>23</v>
      </c>
    </row>
    <row r="1481" spans="1:10" x14ac:dyDescent="0.35">
      <c r="A1481" t="s">
        <v>1659</v>
      </c>
      <c r="B1481" s="1">
        <v>45921</v>
      </c>
      <c r="C1481" t="s">
        <v>53</v>
      </c>
      <c r="D1481" t="s">
        <v>54</v>
      </c>
      <c r="E1481" t="s">
        <v>55</v>
      </c>
      <c r="F1481" t="s">
        <v>54</v>
      </c>
      <c r="G1481">
        <v>626.59</v>
      </c>
      <c r="H1481" t="s">
        <v>15</v>
      </c>
      <c r="I1481" t="s">
        <v>16</v>
      </c>
      <c r="J1481" t="s">
        <v>56</v>
      </c>
    </row>
    <row r="1482" spans="1:10" x14ac:dyDescent="0.35">
      <c r="A1482" t="s">
        <v>1660</v>
      </c>
      <c r="B1482" s="1">
        <v>45922</v>
      </c>
      <c r="C1482" t="s">
        <v>232</v>
      </c>
      <c r="D1482" t="s">
        <v>69</v>
      </c>
      <c r="E1482" t="s">
        <v>233</v>
      </c>
      <c r="F1482" t="s">
        <v>14</v>
      </c>
      <c r="G1482">
        <v>239.22</v>
      </c>
      <c r="H1482" t="s">
        <v>15</v>
      </c>
      <c r="I1482" t="s">
        <v>22</v>
      </c>
      <c r="J1482" t="s">
        <v>71</v>
      </c>
    </row>
    <row r="1483" spans="1:10" x14ac:dyDescent="0.35">
      <c r="A1483" t="s">
        <v>1661</v>
      </c>
      <c r="B1483" s="1">
        <v>45922</v>
      </c>
      <c r="C1483" t="s">
        <v>50</v>
      </c>
      <c r="D1483" t="s">
        <v>12</v>
      </c>
      <c r="E1483" t="s">
        <v>51</v>
      </c>
      <c r="F1483" t="s">
        <v>14</v>
      </c>
      <c r="G1483">
        <v>19.28</v>
      </c>
      <c r="H1483" t="s">
        <v>15</v>
      </c>
      <c r="I1483" t="s">
        <v>22</v>
      </c>
      <c r="J1483" t="s">
        <v>44</v>
      </c>
    </row>
    <row r="1484" spans="1:10" x14ac:dyDescent="0.35">
      <c r="A1484" t="s">
        <v>1662</v>
      </c>
      <c r="B1484" s="1">
        <v>45922</v>
      </c>
      <c r="C1484" t="s">
        <v>50</v>
      </c>
      <c r="D1484" t="s">
        <v>12</v>
      </c>
      <c r="E1484" t="s">
        <v>51</v>
      </c>
      <c r="F1484" t="s">
        <v>14</v>
      </c>
      <c r="G1484">
        <v>97.52</v>
      </c>
      <c r="H1484" t="s">
        <v>21</v>
      </c>
      <c r="I1484" t="s">
        <v>47</v>
      </c>
      <c r="J1484" t="s">
        <v>44</v>
      </c>
    </row>
    <row r="1485" spans="1:10" x14ac:dyDescent="0.35">
      <c r="A1485" t="s">
        <v>1663</v>
      </c>
      <c r="B1485" s="1">
        <v>45922</v>
      </c>
      <c r="C1485" t="s">
        <v>172</v>
      </c>
      <c r="D1485" t="s">
        <v>101</v>
      </c>
      <c r="E1485" t="s">
        <v>102</v>
      </c>
      <c r="F1485" t="s">
        <v>14</v>
      </c>
      <c r="G1485">
        <v>153.34</v>
      </c>
      <c r="H1485" t="s">
        <v>15</v>
      </c>
      <c r="I1485" t="s">
        <v>47</v>
      </c>
      <c r="J1485" t="s">
        <v>102</v>
      </c>
    </row>
    <row r="1486" spans="1:10" x14ac:dyDescent="0.35">
      <c r="A1486" t="s">
        <v>1664</v>
      </c>
      <c r="B1486" s="1">
        <v>45922</v>
      </c>
      <c r="C1486" t="s">
        <v>130</v>
      </c>
      <c r="D1486" t="s">
        <v>12</v>
      </c>
      <c r="E1486" t="s">
        <v>26</v>
      </c>
      <c r="F1486" t="s">
        <v>14</v>
      </c>
      <c r="G1486">
        <v>50.2</v>
      </c>
      <c r="H1486" t="s">
        <v>15</v>
      </c>
      <c r="I1486" t="s">
        <v>22</v>
      </c>
      <c r="J1486" t="s">
        <v>48</v>
      </c>
    </row>
    <row r="1487" spans="1:10" x14ac:dyDescent="0.35">
      <c r="A1487" t="s">
        <v>1665</v>
      </c>
      <c r="B1487" s="1">
        <v>45922</v>
      </c>
      <c r="C1487" t="s">
        <v>160</v>
      </c>
      <c r="D1487" t="s">
        <v>80</v>
      </c>
      <c r="E1487" t="s">
        <v>117</v>
      </c>
      <c r="F1487" t="s">
        <v>14</v>
      </c>
      <c r="G1487">
        <v>27.5</v>
      </c>
      <c r="H1487" t="s">
        <v>98</v>
      </c>
      <c r="I1487" t="s">
        <v>47</v>
      </c>
      <c r="J1487" t="s">
        <v>161</v>
      </c>
    </row>
    <row r="1488" spans="1:10" x14ac:dyDescent="0.35">
      <c r="A1488" t="s">
        <v>1666</v>
      </c>
      <c r="B1488" s="1">
        <v>45922</v>
      </c>
      <c r="C1488" t="s">
        <v>111</v>
      </c>
      <c r="D1488" t="s">
        <v>12</v>
      </c>
      <c r="E1488" t="s">
        <v>26</v>
      </c>
      <c r="F1488" t="s">
        <v>14</v>
      </c>
      <c r="G1488">
        <v>35.69</v>
      </c>
      <c r="H1488" t="s">
        <v>21</v>
      </c>
      <c r="I1488" t="s">
        <v>22</v>
      </c>
      <c r="J1488" t="s">
        <v>23</v>
      </c>
    </row>
    <row r="1489" spans="1:10" x14ac:dyDescent="0.35">
      <c r="A1489" t="s">
        <v>1667</v>
      </c>
      <c r="B1489" s="1">
        <v>45922</v>
      </c>
      <c r="C1489" t="s">
        <v>175</v>
      </c>
      <c r="D1489" t="s">
        <v>80</v>
      </c>
      <c r="E1489" t="s">
        <v>92</v>
      </c>
      <c r="F1489" t="s">
        <v>14</v>
      </c>
      <c r="G1489">
        <v>250</v>
      </c>
      <c r="H1489" t="s">
        <v>15</v>
      </c>
      <c r="I1489" t="s">
        <v>47</v>
      </c>
      <c r="J1489" t="s">
        <v>141</v>
      </c>
    </row>
    <row r="1490" spans="1:10" x14ac:dyDescent="0.35">
      <c r="A1490" t="s">
        <v>1668</v>
      </c>
      <c r="B1490" s="1">
        <v>45923</v>
      </c>
      <c r="C1490" t="s">
        <v>253</v>
      </c>
      <c r="D1490" t="s">
        <v>29</v>
      </c>
      <c r="E1490" t="s">
        <v>30</v>
      </c>
      <c r="F1490" t="s">
        <v>14</v>
      </c>
      <c r="G1490">
        <v>46.22</v>
      </c>
      <c r="H1490" t="s">
        <v>98</v>
      </c>
      <c r="I1490" t="s">
        <v>36</v>
      </c>
      <c r="J1490" t="s">
        <v>158</v>
      </c>
    </row>
    <row r="1491" spans="1:10" x14ac:dyDescent="0.35">
      <c r="A1491" t="s">
        <v>1669</v>
      </c>
      <c r="B1491" s="1">
        <v>45923</v>
      </c>
      <c r="C1491" t="s">
        <v>50</v>
      </c>
      <c r="D1491" t="s">
        <v>12</v>
      </c>
      <c r="E1491" t="s">
        <v>51</v>
      </c>
      <c r="F1491" t="s">
        <v>14</v>
      </c>
      <c r="G1491">
        <v>36.75</v>
      </c>
      <c r="H1491" t="s">
        <v>21</v>
      </c>
      <c r="I1491" t="s">
        <v>22</v>
      </c>
      <c r="J1491" t="s">
        <v>44</v>
      </c>
    </row>
    <row r="1492" spans="1:10" x14ac:dyDescent="0.35">
      <c r="A1492" t="s">
        <v>1670</v>
      </c>
      <c r="B1492" s="1">
        <v>45923</v>
      </c>
      <c r="C1492" t="s">
        <v>155</v>
      </c>
      <c r="D1492" t="s">
        <v>12</v>
      </c>
      <c r="E1492" t="s">
        <v>51</v>
      </c>
      <c r="F1492" t="s">
        <v>14</v>
      </c>
      <c r="G1492">
        <v>50.89</v>
      </c>
      <c r="H1492" t="s">
        <v>15</v>
      </c>
      <c r="I1492" t="s">
        <v>47</v>
      </c>
      <c r="J1492" t="s">
        <v>48</v>
      </c>
    </row>
    <row r="1493" spans="1:10" x14ac:dyDescent="0.35">
      <c r="A1493" t="s">
        <v>1671</v>
      </c>
      <c r="B1493" s="1">
        <v>45923</v>
      </c>
      <c r="C1493" t="s">
        <v>143</v>
      </c>
      <c r="D1493" t="s">
        <v>54</v>
      </c>
      <c r="E1493" t="s">
        <v>55</v>
      </c>
      <c r="F1493" t="s">
        <v>54</v>
      </c>
      <c r="G1493">
        <v>589.38</v>
      </c>
      <c r="H1493" t="s">
        <v>15</v>
      </c>
      <c r="I1493" t="s">
        <v>47</v>
      </c>
      <c r="J1493" t="s">
        <v>89</v>
      </c>
    </row>
    <row r="1494" spans="1:10" x14ac:dyDescent="0.35">
      <c r="A1494" t="s">
        <v>1672</v>
      </c>
      <c r="B1494" s="1">
        <v>45923</v>
      </c>
      <c r="C1494" t="s">
        <v>194</v>
      </c>
      <c r="D1494" t="s">
        <v>101</v>
      </c>
      <c r="E1494" t="s">
        <v>136</v>
      </c>
      <c r="F1494" t="s">
        <v>14</v>
      </c>
      <c r="G1494">
        <v>69.709999999999994</v>
      </c>
      <c r="H1494" t="s">
        <v>21</v>
      </c>
      <c r="I1494" t="s">
        <v>36</v>
      </c>
      <c r="J1494" t="s">
        <v>103</v>
      </c>
    </row>
    <row r="1495" spans="1:10" x14ac:dyDescent="0.35">
      <c r="A1495" t="s">
        <v>1673</v>
      </c>
      <c r="B1495" s="1">
        <v>45924</v>
      </c>
      <c r="C1495" t="s">
        <v>217</v>
      </c>
      <c r="D1495" t="s">
        <v>80</v>
      </c>
      <c r="E1495" t="s">
        <v>81</v>
      </c>
      <c r="F1495" t="s">
        <v>14</v>
      </c>
      <c r="G1495">
        <v>34.06</v>
      </c>
      <c r="H1495" t="s">
        <v>15</v>
      </c>
      <c r="I1495" t="s">
        <v>22</v>
      </c>
      <c r="J1495" t="s">
        <v>180</v>
      </c>
    </row>
    <row r="1496" spans="1:10" x14ac:dyDescent="0.35">
      <c r="A1496" t="s">
        <v>1674</v>
      </c>
      <c r="B1496" s="1">
        <v>45925</v>
      </c>
      <c r="C1496" t="s">
        <v>63</v>
      </c>
      <c r="D1496" t="s">
        <v>54</v>
      </c>
      <c r="E1496" t="s">
        <v>64</v>
      </c>
      <c r="F1496" t="s">
        <v>54</v>
      </c>
      <c r="G1496">
        <v>360.88</v>
      </c>
      <c r="H1496" t="s">
        <v>15</v>
      </c>
      <c r="I1496" t="s">
        <v>47</v>
      </c>
      <c r="J1496" t="s">
        <v>65</v>
      </c>
    </row>
    <row r="1497" spans="1:10" x14ac:dyDescent="0.35">
      <c r="A1497" t="s">
        <v>1675</v>
      </c>
      <c r="B1497" s="1">
        <v>45925</v>
      </c>
      <c r="C1497" t="s">
        <v>350</v>
      </c>
      <c r="D1497" t="s">
        <v>29</v>
      </c>
      <c r="E1497" t="s">
        <v>151</v>
      </c>
      <c r="F1497" t="s">
        <v>14</v>
      </c>
      <c r="G1497">
        <v>26.35</v>
      </c>
      <c r="H1497" t="s">
        <v>15</v>
      </c>
      <c r="I1497" t="s">
        <v>47</v>
      </c>
      <c r="J1497" t="s">
        <v>158</v>
      </c>
    </row>
    <row r="1498" spans="1:10" x14ac:dyDescent="0.35">
      <c r="A1498" t="s">
        <v>1676</v>
      </c>
      <c r="B1498" s="1">
        <v>45925</v>
      </c>
      <c r="C1498" t="s">
        <v>143</v>
      </c>
      <c r="D1498" t="s">
        <v>54</v>
      </c>
      <c r="E1498" t="s">
        <v>55</v>
      </c>
      <c r="F1498" t="s">
        <v>54</v>
      </c>
      <c r="G1498">
        <v>669.16</v>
      </c>
      <c r="H1498" t="s">
        <v>15</v>
      </c>
      <c r="I1498" t="s">
        <v>22</v>
      </c>
      <c r="J1498" t="s">
        <v>89</v>
      </c>
    </row>
    <row r="1499" spans="1:10" x14ac:dyDescent="0.35">
      <c r="A1499" t="s">
        <v>1677</v>
      </c>
      <c r="B1499" s="1">
        <v>45925</v>
      </c>
      <c r="C1499" t="s">
        <v>163</v>
      </c>
      <c r="D1499" t="s">
        <v>80</v>
      </c>
      <c r="E1499" t="s">
        <v>92</v>
      </c>
      <c r="F1499" t="s">
        <v>14</v>
      </c>
      <c r="G1499">
        <v>163.41</v>
      </c>
      <c r="H1499" t="s">
        <v>15</v>
      </c>
      <c r="I1499" t="s">
        <v>22</v>
      </c>
      <c r="J1499" t="s">
        <v>118</v>
      </c>
    </row>
    <row r="1500" spans="1:10" x14ac:dyDescent="0.35">
      <c r="A1500" t="s">
        <v>1678</v>
      </c>
      <c r="B1500" s="1">
        <v>45925</v>
      </c>
      <c r="C1500" t="s">
        <v>179</v>
      </c>
      <c r="D1500" t="s">
        <v>80</v>
      </c>
      <c r="E1500" t="s">
        <v>117</v>
      </c>
      <c r="F1500" t="s">
        <v>14</v>
      </c>
      <c r="G1500">
        <v>108.48</v>
      </c>
      <c r="H1500" t="s">
        <v>15</v>
      </c>
      <c r="I1500" t="s">
        <v>22</v>
      </c>
      <c r="J1500" t="s">
        <v>180</v>
      </c>
    </row>
    <row r="1501" spans="1:10" x14ac:dyDescent="0.35">
      <c r="A1501" t="s">
        <v>1679</v>
      </c>
      <c r="B1501" s="1">
        <v>45925</v>
      </c>
      <c r="C1501" t="s">
        <v>875</v>
      </c>
      <c r="D1501" t="s">
        <v>69</v>
      </c>
      <c r="E1501" t="s">
        <v>291</v>
      </c>
      <c r="F1501" t="s">
        <v>14</v>
      </c>
      <c r="G1501">
        <v>122.21</v>
      </c>
      <c r="H1501" t="s">
        <v>15</v>
      </c>
      <c r="I1501" t="s">
        <v>16</v>
      </c>
      <c r="J1501" t="s">
        <v>133</v>
      </c>
    </row>
    <row r="1502" spans="1:10" x14ac:dyDescent="0.35">
      <c r="A1502" t="s">
        <v>1680</v>
      </c>
      <c r="B1502" s="1">
        <v>45925</v>
      </c>
      <c r="C1502" t="s">
        <v>79</v>
      </c>
      <c r="D1502" t="s">
        <v>80</v>
      </c>
      <c r="E1502" t="s">
        <v>81</v>
      </c>
      <c r="F1502" t="s">
        <v>14</v>
      </c>
      <c r="G1502">
        <v>49.66</v>
      </c>
      <c r="H1502" t="s">
        <v>15</v>
      </c>
      <c r="I1502" t="s">
        <v>16</v>
      </c>
      <c r="J1502" t="s">
        <v>82</v>
      </c>
    </row>
    <row r="1503" spans="1:10" x14ac:dyDescent="0.35">
      <c r="A1503" t="s">
        <v>1681</v>
      </c>
      <c r="B1503" s="1">
        <v>45926</v>
      </c>
      <c r="C1503" t="s">
        <v>140</v>
      </c>
      <c r="D1503" t="s">
        <v>80</v>
      </c>
      <c r="E1503" t="s">
        <v>81</v>
      </c>
      <c r="F1503" t="s">
        <v>14</v>
      </c>
      <c r="G1503">
        <v>199.56</v>
      </c>
      <c r="H1503" t="s">
        <v>15</v>
      </c>
      <c r="I1503" t="s">
        <v>22</v>
      </c>
      <c r="J1503" t="s">
        <v>141</v>
      </c>
    </row>
    <row r="1504" spans="1:10" x14ac:dyDescent="0.35">
      <c r="A1504" t="s">
        <v>1682</v>
      </c>
      <c r="B1504" s="1">
        <v>45926</v>
      </c>
      <c r="C1504" t="s">
        <v>415</v>
      </c>
      <c r="D1504" t="s">
        <v>12</v>
      </c>
      <c r="E1504" t="s">
        <v>51</v>
      </c>
      <c r="F1504" t="s">
        <v>14</v>
      </c>
      <c r="G1504">
        <v>35.58</v>
      </c>
      <c r="H1504" t="s">
        <v>15</v>
      </c>
      <c r="I1504" t="s">
        <v>22</v>
      </c>
      <c r="J1504" t="s">
        <v>77</v>
      </c>
    </row>
    <row r="1505" spans="1:10" x14ac:dyDescent="0.35">
      <c r="A1505" t="s">
        <v>1683</v>
      </c>
      <c r="B1505" s="1">
        <v>45926</v>
      </c>
      <c r="C1505" t="s">
        <v>109</v>
      </c>
      <c r="D1505" t="s">
        <v>34</v>
      </c>
      <c r="E1505" t="s">
        <v>35</v>
      </c>
      <c r="F1505" t="s">
        <v>14</v>
      </c>
      <c r="G1505">
        <v>211.93</v>
      </c>
      <c r="H1505" t="s">
        <v>21</v>
      </c>
      <c r="I1505" t="s">
        <v>22</v>
      </c>
      <c r="J1505" t="s">
        <v>41</v>
      </c>
    </row>
    <row r="1506" spans="1:10" x14ac:dyDescent="0.35">
      <c r="A1506" t="s">
        <v>1684</v>
      </c>
      <c r="B1506" s="1">
        <v>45926</v>
      </c>
      <c r="C1506" t="s">
        <v>79</v>
      </c>
      <c r="D1506" t="s">
        <v>80</v>
      </c>
      <c r="E1506" t="s">
        <v>81</v>
      </c>
      <c r="F1506" t="s">
        <v>14</v>
      </c>
      <c r="G1506">
        <v>21.54</v>
      </c>
      <c r="H1506" t="s">
        <v>21</v>
      </c>
      <c r="I1506" t="s">
        <v>36</v>
      </c>
      <c r="J1506" t="s">
        <v>82</v>
      </c>
    </row>
    <row r="1507" spans="1:10" x14ac:dyDescent="0.35">
      <c r="A1507" t="s">
        <v>1685</v>
      </c>
      <c r="B1507" s="1">
        <v>45926</v>
      </c>
      <c r="C1507" t="s">
        <v>281</v>
      </c>
      <c r="D1507" t="s">
        <v>34</v>
      </c>
      <c r="E1507" t="s">
        <v>40</v>
      </c>
      <c r="F1507" t="s">
        <v>14</v>
      </c>
      <c r="G1507">
        <v>140.13999999999999</v>
      </c>
      <c r="H1507" t="s">
        <v>15</v>
      </c>
      <c r="I1507" t="s">
        <v>36</v>
      </c>
      <c r="J1507" t="s">
        <v>123</v>
      </c>
    </row>
    <row r="1508" spans="1:10" x14ac:dyDescent="0.35">
      <c r="A1508" t="s">
        <v>1686</v>
      </c>
      <c r="B1508" s="1">
        <v>45926</v>
      </c>
      <c r="C1508" t="s">
        <v>19</v>
      </c>
      <c r="D1508" t="s">
        <v>12</v>
      </c>
      <c r="E1508" t="s">
        <v>13</v>
      </c>
      <c r="F1508" t="s">
        <v>14</v>
      </c>
      <c r="G1508">
        <v>180</v>
      </c>
      <c r="H1508" t="s">
        <v>15</v>
      </c>
      <c r="I1508" t="s">
        <v>22</v>
      </c>
      <c r="J1508" t="s">
        <v>23</v>
      </c>
    </row>
    <row r="1509" spans="1:10" x14ac:dyDescent="0.35">
      <c r="A1509" t="s">
        <v>1687</v>
      </c>
      <c r="B1509" s="1">
        <v>45926</v>
      </c>
      <c r="C1509" t="s">
        <v>395</v>
      </c>
      <c r="D1509" t="s">
        <v>69</v>
      </c>
      <c r="E1509" t="s">
        <v>291</v>
      </c>
      <c r="F1509" t="s">
        <v>14</v>
      </c>
      <c r="G1509">
        <v>189.97</v>
      </c>
      <c r="H1509" t="s">
        <v>21</v>
      </c>
      <c r="I1509" t="s">
        <v>22</v>
      </c>
      <c r="J1509" t="s">
        <v>396</v>
      </c>
    </row>
    <row r="1510" spans="1:10" x14ac:dyDescent="0.35">
      <c r="A1510" t="s">
        <v>1688</v>
      </c>
      <c r="B1510" s="1">
        <v>45926</v>
      </c>
      <c r="C1510" t="s">
        <v>91</v>
      </c>
      <c r="D1510" t="s">
        <v>80</v>
      </c>
      <c r="E1510" t="s">
        <v>92</v>
      </c>
      <c r="F1510" t="s">
        <v>14</v>
      </c>
      <c r="G1510">
        <v>56.27</v>
      </c>
      <c r="H1510" t="s">
        <v>21</v>
      </c>
      <c r="I1510" t="s">
        <v>22</v>
      </c>
      <c r="J1510" t="s">
        <v>82</v>
      </c>
    </row>
    <row r="1511" spans="1:10" x14ac:dyDescent="0.35">
      <c r="A1511" t="s">
        <v>1689</v>
      </c>
      <c r="B1511" s="1">
        <v>45926</v>
      </c>
      <c r="C1511" t="s">
        <v>189</v>
      </c>
      <c r="D1511" t="s">
        <v>34</v>
      </c>
      <c r="E1511" t="s">
        <v>122</v>
      </c>
      <c r="F1511" t="s">
        <v>14</v>
      </c>
      <c r="G1511">
        <v>163.41</v>
      </c>
      <c r="H1511" t="s">
        <v>15</v>
      </c>
      <c r="I1511" t="s">
        <v>16</v>
      </c>
      <c r="J1511" t="s">
        <v>37</v>
      </c>
    </row>
    <row r="1512" spans="1:10" x14ac:dyDescent="0.35">
      <c r="A1512" t="s">
        <v>1690</v>
      </c>
      <c r="B1512" s="1">
        <v>45926</v>
      </c>
      <c r="C1512" t="s">
        <v>194</v>
      </c>
      <c r="D1512" t="s">
        <v>101</v>
      </c>
      <c r="E1512" t="s">
        <v>136</v>
      </c>
      <c r="F1512" t="s">
        <v>14</v>
      </c>
      <c r="G1512">
        <v>152.93</v>
      </c>
      <c r="H1512" t="s">
        <v>21</v>
      </c>
      <c r="I1512" t="s">
        <v>22</v>
      </c>
      <c r="J1512" t="s">
        <v>103</v>
      </c>
    </row>
    <row r="1513" spans="1:10" x14ac:dyDescent="0.35">
      <c r="A1513" t="s">
        <v>1691</v>
      </c>
      <c r="B1513" s="1">
        <v>45926</v>
      </c>
      <c r="C1513" t="s">
        <v>138</v>
      </c>
      <c r="D1513" t="s">
        <v>12</v>
      </c>
      <c r="E1513" t="s">
        <v>26</v>
      </c>
      <c r="F1513" t="s">
        <v>14</v>
      </c>
      <c r="G1513">
        <v>54.84</v>
      </c>
      <c r="H1513" t="s">
        <v>21</v>
      </c>
      <c r="I1513" t="s">
        <v>47</v>
      </c>
      <c r="J1513" t="s">
        <v>77</v>
      </c>
    </row>
    <row r="1514" spans="1:10" x14ac:dyDescent="0.35">
      <c r="A1514" t="s">
        <v>1692</v>
      </c>
      <c r="B1514" s="1">
        <v>45927</v>
      </c>
      <c r="C1514" t="s">
        <v>184</v>
      </c>
      <c r="D1514" t="s">
        <v>59</v>
      </c>
      <c r="E1514" t="s">
        <v>185</v>
      </c>
      <c r="F1514" t="s">
        <v>14</v>
      </c>
      <c r="G1514">
        <v>337.05</v>
      </c>
      <c r="H1514" t="s">
        <v>98</v>
      </c>
      <c r="I1514" t="s">
        <v>47</v>
      </c>
      <c r="J1514" t="s">
        <v>61</v>
      </c>
    </row>
    <row r="1515" spans="1:10" x14ac:dyDescent="0.35">
      <c r="A1515" t="s">
        <v>1693</v>
      </c>
      <c r="B1515" s="1">
        <v>45927</v>
      </c>
      <c r="C1515" t="s">
        <v>308</v>
      </c>
      <c r="D1515" t="s">
        <v>54</v>
      </c>
      <c r="E1515" t="s">
        <v>64</v>
      </c>
      <c r="F1515" t="s">
        <v>54</v>
      </c>
      <c r="G1515">
        <v>356.18</v>
      </c>
      <c r="H1515" t="s">
        <v>15</v>
      </c>
      <c r="I1515" t="s">
        <v>22</v>
      </c>
      <c r="J1515" t="s">
        <v>89</v>
      </c>
    </row>
    <row r="1516" spans="1:10" x14ac:dyDescent="0.35">
      <c r="A1516" t="s">
        <v>1694</v>
      </c>
      <c r="B1516" s="1">
        <v>45927</v>
      </c>
      <c r="C1516" t="s">
        <v>331</v>
      </c>
      <c r="D1516" t="s">
        <v>29</v>
      </c>
      <c r="E1516" t="s">
        <v>95</v>
      </c>
      <c r="F1516" t="s">
        <v>14</v>
      </c>
      <c r="G1516">
        <v>41.53</v>
      </c>
      <c r="H1516" t="s">
        <v>21</v>
      </c>
      <c r="I1516" t="s">
        <v>16</v>
      </c>
      <c r="J1516" t="s">
        <v>151</v>
      </c>
    </row>
    <row r="1517" spans="1:10" x14ac:dyDescent="0.35">
      <c r="A1517" t="s">
        <v>1695</v>
      </c>
      <c r="B1517" s="1">
        <v>45927</v>
      </c>
      <c r="C1517" t="s">
        <v>232</v>
      </c>
      <c r="D1517" t="s">
        <v>69</v>
      </c>
      <c r="E1517" t="s">
        <v>233</v>
      </c>
      <c r="F1517" t="s">
        <v>14</v>
      </c>
      <c r="G1517">
        <v>99.53</v>
      </c>
      <c r="H1517" t="s">
        <v>15</v>
      </c>
      <c r="I1517" t="s">
        <v>22</v>
      </c>
      <c r="J1517" t="s">
        <v>71</v>
      </c>
    </row>
    <row r="1518" spans="1:10" x14ac:dyDescent="0.35">
      <c r="A1518" t="s">
        <v>1696</v>
      </c>
      <c r="B1518" s="1">
        <v>45928</v>
      </c>
      <c r="C1518" t="s">
        <v>19</v>
      </c>
      <c r="D1518" t="s">
        <v>12</v>
      </c>
      <c r="E1518" t="s">
        <v>13</v>
      </c>
      <c r="F1518" t="s">
        <v>14</v>
      </c>
      <c r="G1518">
        <v>94</v>
      </c>
      <c r="H1518" t="s">
        <v>15</v>
      </c>
      <c r="I1518" t="s">
        <v>22</v>
      </c>
      <c r="J1518" t="s">
        <v>23</v>
      </c>
    </row>
    <row r="1519" spans="1:10" x14ac:dyDescent="0.35">
      <c r="A1519" t="s">
        <v>1697</v>
      </c>
      <c r="B1519" s="1">
        <v>45928</v>
      </c>
      <c r="C1519" t="s">
        <v>153</v>
      </c>
      <c r="D1519" t="s">
        <v>34</v>
      </c>
      <c r="E1519" t="s">
        <v>122</v>
      </c>
      <c r="F1519" t="s">
        <v>14</v>
      </c>
      <c r="G1519">
        <v>124.7</v>
      </c>
      <c r="H1519" t="s">
        <v>15</v>
      </c>
      <c r="I1519" t="s">
        <v>22</v>
      </c>
      <c r="J1519" t="s">
        <v>41</v>
      </c>
    </row>
    <row r="1520" spans="1:10" x14ac:dyDescent="0.35">
      <c r="A1520" t="s">
        <v>1698</v>
      </c>
      <c r="B1520" s="1">
        <v>45928</v>
      </c>
      <c r="C1520" t="s">
        <v>251</v>
      </c>
      <c r="D1520" t="s">
        <v>29</v>
      </c>
      <c r="E1520" t="s">
        <v>151</v>
      </c>
      <c r="F1520" t="s">
        <v>14</v>
      </c>
      <c r="G1520">
        <v>55.24</v>
      </c>
      <c r="H1520" t="s">
        <v>98</v>
      </c>
      <c r="I1520" t="s">
        <v>36</v>
      </c>
      <c r="J1520" t="s">
        <v>31</v>
      </c>
    </row>
    <row r="1521" spans="1:10" x14ac:dyDescent="0.35">
      <c r="A1521" t="s">
        <v>1699</v>
      </c>
      <c r="B1521" s="1">
        <v>45928</v>
      </c>
      <c r="C1521" t="s">
        <v>424</v>
      </c>
      <c r="D1521" t="s">
        <v>101</v>
      </c>
      <c r="E1521" t="s">
        <v>136</v>
      </c>
      <c r="F1521" t="s">
        <v>14</v>
      </c>
      <c r="G1521">
        <v>30.47</v>
      </c>
      <c r="H1521" t="s">
        <v>21</v>
      </c>
      <c r="I1521" t="s">
        <v>36</v>
      </c>
      <c r="J1521" t="s">
        <v>102</v>
      </c>
    </row>
    <row r="1522" spans="1:10" x14ac:dyDescent="0.35">
      <c r="A1522" t="s">
        <v>1700</v>
      </c>
      <c r="B1522" s="1">
        <v>45928</v>
      </c>
      <c r="C1522" t="s">
        <v>58</v>
      </c>
      <c r="D1522" t="s">
        <v>59</v>
      </c>
      <c r="E1522" t="s">
        <v>60</v>
      </c>
      <c r="F1522" t="s">
        <v>14</v>
      </c>
      <c r="G1522">
        <v>426.34</v>
      </c>
      <c r="H1522" t="s">
        <v>21</v>
      </c>
      <c r="I1522" t="s">
        <v>36</v>
      </c>
      <c r="J1522" t="s">
        <v>61</v>
      </c>
    </row>
    <row r="1523" spans="1:10" x14ac:dyDescent="0.35">
      <c r="A1523" t="s">
        <v>1701</v>
      </c>
      <c r="B1523" s="1">
        <v>45928</v>
      </c>
      <c r="C1523" t="s">
        <v>734</v>
      </c>
      <c r="D1523" t="s">
        <v>69</v>
      </c>
      <c r="E1523" t="s">
        <v>291</v>
      </c>
      <c r="F1523" t="s">
        <v>14</v>
      </c>
      <c r="G1523">
        <v>130.44999999999999</v>
      </c>
      <c r="H1523" t="s">
        <v>15</v>
      </c>
      <c r="I1523" t="s">
        <v>36</v>
      </c>
      <c r="J1523" t="s">
        <v>71</v>
      </c>
    </row>
    <row r="1524" spans="1:10" x14ac:dyDescent="0.35">
      <c r="A1524" t="s">
        <v>1702</v>
      </c>
      <c r="B1524" s="1">
        <v>45928</v>
      </c>
      <c r="C1524" t="s">
        <v>130</v>
      </c>
      <c r="D1524" t="s">
        <v>12</v>
      </c>
      <c r="E1524" t="s">
        <v>26</v>
      </c>
      <c r="F1524" t="s">
        <v>14</v>
      </c>
      <c r="G1524">
        <v>28.82</v>
      </c>
      <c r="H1524" t="s">
        <v>21</v>
      </c>
      <c r="I1524" t="s">
        <v>36</v>
      </c>
      <c r="J1524" t="s">
        <v>48</v>
      </c>
    </row>
    <row r="1525" spans="1:10" x14ac:dyDescent="0.35">
      <c r="A1525" t="s">
        <v>1703</v>
      </c>
      <c r="B1525" s="1">
        <v>45928</v>
      </c>
      <c r="C1525" t="s">
        <v>345</v>
      </c>
      <c r="D1525" t="s">
        <v>59</v>
      </c>
      <c r="E1525" t="s">
        <v>60</v>
      </c>
      <c r="F1525" t="s">
        <v>14</v>
      </c>
      <c r="G1525">
        <v>950</v>
      </c>
      <c r="H1525" t="s">
        <v>15</v>
      </c>
      <c r="I1525" t="s">
        <v>22</v>
      </c>
      <c r="J1525" t="s">
        <v>211</v>
      </c>
    </row>
    <row r="1526" spans="1:10" x14ac:dyDescent="0.35">
      <c r="A1526" t="s">
        <v>1704</v>
      </c>
      <c r="B1526" s="1">
        <v>45929</v>
      </c>
      <c r="C1526" t="s">
        <v>269</v>
      </c>
      <c r="D1526" t="s">
        <v>34</v>
      </c>
      <c r="E1526" t="s">
        <v>35</v>
      </c>
      <c r="F1526" t="s">
        <v>14</v>
      </c>
      <c r="G1526">
        <v>78.8</v>
      </c>
      <c r="H1526" t="s">
        <v>15</v>
      </c>
      <c r="I1526" t="s">
        <v>36</v>
      </c>
      <c r="J1526" t="s">
        <v>123</v>
      </c>
    </row>
    <row r="1527" spans="1:10" x14ac:dyDescent="0.35">
      <c r="A1527" t="s">
        <v>1705</v>
      </c>
      <c r="B1527" s="1">
        <v>45929</v>
      </c>
      <c r="C1527" t="s">
        <v>19</v>
      </c>
      <c r="D1527" t="s">
        <v>12</v>
      </c>
      <c r="E1527" t="s">
        <v>13</v>
      </c>
      <c r="F1527" t="s">
        <v>14</v>
      </c>
      <c r="G1527">
        <v>79.97</v>
      </c>
      <c r="H1527" t="s">
        <v>21</v>
      </c>
      <c r="I1527" t="s">
        <v>36</v>
      </c>
      <c r="J1527" t="s">
        <v>23</v>
      </c>
    </row>
    <row r="1528" spans="1:10" x14ac:dyDescent="0.35">
      <c r="A1528" t="s">
        <v>1706</v>
      </c>
      <c r="B1528" s="1">
        <v>45929</v>
      </c>
      <c r="C1528" t="s">
        <v>25</v>
      </c>
      <c r="D1528" t="s">
        <v>12</v>
      </c>
      <c r="E1528" t="s">
        <v>26</v>
      </c>
      <c r="F1528" t="s">
        <v>14</v>
      </c>
      <c r="G1528">
        <v>42.54</v>
      </c>
      <c r="H1528" t="s">
        <v>21</v>
      </c>
      <c r="I1528" t="s">
        <v>36</v>
      </c>
      <c r="J1528" t="s">
        <v>17</v>
      </c>
    </row>
    <row r="1529" spans="1:10" x14ac:dyDescent="0.35">
      <c r="A1529" t="s">
        <v>1707</v>
      </c>
      <c r="B1529" s="1">
        <v>45929</v>
      </c>
      <c r="C1529" t="s">
        <v>88</v>
      </c>
      <c r="D1529" t="s">
        <v>54</v>
      </c>
      <c r="E1529" t="s">
        <v>74</v>
      </c>
      <c r="F1529" t="s">
        <v>54</v>
      </c>
      <c r="G1529">
        <v>2629.4</v>
      </c>
      <c r="H1529" t="s">
        <v>98</v>
      </c>
      <c r="I1529" t="s">
        <v>22</v>
      </c>
      <c r="J1529" t="s">
        <v>89</v>
      </c>
    </row>
    <row r="1530" spans="1:10" x14ac:dyDescent="0.35">
      <c r="A1530" t="s">
        <v>1708</v>
      </c>
      <c r="B1530" s="1">
        <v>45929</v>
      </c>
      <c r="C1530" t="s">
        <v>153</v>
      </c>
      <c r="D1530" t="s">
        <v>34</v>
      </c>
      <c r="E1530" t="s">
        <v>122</v>
      </c>
      <c r="F1530" t="s">
        <v>14</v>
      </c>
      <c r="G1530">
        <v>229.07</v>
      </c>
      <c r="H1530" t="s">
        <v>15</v>
      </c>
      <c r="I1530" t="s">
        <v>22</v>
      </c>
      <c r="J1530" t="s">
        <v>41</v>
      </c>
    </row>
    <row r="1531" spans="1:10" x14ac:dyDescent="0.35">
      <c r="A1531" t="s">
        <v>1709</v>
      </c>
      <c r="B1531" s="1">
        <v>45929</v>
      </c>
      <c r="C1531" t="s">
        <v>177</v>
      </c>
      <c r="D1531" t="s">
        <v>54</v>
      </c>
      <c r="E1531" t="s">
        <v>74</v>
      </c>
      <c r="F1531" t="s">
        <v>54</v>
      </c>
      <c r="G1531">
        <v>2879.85</v>
      </c>
      <c r="H1531" t="s">
        <v>98</v>
      </c>
      <c r="I1531" t="s">
        <v>47</v>
      </c>
      <c r="J1531" t="s">
        <v>56</v>
      </c>
    </row>
    <row r="1532" spans="1:10" x14ac:dyDescent="0.35">
      <c r="A1532" t="s">
        <v>1710</v>
      </c>
      <c r="B1532" s="1">
        <v>45930</v>
      </c>
      <c r="C1532" t="s">
        <v>155</v>
      </c>
      <c r="D1532" t="s">
        <v>12</v>
      </c>
      <c r="E1532" t="s">
        <v>51</v>
      </c>
      <c r="F1532" t="s">
        <v>14</v>
      </c>
      <c r="G1532">
        <v>179.95</v>
      </c>
      <c r="H1532" t="s">
        <v>21</v>
      </c>
      <c r="I1532" t="s">
        <v>36</v>
      </c>
      <c r="J1532" t="s">
        <v>48</v>
      </c>
    </row>
    <row r="1533" spans="1:10" x14ac:dyDescent="0.35">
      <c r="A1533" t="s">
        <v>1711</v>
      </c>
      <c r="B1533" s="1">
        <v>45930</v>
      </c>
      <c r="C1533" t="s">
        <v>43</v>
      </c>
      <c r="D1533" t="s">
        <v>12</v>
      </c>
      <c r="E1533" t="s">
        <v>26</v>
      </c>
      <c r="F1533" t="s">
        <v>14</v>
      </c>
      <c r="G1533">
        <v>27.52</v>
      </c>
      <c r="H1533" t="s">
        <v>15</v>
      </c>
      <c r="I1533" t="s">
        <v>22</v>
      </c>
      <c r="J1533" t="s">
        <v>44</v>
      </c>
    </row>
    <row r="1534" spans="1:10" x14ac:dyDescent="0.35">
      <c r="A1534" t="s">
        <v>1712</v>
      </c>
      <c r="B1534" s="1">
        <v>45930</v>
      </c>
      <c r="C1534" t="s">
        <v>73</v>
      </c>
      <c r="D1534" t="s">
        <v>54</v>
      </c>
      <c r="E1534" t="s">
        <v>74</v>
      </c>
      <c r="F1534" t="s">
        <v>54</v>
      </c>
      <c r="G1534">
        <v>2248.77</v>
      </c>
      <c r="H1534" t="s">
        <v>15</v>
      </c>
      <c r="I1534" t="s">
        <v>22</v>
      </c>
      <c r="J1534" t="s">
        <v>65</v>
      </c>
    </row>
    <row r="1535" spans="1:10" x14ac:dyDescent="0.35">
      <c r="A1535" t="s">
        <v>1713</v>
      </c>
      <c r="B1535" s="1">
        <v>45930</v>
      </c>
      <c r="C1535" t="s">
        <v>272</v>
      </c>
      <c r="D1535" t="s">
        <v>54</v>
      </c>
      <c r="E1535" t="s">
        <v>55</v>
      </c>
      <c r="F1535" t="s">
        <v>54</v>
      </c>
      <c r="G1535">
        <v>795.94</v>
      </c>
      <c r="H1535" t="s">
        <v>21</v>
      </c>
      <c r="I1535" t="s">
        <v>36</v>
      </c>
      <c r="J1535" t="s">
        <v>65</v>
      </c>
    </row>
    <row r="1536" spans="1:10" x14ac:dyDescent="0.35">
      <c r="A1536" t="s">
        <v>1714</v>
      </c>
      <c r="B1536" s="1">
        <v>45930</v>
      </c>
      <c r="C1536" t="s">
        <v>100</v>
      </c>
      <c r="D1536" t="s">
        <v>101</v>
      </c>
      <c r="E1536" t="s">
        <v>102</v>
      </c>
      <c r="F1536" t="s">
        <v>14</v>
      </c>
      <c r="G1536">
        <v>46.71</v>
      </c>
      <c r="H1536" t="s">
        <v>21</v>
      </c>
      <c r="I1536" t="s">
        <v>47</v>
      </c>
      <c r="J1536" t="s">
        <v>103</v>
      </c>
    </row>
    <row r="1537" spans="1:10" x14ac:dyDescent="0.35">
      <c r="A1537" t="s">
        <v>1715</v>
      </c>
      <c r="B1537" s="1">
        <v>45930</v>
      </c>
      <c r="C1537" t="s">
        <v>172</v>
      </c>
      <c r="D1537" t="s">
        <v>101</v>
      </c>
      <c r="E1537" t="s">
        <v>102</v>
      </c>
      <c r="F1537" t="s">
        <v>14</v>
      </c>
      <c r="G1537">
        <v>33.130000000000003</v>
      </c>
      <c r="H1537" t="s">
        <v>15</v>
      </c>
      <c r="I1537" t="s">
        <v>47</v>
      </c>
      <c r="J1537" t="s">
        <v>102</v>
      </c>
    </row>
    <row r="1538" spans="1:10" x14ac:dyDescent="0.35">
      <c r="A1538" t="s">
        <v>1716</v>
      </c>
      <c r="B1538" s="1">
        <v>45931</v>
      </c>
      <c r="C1538" t="s">
        <v>464</v>
      </c>
      <c r="D1538" t="s">
        <v>34</v>
      </c>
      <c r="E1538" t="s">
        <v>122</v>
      </c>
      <c r="F1538" t="s">
        <v>14</v>
      </c>
      <c r="G1538">
        <v>45.98</v>
      </c>
      <c r="H1538" t="s">
        <v>98</v>
      </c>
      <c r="I1538" t="s">
        <v>36</v>
      </c>
      <c r="J1538" t="s">
        <v>239</v>
      </c>
    </row>
    <row r="1539" spans="1:10" x14ac:dyDescent="0.35">
      <c r="A1539" t="s">
        <v>1717</v>
      </c>
      <c r="B1539" s="1">
        <v>45931</v>
      </c>
      <c r="C1539" t="s">
        <v>572</v>
      </c>
      <c r="D1539" t="s">
        <v>69</v>
      </c>
      <c r="E1539" t="s">
        <v>233</v>
      </c>
      <c r="F1539" t="s">
        <v>14</v>
      </c>
      <c r="G1539">
        <v>302.52</v>
      </c>
      <c r="H1539" t="s">
        <v>21</v>
      </c>
      <c r="I1539" t="s">
        <v>36</v>
      </c>
      <c r="J1539" t="s">
        <v>292</v>
      </c>
    </row>
    <row r="1540" spans="1:10" x14ac:dyDescent="0.35">
      <c r="A1540" t="s">
        <v>1718</v>
      </c>
      <c r="B1540" s="1">
        <v>45931</v>
      </c>
      <c r="C1540" t="s">
        <v>177</v>
      </c>
      <c r="D1540" t="s">
        <v>54</v>
      </c>
      <c r="E1540" t="s">
        <v>74</v>
      </c>
      <c r="F1540" t="s">
        <v>54</v>
      </c>
      <c r="G1540">
        <v>2864.42</v>
      </c>
      <c r="H1540" t="s">
        <v>15</v>
      </c>
      <c r="I1540" t="s">
        <v>36</v>
      </c>
      <c r="J1540" t="s">
        <v>56</v>
      </c>
    </row>
    <row r="1541" spans="1:10" x14ac:dyDescent="0.35">
      <c r="A1541" t="s">
        <v>1719</v>
      </c>
      <c r="B1541" s="1">
        <v>45931</v>
      </c>
      <c r="C1541" t="s">
        <v>125</v>
      </c>
      <c r="D1541" t="s">
        <v>12</v>
      </c>
      <c r="E1541" t="s">
        <v>13</v>
      </c>
      <c r="F1541" t="s">
        <v>14</v>
      </c>
      <c r="G1541">
        <v>16.350000000000001</v>
      </c>
      <c r="H1541" t="s">
        <v>21</v>
      </c>
      <c r="I1541" t="s">
        <v>36</v>
      </c>
      <c r="J1541" t="s">
        <v>44</v>
      </c>
    </row>
    <row r="1542" spans="1:10" x14ac:dyDescent="0.35">
      <c r="A1542" t="s">
        <v>1720</v>
      </c>
      <c r="B1542" s="1">
        <v>45931</v>
      </c>
      <c r="C1542" t="s">
        <v>198</v>
      </c>
      <c r="D1542" t="s">
        <v>59</v>
      </c>
      <c r="E1542" t="s">
        <v>199</v>
      </c>
      <c r="F1542" t="s">
        <v>14</v>
      </c>
      <c r="G1542">
        <v>129.5</v>
      </c>
      <c r="H1542" t="s">
        <v>15</v>
      </c>
      <c r="I1542" t="s">
        <v>36</v>
      </c>
      <c r="J1542" t="s">
        <v>61</v>
      </c>
    </row>
    <row r="1543" spans="1:10" x14ac:dyDescent="0.35">
      <c r="A1543" t="s">
        <v>1721</v>
      </c>
      <c r="B1543" s="1">
        <v>45932</v>
      </c>
      <c r="C1543" t="s">
        <v>177</v>
      </c>
      <c r="D1543" t="s">
        <v>54</v>
      </c>
      <c r="E1543" t="s">
        <v>74</v>
      </c>
      <c r="F1543" t="s">
        <v>54</v>
      </c>
      <c r="G1543">
        <v>2522.4299999999998</v>
      </c>
      <c r="H1543" t="s">
        <v>15</v>
      </c>
      <c r="I1543" t="s">
        <v>47</v>
      </c>
      <c r="J1543" t="s">
        <v>56</v>
      </c>
    </row>
    <row r="1544" spans="1:10" x14ac:dyDescent="0.35">
      <c r="A1544" t="s">
        <v>1722</v>
      </c>
      <c r="B1544" s="1">
        <v>45932</v>
      </c>
      <c r="C1544" t="s">
        <v>345</v>
      </c>
      <c r="D1544" t="s">
        <v>59</v>
      </c>
      <c r="E1544" t="s">
        <v>60</v>
      </c>
      <c r="F1544" t="s">
        <v>14</v>
      </c>
      <c r="G1544">
        <v>182.72</v>
      </c>
      <c r="H1544" t="s">
        <v>21</v>
      </c>
      <c r="I1544" t="s">
        <v>22</v>
      </c>
      <c r="J1544" t="s">
        <v>211</v>
      </c>
    </row>
    <row r="1545" spans="1:10" x14ac:dyDescent="0.35">
      <c r="A1545" t="s">
        <v>1723</v>
      </c>
      <c r="B1545" s="1">
        <v>45932</v>
      </c>
      <c r="C1545" t="s">
        <v>143</v>
      </c>
      <c r="D1545" t="s">
        <v>54</v>
      </c>
      <c r="E1545" t="s">
        <v>55</v>
      </c>
      <c r="F1545" t="s">
        <v>54</v>
      </c>
      <c r="G1545">
        <v>737.74</v>
      </c>
      <c r="H1545" t="s">
        <v>15</v>
      </c>
      <c r="I1545" t="s">
        <v>47</v>
      </c>
      <c r="J1545" t="s">
        <v>89</v>
      </c>
    </row>
    <row r="1546" spans="1:10" x14ac:dyDescent="0.35">
      <c r="A1546" t="s">
        <v>1724</v>
      </c>
      <c r="B1546" s="1">
        <v>45932</v>
      </c>
      <c r="C1546" t="s">
        <v>109</v>
      </c>
      <c r="D1546" t="s">
        <v>34</v>
      </c>
      <c r="E1546" t="s">
        <v>35</v>
      </c>
      <c r="F1546" t="s">
        <v>14</v>
      </c>
      <c r="G1546">
        <v>308.06</v>
      </c>
      <c r="H1546" t="s">
        <v>15</v>
      </c>
      <c r="I1546" t="s">
        <v>22</v>
      </c>
      <c r="J1546" t="s">
        <v>41</v>
      </c>
    </row>
    <row r="1547" spans="1:10" x14ac:dyDescent="0.35">
      <c r="A1547" t="s">
        <v>1725</v>
      </c>
      <c r="B1547" s="1">
        <v>45932</v>
      </c>
      <c r="C1547" t="s">
        <v>256</v>
      </c>
      <c r="D1547" t="s">
        <v>34</v>
      </c>
      <c r="E1547" t="s">
        <v>40</v>
      </c>
      <c r="F1547" t="s">
        <v>14</v>
      </c>
      <c r="G1547">
        <v>281.11</v>
      </c>
      <c r="H1547" t="s">
        <v>98</v>
      </c>
      <c r="I1547" t="s">
        <v>22</v>
      </c>
      <c r="J1547" t="s">
        <v>239</v>
      </c>
    </row>
    <row r="1548" spans="1:10" x14ac:dyDescent="0.35">
      <c r="A1548" t="s">
        <v>1726</v>
      </c>
      <c r="B1548" s="1">
        <v>45932</v>
      </c>
      <c r="C1548" t="s">
        <v>192</v>
      </c>
      <c r="D1548" t="s">
        <v>80</v>
      </c>
      <c r="E1548" t="s">
        <v>92</v>
      </c>
      <c r="F1548" t="s">
        <v>14</v>
      </c>
      <c r="G1548">
        <v>93.94</v>
      </c>
      <c r="H1548" t="s">
        <v>15</v>
      </c>
      <c r="I1548" t="s">
        <v>22</v>
      </c>
      <c r="J1548" t="s">
        <v>180</v>
      </c>
    </row>
    <row r="1549" spans="1:10" x14ac:dyDescent="0.35">
      <c r="A1549" t="s">
        <v>1727</v>
      </c>
      <c r="B1549" s="1">
        <v>45933</v>
      </c>
      <c r="C1549" t="s">
        <v>125</v>
      </c>
      <c r="D1549" t="s">
        <v>12</v>
      </c>
      <c r="E1549" t="s">
        <v>13</v>
      </c>
      <c r="F1549" t="s">
        <v>14</v>
      </c>
      <c r="G1549">
        <v>50.16</v>
      </c>
      <c r="H1549" t="s">
        <v>21</v>
      </c>
      <c r="I1549" t="s">
        <v>22</v>
      </c>
      <c r="J1549" t="s">
        <v>44</v>
      </c>
    </row>
    <row r="1550" spans="1:10" x14ac:dyDescent="0.35">
      <c r="A1550" t="s">
        <v>1728</v>
      </c>
      <c r="B1550" s="1">
        <v>45933</v>
      </c>
      <c r="C1550" t="s">
        <v>272</v>
      </c>
      <c r="D1550" t="s">
        <v>54</v>
      </c>
      <c r="E1550" t="s">
        <v>55</v>
      </c>
      <c r="F1550" t="s">
        <v>54</v>
      </c>
      <c r="G1550">
        <v>649.97</v>
      </c>
      <c r="H1550" t="s">
        <v>98</v>
      </c>
      <c r="I1550" t="s">
        <v>47</v>
      </c>
      <c r="J1550" t="s">
        <v>65</v>
      </c>
    </row>
    <row r="1551" spans="1:10" x14ac:dyDescent="0.35">
      <c r="A1551" t="s">
        <v>1729</v>
      </c>
      <c r="B1551" s="1">
        <v>45933</v>
      </c>
      <c r="C1551" t="s">
        <v>308</v>
      </c>
      <c r="D1551" t="s">
        <v>54</v>
      </c>
      <c r="E1551" t="s">
        <v>64</v>
      </c>
      <c r="F1551" t="s">
        <v>54</v>
      </c>
      <c r="G1551">
        <v>349.96</v>
      </c>
      <c r="H1551" t="s">
        <v>15</v>
      </c>
      <c r="I1551" t="s">
        <v>22</v>
      </c>
      <c r="J1551" t="s">
        <v>89</v>
      </c>
    </row>
    <row r="1552" spans="1:10" x14ac:dyDescent="0.35">
      <c r="A1552" t="s">
        <v>1730</v>
      </c>
      <c r="B1552" s="1">
        <v>45934</v>
      </c>
      <c r="C1552" t="s">
        <v>111</v>
      </c>
      <c r="D1552" t="s">
        <v>12</v>
      </c>
      <c r="E1552" t="s">
        <v>26</v>
      </c>
      <c r="F1552" t="s">
        <v>14</v>
      </c>
      <c r="G1552">
        <v>79.819999999999993</v>
      </c>
      <c r="H1552" t="s">
        <v>15</v>
      </c>
      <c r="I1552" t="s">
        <v>22</v>
      </c>
      <c r="J1552" t="s">
        <v>23</v>
      </c>
    </row>
    <row r="1553" spans="1:10" x14ac:dyDescent="0.35">
      <c r="A1553" t="s">
        <v>1731</v>
      </c>
      <c r="B1553" s="1">
        <v>45934</v>
      </c>
      <c r="C1553" t="s">
        <v>198</v>
      </c>
      <c r="D1553" t="s">
        <v>59</v>
      </c>
      <c r="E1553" t="s">
        <v>199</v>
      </c>
      <c r="F1553" t="s">
        <v>14</v>
      </c>
      <c r="G1553">
        <v>199.74</v>
      </c>
      <c r="H1553" t="s">
        <v>15</v>
      </c>
      <c r="I1553" t="s">
        <v>22</v>
      </c>
      <c r="J1553" t="s">
        <v>61</v>
      </c>
    </row>
    <row r="1554" spans="1:10" x14ac:dyDescent="0.35">
      <c r="A1554" t="s">
        <v>1732</v>
      </c>
      <c r="B1554" s="1">
        <v>45934</v>
      </c>
      <c r="C1554" t="s">
        <v>125</v>
      </c>
      <c r="D1554" t="s">
        <v>12</v>
      </c>
      <c r="E1554" t="s">
        <v>13</v>
      </c>
      <c r="F1554" t="s">
        <v>14</v>
      </c>
      <c r="G1554">
        <v>20.74</v>
      </c>
      <c r="H1554" t="s">
        <v>15</v>
      </c>
      <c r="I1554" t="s">
        <v>16</v>
      </c>
      <c r="J1554" t="s">
        <v>44</v>
      </c>
    </row>
    <row r="1555" spans="1:10" x14ac:dyDescent="0.35">
      <c r="A1555" t="s">
        <v>1733</v>
      </c>
      <c r="B1555" s="1">
        <v>45934</v>
      </c>
      <c r="C1555" t="s">
        <v>50</v>
      </c>
      <c r="D1555" t="s">
        <v>12</v>
      </c>
      <c r="E1555" t="s">
        <v>51</v>
      </c>
      <c r="F1555" t="s">
        <v>14</v>
      </c>
      <c r="G1555">
        <v>91.95</v>
      </c>
      <c r="H1555" t="s">
        <v>15</v>
      </c>
      <c r="I1555" t="s">
        <v>36</v>
      </c>
      <c r="J1555" t="s">
        <v>44</v>
      </c>
    </row>
    <row r="1556" spans="1:10" x14ac:dyDescent="0.35">
      <c r="A1556" t="s">
        <v>1734</v>
      </c>
      <c r="B1556" s="1">
        <v>45934</v>
      </c>
      <c r="C1556" t="s">
        <v>153</v>
      </c>
      <c r="D1556" t="s">
        <v>34</v>
      </c>
      <c r="E1556" t="s">
        <v>122</v>
      </c>
      <c r="F1556" t="s">
        <v>14</v>
      </c>
      <c r="G1556">
        <v>52.11</v>
      </c>
      <c r="H1556" t="s">
        <v>98</v>
      </c>
      <c r="I1556" t="s">
        <v>22</v>
      </c>
      <c r="J1556" t="s">
        <v>41</v>
      </c>
    </row>
    <row r="1557" spans="1:10" x14ac:dyDescent="0.35">
      <c r="A1557" t="s">
        <v>1735</v>
      </c>
      <c r="B1557" s="1">
        <v>45934</v>
      </c>
      <c r="C1557" t="s">
        <v>121</v>
      </c>
      <c r="D1557" t="s">
        <v>34</v>
      </c>
      <c r="E1557" t="s">
        <v>122</v>
      </c>
      <c r="F1557" t="s">
        <v>14</v>
      </c>
      <c r="G1557">
        <v>150.15</v>
      </c>
      <c r="H1557" t="s">
        <v>15</v>
      </c>
      <c r="I1557" t="s">
        <v>22</v>
      </c>
      <c r="J1557" t="s">
        <v>123</v>
      </c>
    </row>
    <row r="1558" spans="1:10" x14ac:dyDescent="0.35">
      <c r="A1558" t="s">
        <v>1736</v>
      </c>
      <c r="B1558" s="1">
        <v>45934</v>
      </c>
      <c r="C1558" t="s">
        <v>1491</v>
      </c>
      <c r="D1558" t="s">
        <v>69</v>
      </c>
      <c r="E1558" t="s">
        <v>233</v>
      </c>
      <c r="F1558" t="s">
        <v>14</v>
      </c>
      <c r="G1558">
        <v>118.53</v>
      </c>
      <c r="H1558" t="s">
        <v>21</v>
      </c>
      <c r="I1558" t="s">
        <v>16</v>
      </c>
      <c r="J1558" t="s">
        <v>396</v>
      </c>
    </row>
    <row r="1559" spans="1:10" x14ac:dyDescent="0.35">
      <c r="A1559" t="s">
        <v>1737</v>
      </c>
      <c r="B1559" s="1">
        <v>45934</v>
      </c>
      <c r="C1559" t="s">
        <v>94</v>
      </c>
      <c r="D1559" t="s">
        <v>29</v>
      </c>
      <c r="E1559" t="s">
        <v>95</v>
      </c>
      <c r="F1559" t="s">
        <v>14</v>
      </c>
      <c r="G1559">
        <v>116.2</v>
      </c>
      <c r="H1559" t="s">
        <v>15</v>
      </c>
      <c r="I1559" t="s">
        <v>22</v>
      </c>
      <c r="J1559" t="s">
        <v>96</v>
      </c>
    </row>
    <row r="1560" spans="1:10" x14ac:dyDescent="0.35">
      <c r="A1560" t="s">
        <v>1738</v>
      </c>
      <c r="B1560" s="1">
        <v>45934</v>
      </c>
      <c r="C1560" t="s">
        <v>172</v>
      </c>
      <c r="D1560" t="s">
        <v>101</v>
      </c>
      <c r="E1560" t="s">
        <v>102</v>
      </c>
      <c r="F1560" t="s">
        <v>14</v>
      </c>
      <c r="G1560">
        <v>51.04</v>
      </c>
      <c r="H1560" t="s">
        <v>15</v>
      </c>
      <c r="I1560" t="s">
        <v>16</v>
      </c>
      <c r="J1560" t="s">
        <v>102</v>
      </c>
    </row>
    <row r="1561" spans="1:10" x14ac:dyDescent="0.35">
      <c r="A1561" t="s">
        <v>1739</v>
      </c>
      <c r="B1561" s="1">
        <v>45934</v>
      </c>
      <c r="C1561" t="s">
        <v>184</v>
      </c>
      <c r="D1561" t="s">
        <v>59</v>
      </c>
      <c r="E1561" t="s">
        <v>185</v>
      </c>
      <c r="F1561" t="s">
        <v>14</v>
      </c>
      <c r="G1561">
        <v>95.04</v>
      </c>
      <c r="H1561" t="s">
        <v>15</v>
      </c>
      <c r="I1561" t="s">
        <v>22</v>
      </c>
      <c r="J1561" t="s">
        <v>61</v>
      </c>
    </row>
    <row r="1562" spans="1:10" x14ac:dyDescent="0.35">
      <c r="A1562" t="s">
        <v>1740</v>
      </c>
      <c r="B1562" s="1">
        <v>45934</v>
      </c>
      <c r="C1562" t="s">
        <v>58</v>
      </c>
      <c r="D1562" t="s">
        <v>59</v>
      </c>
      <c r="E1562" t="s">
        <v>60</v>
      </c>
      <c r="F1562" t="s">
        <v>14</v>
      </c>
      <c r="G1562">
        <v>145.61000000000001</v>
      </c>
      <c r="H1562" t="s">
        <v>15</v>
      </c>
      <c r="I1562" t="s">
        <v>36</v>
      </c>
      <c r="J1562" t="s">
        <v>61</v>
      </c>
    </row>
    <row r="1563" spans="1:10" x14ac:dyDescent="0.35">
      <c r="A1563" t="s">
        <v>1741</v>
      </c>
      <c r="B1563" s="1">
        <v>45934</v>
      </c>
      <c r="C1563" t="s">
        <v>50</v>
      </c>
      <c r="D1563" t="s">
        <v>12</v>
      </c>
      <c r="E1563" t="s">
        <v>51</v>
      </c>
      <c r="F1563" t="s">
        <v>14</v>
      </c>
      <c r="G1563">
        <v>39.21</v>
      </c>
      <c r="H1563" t="s">
        <v>15</v>
      </c>
      <c r="I1563" t="s">
        <v>22</v>
      </c>
      <c r="J1563" t="s">
        <v>44</v>
      </c>
    </row>
    <row r="1564" spans="1:10" x14ac:dyDescent="0.35">
      <c r="A1564" t="s">
        <v>1742</v>
      </c>
      <c r="B1564" s="1">
        <v>45934</v>
      </c>
      <c r="C1564" t="s">
        <v>184</v>
      </c>
      <c r="D1564" t="s">
        <v>59</v>
      </c>
      <c r="E1564" t="s">
        <v>185</v>
      </c>
      <c r="F1564" t="s">
        <v>14</v>
      </c>
      <c r="G1564">
        <v>218.37</v>
      </c>
      <c r="H1564" t="s">
        <v>15</v>
      </c>
      <c r="I1564" t="s">
        <v>22</v>
      </c>
      <c r="J1564" t="s">
        <v>61</v>
      </c>
    </row>
    <row r="1565" spans="1:10" x14ac:dyDescent="0.35">
      <c r="A1565" t="s">
        <v>1743</v>
      </c>
      <c r="B1565" s="1">
        <v>45935</v>
      </c>
      <c r="C1565" t="s">
        <v>109</v>
      </c>
      <c r="D1565" t="s">
        <v>34</v>
      </c>
      <c r="E1565" t="s">
        <v>35</v>
      </c>
      <c r="F1565" t="s">
        <v>14</v>
      </c>
      <c r="G1565">
        <v>203.91</v>
      </c>
      <c r="H1565" t="s">
        <v>15</v>
      </c>
      <c r="I1565" t="s">
        <v>47</v>
      </c>
      <c r="J1565" t="s">
        <v>41</v>
      </c>
    </row>
    <row r="1566" spans="1:10" x14ac:dyDescent="0.35">
      <c r="A1566" t="s">
        <v>1744</v>
      </c>
      <c r="B1566" s="1">
        <v>45935</v>
      </c>
      <c r="C1566" t="s">
        <v>251</v>
      </c>
      <c r="D1566" t="s">
        <v>29</v>
      </c>
      <c r="E1566" t="s">
        <v>151</v>
      </c>
      <c r="F1566" t="s">
        <v>14</v>
      </c>
      <c r="G1566">
        <v>22.24</v>
      </c>
      <c r="H1566" t="s">
        <v>15</v>
      </c>
      <c r="I1566" t="s">
        <v>84</v>
      </c>
      <c r="J1566" t="s">
        <v>31</v>
      </c>
    </row>
    <row r="1567" spans="1:10" x14ac:dyDescent="0.35">
      <c r="A1567" t="s">
        <v>1745</v>
      </c>
      <c r="B1567" s="1">
        <v>45935</v>
      </c>
      <c r="C1567" t="s">
        <v>88</v>
      </c>
      <c r="D1567" t="s">
        <v>54</v>
      </c>
      <c r="E1567" t="s">
        <v>74</v>
      </c>
      <c r="F1567" t="s">
        <v>54</v>
      </c>
      <c r="G1567">
        <v>2427.36</v>
      </c>
      <c r="H1567" t="s">
        <v>15</v>
      </c>
      <c r="I1567" t="s">
        <v>22</v>
      </c>
      <c r="J1567" t="s">
        <v>89</v>
      </c>
    </row>
    <row r="1568" spans="1:10" x14ac:dyDescent="0.35">
      <c r="A1568" t="s">
        <v>1746</v>
      </c>
      <c r="B1568" s="1">
        <v>45935</v>
      </c>
      <c r="C1568" t="s">
        <v>116</v>
      </c>
      <c r="D1568" t="s">
        <v>80</v>
      </c>
      <c r="E1568" t="s">
        <v>117</v>
      </c>
      <c r="F1568" t="s">
        <v>14</v>
      </c>
      <c r="G1568">
        <v>128.61000000000001</v>
      </c>
      <c r="H1568" t="s">
        <v>21</v>
      </c>
      <c r="I1568" t="s">
        <v>16</v>
      </c>
      <c r="J1568" t="s">
        <v>118</v>
      </c>
    </row>
    <row r="1569" spans="1:10" x14ac:dyDescent="0.35">
      <c r="A1569" t="s">
        <v>1747</v>
      </c>
      <c r="B1569" s="1">
        <v>45935</v>
      </c>
      <c r="C1569" t="s">
        <v>79</v>
      </c>
      <c r="D1569" t="s">
        <v>80</v>
      </c>
      <c r="E1569" t="s">
        <v>81</v>
      </c>
      <c r="F1569" t="s">
        <v>14</v>
      </c>
      <c r="G1569">
        <v>94.17</v>
      </c>
      <c r="H1569" t="s">
        <v>15</v>
      </c>
      <c r="I1569" t="s">
        <v>47</v>
      </c>
      <c r="J1569" t="s">
        <v>82</v>
      </c>
    </row>
    <row r="1570" spans="1:10" x14ac:dyDescent="0.35">
      <c r="A1570" t="s">
        <v>1748</v>
      </c>
      <c r="B1570" s="1">
        <v>45935</v>
      </c>
      <c r="C1570" t="s">
        <v>153</v>
      </c>
      <c r="D1570" t="s">
        <v>34</v>
      </c>
      <c r="E1570" t="s">
        <v>122</v>
      </c>
      <c r="F1570" t="s">
        <v>14</v>
      </c>
      <c r="G1570">
        <v>165.87</v>
      </c>
      <c r="H1570" t="s">
        <v>15</v>
      </c>
      <c r="I1570" t="s">
        <v>36</v>
      </c>
      <c r="J1570" t="s">
        <v>41</v>
      </c>
    </row>
    <row r="1571" spans="1:10" x14ac:dyDescent="0.35">
      <c r="A1571" t="s">
        <v>1749</v>
      </c>
      <c r="B1571" s="1">
        <v>45935</v>
      </c>
      <c r="C1571" t="s">
        <v>132</v>
      </c>
      <c r="D1571" t="s">
        <v>69</v>
      </c>
      <c r="E1571" t="s">
        <v>70</v>
      </c>
      <c r="F1571" t="s">
        <v>14</v>
      </c>
      <c r="G1571">
        <v>174.08</v>
      </c>
      <c r="H1571" t="s">
        <v>15</v>
      </c>
      <c r="I1571" t="s">
        <v>36</v>
      </c>
      <c r="J1571" t="s">
        <v>133</v>
      </c>
    </row>
    <row r="1572" spans="1:10" x14ac:dyDescent="0.35">
      <c r="A1572" t="s">
        <v>1750</v>
      </c>
      <c r="B1572" s="1">
        <v>45936</v>
      </c>
      <c r="C1572" t="s">
        <v>76</v>
      </c>
      <c r="D1572" t="s">
        <v>12</v>
      </c>
      <c r="E1572" t="s">
        <v>13</v>
      </c>
      <c r="F1572" t="s">
        <v>14</v>
      </c>
      <c r="G1572">
        <v>56.53</v>
      </c>
      <c r="H1572" t="s">
        <v>15</v>
      </c>
      <c r="I1572" t="s">
        <v>47</v>
      </c>
      <c r="J1572" t="s">
        <v>77</v>
      </c>
    </row>
    <row r="1573" spans="1:10" x14ac:dyDescent="0.35">
      <c r="A1573" t="s">
        <v>1751</v>
      </c>
      <c r="B1573" s="1">
        <v>45936</v>
      </c>
      <c r="C1573" t="s">
        <v>345</v>
      </c>
      <c r="D1573" t="s">
        <v>59</v>
      </c>
      <c r="E1573" t="s">
        <v>60</v>
      </c>
      <c r="F1573" t="s">
        <v>14</v>
      </c>
      <c r="G1573">
        <v>132.9</v>
      </c>
      <c r="H1573" t="s">
        <v>15</v>
      </c>
      <c r="I1573" t="s">
        <v>36</v>
      </c>
      <c r="J1573" t="s">
        <v>211</v>
      </c>
    </row>
    <row r="1574" spans="1:10" x14ac:dyDescent="0.35">
      <c r="A1574" t="s">
        <v>1752</v>
      </c>
      <c r="B1574" s="1">
        <v>45936</v>
      </c>
      <c r="C1574" t="s">
        <v>39</v>
      </c>
      <c r="D1574" t="s">
        <v>34</v>
      </c>
      <c r="E1574" t="s">
        <v>40</v>
      </c>
      <c r="F1574" t="s">
        <v>14</v>
      </c>
      <c r="G1574">
        <v>42.43</v>
      </c>
      <c r="H1574" t="s">
        <v>15</v>
      </c>
      <c r="I1574" t="s">
        <v>22</v>
      </c>
      <c r="J1574" t="s">
        <v>41</v>
      </c>
    </row>
    <row r="1575" spans="1:10" x14ac:dyDescent="0.35">
      <c r="A1575" t="s">
        <v>1753</v>
      </c>
      <c r="B1575" s="1">
        <v>45936</v>
      </c>
      <c r="C1575" t="s">
        <v>229</v>
      </c>
      <c r="D1575" t="s">
        <v>54</v>
      </c>
      <c r="E1575" t="s">
        <v>64</v>
      </c>
      <c r="F1575" t="s">
        <v>54</v>
      </c>
      <c r="G1575">
        <v>331.34</v>
      </c>
      <c r="H1575" t="s">
        <v>21</v>
      </c>
      <c r="I1575" t="s">
        <v>22</v>
      </c>
      <c r="J1575" t="s">
        <v>56</v>
      </c>
    </row>
    <row r="1576" spans="1:10" x14ac:dyDescent="0.35">
      <c r="A1576" t="s">
        <v>1754</v>
      </c>
      <c r="B1576" s="1">
        <v>45936</v>
      </c>
      <c r="C1576" t="s">
        <v>296</v>
      </c>
      <c r="D1576" t="s">
        <v>101</v>
      </c>
      <c r="E1576" t="s">
        <v>136</v>
      </c>
      <c r="F1576" t="s">
        <v>14</v>
      </c>
      <c r="G1576">
        <v>44.1</v>
      </c>
      <c r="H1576" t="s">
        <v>98</v>
      </c>
      <c r="I1576" t="s">
        <v>22</v>
      </c>
      <c r="J1576" t="s">
        <v>136</v>
      </c>
    </row>
    <row r="1577" spans="1:10" x14ac:dyDescent="0.35">
      <c r="A1577" t="s">
        <v>1755</v>
      </c>
      <c r="B1577" s="1">
        <v>45936</v>
      </c>
      <c r="C1577" t="s">
        <v>331</v>
      </c>
      <c r="D1577" t="s">
        <v>29</v>
      </c>
      <c r="E1577" t="s">
        <v>95</v>
      </c>
      <c r="F1577" t="s">
        <v>14</v>
      </c>
      <c r="G1577">
        <v>15.6</v>
      </c>
      <c r="H1577" t="s">
        <v>15</v>
      </c>
      <c r="I1577" t="s">
        <v>1485</v>
      </c>
      <c r="J1577" t="s">
        <v>151</v>
      </c>
    </row>
    <row r="1578" spans="1:10" x14ac:dyDescent="0.35">
      <c r="A1578" t="s">
        <v>1756</v>
      </c>
      <c r="B1578" s="1">
        <v>45937</v>
      </c>
      <c r="C1578" t="s">
        <v>53</v>
      </c>
      <c r="D1578" t="s">
        <v>54</v>
      </c>
      <c r="E1578" t="s">
        <v>55</v>
      </c>
      <c r="F1578" t="s">
        <v>54</v>
      </c>
      <c r="G1578">
        <v>862.54</v>
      </c>
      <c r="H1578" t="s">
        <v>21</v>
      </c>
      <c r="I1578" t="s">
        <v>22</v>
      </c>
      <c r="J1578" t="s">
        <v>56</v>
      </c>
    </row>
    <row r="1579" spans="1:10" x14ac:dyDescent="0.35">
      <c r="A1579" t="s">
        <v>1757</v>
      </c>
      <c r="B1579" s="1">
        <v>45937</v>
      </c>
      <c r="C1579" t="s">
        <v>175</v>
      </c>
      <c r="D1579" t="s">
        <v>80</v>
      </c>
      <c r="E1579" t="s">
        <v>92</v>
      </c>
      <c r="F1579" t="s">
        <v>14</v>
      </c>
      <c r="G1579">
        <v>42.75</v>
      </c>
      <c r="H1579" t="s">
        <v>15</v>
      </c>
      <c r="I1579" t="s">
        <v>47</v>
      </c>
      <c r="J1579" t="s">
        <v>141</v>
      </c>
    </row>
    <row r="1580" spans="1:10" x14ac:dyDescent="0.35">
      <c r="A1580" t="s">
        <v>1758</v>
      </c>
      <c r="B1580" s="1">
        <v>45938</v>
      </c>
      <c r="C1580" t="s">
        <v>113</v>
      </c>
      <c r="D1580" t="s">
        <v>34</v>
      </c>
      <c r="E1580" t="s">
        <v>40</v>
      </c>
      <c r="F1580" t="s">
        <v>14</v>
      </c>
      <c r="G1580">
        <v>291.04000000000002</v>
      </c>
      <c r="H1580" t="s">
        <v>15</v>
      </c>
      <c r="I1580" t="s">
        <v>22</v>
      </c>
      <c r="J1580" t="s">
        <v>37</v>
      </c>
    </row>
    <row r="1581" spans="1:10" x14ac:dyDescent="0.35">
      <c r="A1581" t="s">
        <v>1759</v>
      </c>
      <c r="B1581" s="1">
        <v>45938</v>
      </c>
      <c r="C1581" t="s">
        <v>248</v>
      </c>
      <c r="D1581" t="s">
        <v>80</v>
      </c>
      <c r="E1581" t="s">
        <v>81</v>
      </c>
      <c r="F1581" t="s">
        <v>14</v>
      </c>
      <c r="G1581">
        <v>100.8</v>
      </c>
      <c r="H1581" t="s">
        <v>21</v>
      </c>
      <c r="I1581" t="s">
        <v>36</v>
      </c>
      <c r="J1581" t="s">
        <v>1760</v>
      </c>
    </row>
    <row r="1582" spans="1:10" x14ac:dyDescent="0.35">
      <c r="A1582" t="s">
        <v>1761</v>
      </c>
      <c r="B1582" s="1">
        <v>45938</v>
      </c>
      <c r="C1582" t="s">
        <v>33</v>
      </c>
      <c r="D1582" t="s">
        <v>34</v>
      </c>
      <c r="E1582" t="s">
        <v>35</v>
      </c>
      <c r="F1582" t="s">
        <v>14</v>
      </c>
      <c r="G1582">
        <v>86.83</v>
      </c>
      <c r="H1582" t="s">
        <v>15</v>
      </c>
      <c r="I1582" t="s">
        <v>16</v>
      </c>
      <c r="J1582" t="s">
        <v>37</v>
      </c>
    </row>
    <row r="1583" spans="1:10" x14ac:dyDescent="0.35">
      <c r="A1583" t="s">
        <v>1762</v>
      </c>
      <c r="B1583" s="1">
        <v>45939</v>
      </c>
      <c r="C1583" t="s">
        <v>308</v>
      </c>
      <c r="D1583" t="s">
        <v>54</v>
      </c>
      <c r="E1583" t="s">
        <v>64</v>
      </c>
      <c r="F1583" t="s">
        <v>54</v>
      </c>
      <c r="G1583">
        <v>264.33</v>
      </c>
      <c r="H1583" t="s">
        <v>15</v>
      </c>
      <c r="I1583" t="s">
        <v>22</v>
      </c>
      <c r="J1583" t="s">
        <v>89</v>
      </c>
    </row>
    <row r="1584" spans="1:10" x14ac:dyDescent="0.35">
      <c r="A1584" t="s">
        <v>1763</v>
      </c>
      <c r="B1584" s="1">
        <v>45939</v>
      </c>
      <c r="C1584" t="s">
        <v>217</v>
      </c>
      <c r="D1584" t="s">
        <v>80</v>
      </c>
      <c r="E1584" t="s">
        <v>81</v>
      </c>
      <c r="F1584" t="s">
        <v>14</v>
      </c>
      <c r="G1584">
        <v>38.75</v>
      </c>
      <c r="H1584" t="s">
        <v>15</v>
      </c>
      <c r="I1584" t="s">
        <v>22</v>
      </c>
      <c r="J1584" t="s">
        <v>180</v>
      </c>
    </row>
    <row r="1585" spans="1:10" x14ac:dyDescent="0.35">
      <c r="A1585" t="s">
        <v>1764</v>
      </c>
      <c r="B1585" s="1">
        <v>45939</v>
      </c>
      <c r="C1585" t="s">
        <v>100</v>
      </c>
      <c r="D1585" t="s">
        <v>101</v>
      </c>
      <c r="E1585" t="s">
        <v>102</v>
      </c>
      <c r="F1585" t="s">
        <v>14</v>
      </c>
      <c r="G1585">
        <v>44.38</v>
      </c>
      <c r="H1585" t="s">
        <v>21</v>
      </c>
      <c r="I1585" t="s">
        <v>84</v>
      </c>
      <c r="J1585" t="s">
        <v>103</v>
      </c>
    </row>
    <row r="1586" spans="1:10" x14ac:dyDescent="0.35">
      <c r="A1586" t="s">
        <v>1765</v>
      </c>
      <c r="B1586" s="1">
        <v>45939</v>
      </c>
      <c r="C1586" t="s">
        <v>345</v>
      </c>
      <c r="D1586" t="s">
        <v>59</v>
      </c>
      <c r="E1586" t="s">
        <v>60</v>
      </c>
      <c r="F1586" t="s">
        <v>14</v>
      </c>
      <c r="G1586">
        <v>490.82</v>
      </c>
      <c r="H1586" t="s">
        <v>15</v>
      </c>
      <c r="I1586" t="s">
        <v>47</v>
      </c>
      <c r="J1586" t="s">
        <v>211</v>
      </c>
    </row>
    <row r="1587" spans="1:10" x14ac:dyDescent="0.35">
      <c r="A1587" t="s">
        <v>1766</v>
      </c>
      <c r="B1587" s="1">
        <v>45939</v>
      </c>
      <c r="C1587" t="s">
        <v>100</v>
      </c>
      <c r="D1587" t="s">
        <v>101</v>
      </c>
      <c r="E1587" t="s">
        <v>102</v>
      </c>
      <c r="F1587" t="s">
        <v>14</v>
      </c>
      <c r="G1587">
        <v>99.32</v>
      </c>
      <c r="H1587" t="s">
        <v>15</v>
      </c>
      <c r="I1587" t="s">
        <v>22</v>
      </c>
      <c r="J1587" t="s">
        <v>103</v>
      </c>
    </row>
    <row r="1588" spans="1:10" x14ac:dyDescent="0.35">
      <c r="A1588" t="s">
        <v>1767</v>
      </c>
      <c r="B1588" s="1">
        <v>45939</v>
      </c>
      <c r="C1588" t="s">
        <v>33</v>
      </c>
      <c r="D1588" t="s">
        <v>34</v>
      </c>
      <c r="E1588" t="s">
        <v>35</v>
      </c>
      <c r="F1588" t="s">
        <v>14</v>
      </c>
      <c r="G1588">
        <v>182.99</v>
      </c>
      <c r="H1588" t="s">
        <v>15</v>
      </c>
      <c r="I1588" t="s">
        <v>22</v>
      </c>
      <c r="J1588" t="s">
        <v>37</v>
      </c>
    </row>
    <row r="1589" spans="1:10" x14ac:dyDescent="0.35">
      <c r="A1589" t="s">
        <v>1768</v>
      </c>
      <c r="B1589" s="1">
        <v>45939</v>
      </c>
      <c r="C1589" t="s">
        <v>116</v>
      </c>
      <c r="D1589" t="s">
        <v>80</v>
      </c>
      <c r="E1589" t="s">
        <v>117</v>
      </c>
      <c r="F1589" t="s">
        <v>14</v>
      </c>
      <c r="G1589">
        <v>131.44999999999999</v>
      </c>
      <c r="H1589" t="s">
        <v>15</v>
      </c>
      <c r="I1589" t="s">
        <v>22</v>
      </c>
      <c r="J1589" t="s">
        <v>118</v>
      </c>
    </row>
    <row r="1590" spans="1:10" x14ac:dyDescent="0.35">
      <c r="A1590" t="s">
        <v>1769</v>
      </c>
      <c r="B1590" s="1">
        <v>45940</v>
      </c>
      <c r="C1590" t="s">
        <v>113</v>
      </c>
      <c r="D1590" t="s">
        <v>34</v>
      </c>
      <c r="E1590" t="s">
        <v>40</v>
      </c>
      <c r="F1590" t="s">
        <v>14</v>
      </c>
      <c r="G1590">
        <v>279.63</v>
      </c>
      <c r="H1590" t="s">
        <v>21</v>
      </c>
      <c r="I1590" t="s">
        <v>22</v>
      </c>
      <c r="J1590" t="s">
        <v>37</v>
      </c>
    </row>
    <row r="1591" spans="1:10" x14ac:dyDescent="0.35">
      <c r="A1591" t="s">
        <v>1770</v>
      </c>
      <c r="B1591" s="1">
        <v>45940</v>
      </c>
      <c r="C1591" t="s">
        <v>227</v>
      </c>
      <c r="D1591" t="s">
        <v>12</v>
      </c>
      <c r="E1591" t="s">
        <v>51</v>
      </c>
      <c r="F1591" t="s">
        <v>14</v>
      </c>
      <c r="G1591">
        <v>15.71</v>
      </c>
      <c r="H1591" t="s">
        <v>15</v>
      </c>
      <c r="I1591" t="s">
        <v>22</v>
      </c>
      <c r="J1591" t="s">
        <v>17</v>
      </c>
    </row>
    <row r="1592" spans="1:10" x14ac:dyDescent="0.35">
      <c r="A1592" t="s">
        <v>1771</v>
      </c>
      <c r="B1592" s="1">
        <v>45940</v>
      </c>
      <c r="C1592" t="s">
        <v>308</v>
      </c>
      <c r="D1592" t="s">
        <v>54</v>
      </c>
      <c r="E1592" t="s">
        <v>64</v>
      </c>
      <c r="F1592" t="s">
        <v>54</v>
      </c>
      <c r="G1592">
        <v>291.77</v>
      </c>
      <c r="H1592" t="s">
        <v>21</v>
      </c>
      <c r="I1592" t="s">
        <v>47</v>
      </c>
      <c r="J1592" t="s">
        <v>89</v>
      </c>
    </row>
    <row r="1593" spans="1:10" x14ac:dyDescent="0.35">
      <c r="A1593" t="s">
        <v>1772</v>
      </c>
      <c r="B1593" s="1">
        <v>45940</v>
      </c>
      <c r="C1593" t="s">
        <v>168</v>
      </c>
      <c r="D1593" t="s">
        <v>59</v>
      </c>
      <c r="E1593" t="s">
        <v>60</v>
      </c>
      <c r="F1593" t="s">
        <v>14</v>
      </c>
      <c r="G1593">
        <v>258.83</v>
      </c>
      <c r="H1593" t="s">
        <v>15</v>
      </c>
      <c r="I1593" t="s">
        <v>22</v>
      </c>
      <c r="J1593" t="s">
        <v>170</v>
      </c>
    </row>
    <row r="1594" spans="1:10" x14ac:dyDescent="0.35">
      <c r="A1594" t="s">
        <v>1773</v>
      </c>
      <c r="B1594" s="1">
        <v>45940</v>
      </c>
      <c r="C1594" t="s">
        <v>308</v>
      </c>
      <c r="D1594" t="s">
        <v>54</v>
      </c>
      <c r="E1594" t="s">
        <v>64</v>
      </c>
      <c r="F1594" t="s">
        <v>54</v>
      </c>
      <c r="G1594">
        <v>341.79</v>
      </c>
      <c r="H1594" t="s">
        <v>15</v>
      </c>
      <c r="I1594" t="s">
        <v>22</v>
      </c>
      <c r="J1594" t="s">
        <v>89</v>
      </c>
    </row>
    <row r="1595" spans="1:10" x14ac:dyDescent="0.35">
      <c r="A1595" t="s">
        <v>1774</v>
      </c>
      <c r="B1595" s="1">
        <v>45940</v>
      </c>
      <c r="C1595" t="s">
        <v>39</v>
      </c>
      <c r="D1595" t="s">
        <v>34</v>
      </c>
      <c r="E1595" t="s">
        <v>40</v>
      </c>
      <c r="F1595" t="s">
        <v>14</v>
      </c>
      <c r="G1595">
        <v>100.32</v>
      </c>
      <c r="H1595" t="s">
        <v>98</v>
      </c>
      <c r="I1595" t="s">
        <v>36</v>
      </c>
      <c r="J1595" t="s">
        <v>41</v>
      </c>
    </row>
    <row r="1596" spans="1:10" x14ac:dyDescent="0.35">
      <c r="A1596" t="s">
        <v>1775</v>
      </c>
      <c r="B1596" s="1">
        <v>45940</v>
      </c>
      <c r="C1596" t="s">
        <v>415</v>
      </c>
      <c r="D1596" t="s">
        <v>12</v>
      </c>
      <c r="E1596" t="s">
        <v>51</v>
      </c>
      <c r="F1596" t="s">
        <v>14</v>
      </c>
      <c r="G1596">
        <v>47.13</v>
      </c>
      <c r="H1596" t="s">
        <v>15</v>
      </c>
      <c r="I1596" t="s">
        <v>47</v>
      </c>
      <c r="J1596" t="s">
        <v>77</v>
      </c>
    </row>
    <row r="1597" spans="1:10" x14ac:dyDescent="0.35">
      <c r="A1597" t="s">
        <v>1776</v>
      </c>
      <c r="B1597" s="1">
        <v>45941</v>
      </c>
      <c r="C1597" t="s">
        <v>73</v>
      </c>
      <c r="D1597" t="s">
        <v>54</v>
      </c>
      <c r="E1597" t="s">
        <v>74</v>
      </c>
      <c r="F1597" t="s">
        <v>54</v>
      </c>
      <c r="G1597">
        <v>2556.6999999999998</v>
      </c>
      <c r="H1597" t="s">
        <v>21</v>
      </c>
      <c r="I1597" t="s">
        <v>47</v>
      </c>
      <c r="J1597" t="s">
        <v>65</v>
      </c>
    </row>
    <row r="1598" spans="1:10" x14ac:dyDescent="0.35">
      <c r="A1598" t="s">
        <v>1777</v>
      </c>
      <c r="B1598" s="1">
        <v>45941</v>
      </c>
      <c r="C1598" t="s">
        <v>138</v>
      </c>
      <c r="D1598" t="s">
        <v>12</v>
      </c>
      <c r="E1598" t="s">
        <v>26</v>
      </c>
      <c r="F1598" t="s">
        <v>14</v>
      </c>
      <c r="G1598">
        <v>60.3</v>
      </c>
      <c r="H1598" t="s">
        <v>15</v>
      </c>
      <c r="I1598" t="s">
        <v>47</v>
      </c>
      <c r="J1598" t="s">
        <v>77</v>
      </c>
    </row>
    <row r="1599" spans="1:10" x14ac:dyDescent="0.35">
      <c r="A1599" t="s">
        <v>1778</v>
      </c>
      <c r="B1599" s="1">
        <v>45941</v>
      </c>
      <c r="C1599" t="s">
        <v>217</v>
      </c>
      <c r="D1599" t="s">
        <v>80</v>
      </c>
      <c r="E1599" t="s">
        <v>81</v>
      </c>
      <c r="F1599" t="s">
        <v>14</v>
      </c>
      <c r="G1599">
        <v>77.75</v>
      </c>
      <c r="H1599" t="s">
        <v>15</v>
      </c>
      <c r="I1599" t="s">
        <v>22</v>
      </c>
      <c r="J1599" t="s">
        <v>180</v>
      </c>
    </row>
    <row r="1600" spans="1:10" x14ac:dyDescent="0.35">
      <c r="A1600" t="s">
        <v>1779</v>
      </c>
      <c r="B1600" s="1">
        <v>45942</v>
      </c>
      <c r="C1600" t="s">
        <v>251</v>
      </c>
      <c r="D1600" t="s">
        <v>29</v>
      </c>
      <c r="E1600" t="s">
        <v>151</v>
      </c>
      <c r="F1600" t="s">
        <v>14</v>
      </c>
      <c r="G1600">
        <v>120</v>
      </c>
      <c r="H1600" t="s">
        <v>15</v>
      </c>
      <c r="I1600" t="s">
        <v>47</v>
      </c>
      <c r="J1600" t="s">
        <v>31</v>
      </c>
    </row>
    <row r="1601" spans="1:10" x14ac:dyDescent="0.35">
      <c r="A1601" t="s">
        <v>1780</v>
      </c>
      <c r="B1601" s="1">
        <v>45942</v>
      </c>
      <c r="C1601" t="s">
        <v>272</v>
      </c>
      <c r="D1601" t="s">
        <v>54</v>
      </c>
      <c r="E1601" t="s">
        <v>55</v>
      </c>
      <c r="F1601" t="s">
        <v>54</v>
      </c>
      <c r="G1601">
        <v>579.19000000000005</v>
      </c>
      <c r="H1601" t="s">
        <v>15</v>
      </c>
      <c r="I1601" t="s">
        <v>36</v>
      </c>
      <c r="J1601" t="s">
        <v>65</v>
      </c>
    </row>
    <row r="1602" spans="1:10" x14ac:dyDescent="0.35">
      <c r="A1602" t="s">
        <v>1781</v>
      </c>
      <c r="B1602" s="1">
        <v>45942</v>
      </c>
      <c r="C1602" t="s">
        <v>179</v>
      </c>
      <c r="D1602" t="s">
        <v>80</v>
      </c>
      <c r="E1602" t="s">
        <v>117</v>
      </c>
      <c r="F1602" t="s">
        <v>14</v>
      </c>
      <c r="G1602">
        <v>102.53</v>
      </c>
      <c r="H1602" t="s">
        <v>15</v>
      </c>
      <c r="I1602" t="s">
        <v>22</v>
      </c>
      <c r="J1602" t="s">
        <v>180</v>
      </c>
    </row>
    <row r="1603" spans="1:10" x14ac:dyDescent="0.35">
      <c r="A1603" t="s">
        <v>1782</v>
      </c>
      <c r="B1603" s="1">
        <v>45942</v>
      </c>
      <c r="C1603" t="s">
        <v>259</v>
      </c>
      <c r="D1603" t="s">
        <v>59</v>
      </c>
      <c r="E1603" t="s">
        <v>199</v>
      </c>
      <c r="F1603" t="s">
        <v>14</v>
      </c>
      <c r="G1603">
        <v>158.43</v>
      </c>
      <c r="H1603" t="s">
        <v>15</v>
      </c>
      <c r="I1603" t="s">
        <v>47</v>
      </c>
      <c r="J1603" t="s">
        <v>170</v>
      </c>
    </row>
    <row r="1604" spans="1:10" x14ac:dyDescent="0.35">
      <c r="A1604" t="s">
        <v>1783</v>
      </c>
      <c r="B1604" s="1">
        <v>45942</v>
      </c>
      <c r="C1604" t="s">
        <v>138</v>
      </c>
      <c r="D1604" t="s">
        <v>12</v>
      </c>
      <c r="E1604" t="s">
        <v>26</v>
      </c>
      <c r="F1604" t="s">
        <v>14</v>
      </c>
      <c r="G1604">
        <v>160.63999999999999</v>
      </c>
      <c r="H1604" t="s">
        <v>15</v>
      </c>
      <c r="I1604" t="s">
        <v>47</v>
      </c>
      <c r="J1604" t="s">
        <v>77</v>
      </c>
    </row>
    <row r="1605" spans="1:10" x14ac:dyDescent="0.35">
      <c r="A1605" t="s">
        <v>1784</v>
      </c>
      <c r="B1605" s="1">
        <v>45942</v>
      </c>
      <c r="C1605" t="s">
        <v>33</v>
      </c>
      <c r="D1605" t="s">
        <v>34</v>
      </c>
      <c r="E1605" t="s">
        <v>35</v>
      </c>
      <c r="F1605" t="s">
        <v>14</v>
      </c>
      <c r="G1605">
        <v>157.35</v>
      </c>
      <c r="H1605" t="s">
        <v>15</v>
      </c>
      <c r="I1605" t="s">
        <v>22</v>
      </c>
      <c r="J1605" t="s">
        <v>37</v>
      </c>
    </row>
    <row r="1606" spans="1:10" x14ac:dyDescent="0.35">
      <c r="A1606" t="s">
        <v>1785</v>
      </c>
      <c r="B1606" s="1">
        <v>45942</v>
      </c>
      <c r="C1606" t="s">
        <v>204</v>
      </c>
      <c r="D1606" t="s">
        <v>12</v>
      </c>
      <c r="E1606" t="s">
        <v>51</v>
      </c>
      <c r="F1606" t="s">
        <v>14</v>
      </c>
      <c r="G1606">
        <v>46.28</v>
      </c>
      <c r="H1606" t="s">
        <v>15</v>
      </c>
      <c r="I1606" t="s">
        <v>36</v>
      </c>
      <c r="J1606" t="s">
        <v>23</v>
      </c>
    </row>
    <row r="1607" spans="1:10" x14ac:dyDescent="0.35">
      <c r="A1607" t="s">
        <v>1786</v>
      </c>
      <c r="B1607" s="1">
        <v>45943</v>
      </c>
      <c r="C1607" t="s">
        <v>215</v>
      </c>
      <c r="D1607" t="s">
        <v>80</v>
      </c>
      <c r="E1607" t="s">
        <v>117</v>
      </c>
      <c r="F1607" t="s">
        <v>14</v>
      </c>
      <c r="G1607">
        <v>103.54</v>
      </c>
      <c r="H1607" t="s">
        <v>21</v>
      </c>
      <c r="I1607" t="s">
        <v>22</v>
      </c>
      <c r="J1607" t="s">
        <v>141</v>
      </c>
    </row>
    <row r="1608" spans="1:10" x14ac:dyDescent="0.35">
      <c r="A1608" t="s">
        <v>1787</v>
      </c>
      <c r="B1608" s="1">
        <v>45943</v>
      </c>
      <c r="C1608" t="s">
        <v>109</v>
      </c>
      <c r="D1608" t="s">
        <v>34</v>
      </c>
      <c r="E1608" t="s">
        <v>35</v>
      </c>
      <c r="F1608" t="s">
        <v>14</v>
      </c>
      <c r="G1608">
        <v>156.58000000000001</v>
      </c>
      <c r="H1608" t="s">
        <v>21</v>
      </c>
      <c r="I1608" t="s">
        <v>36</v>
      </c>
      <c r="J1608" t="s">
        <v>41</v>
      </c>
    </row>
    <row r="1609" spans="1:10" x14ac:dyDescent="0.35">
      <c r="A1609" t="s">
        <v>1788</v>
      </c>
      <c r="B1609" s="1">
        <v>45943</v>
      </c>
      <c r="C1609" t="s">
        <v>76</v>
      </c>
      <c r="D1609" t="s">
        <v>12</v>
      </c>
      <c r="E1609" t="s">
        <v>13</v>
      </c>
      <c r="F1609" t="s">
        <v>14</v>
      </c>
      <c r="G1609">
        <v>51.47</v>
      </c>
      <c r="H1609" t="s">
        <v>15</v>
      </c>
      <c r="I1609" t="s">
        <v>36</v>
      </c>
      <c r="J1609" t="s">
        <v>77</v>
      </c>
    </row>
    <row r="1610" spans="1:10" x14ac:dyDescent="0.35">
      <c r="A1610" t="s">
        <v>1789</v>
      </c>
      <c r="B1610" s="1">
        <v>45944</v>
      </c>
      <c r="C1610" t="s">
        <v>50</v>
      </c>
      <c r="D1610" t="s">
        <v>12</v>
      </c>
      <c r="E1610" t="s">
        <v>51</v>
      </c>
      <c r="F1610" t="s">
        <v>14</v>
      </c>
      <c r="G1610">
        <v>15.15</v>
      </c>
      <c r="H1610" t="s">
        <v>15</v>
      </c>
      <c r="I1610" t="s">
        <v>47</v>
      </c>
      <c r="J1610" t="s">
        <v>44</v>
      </c>
    </row>
    <row r="1611" spans="1:10" x14ac:dyDescent="0.35">
      <c r="A1611" t="s">
        <v>1790</v>
      </c>
      <c r="B1611" s="1">
        <v>45944</v>
      </c>
      <c r="C1611" t="s">
        <v>109</v>
      </c>
      <c r="D1611" t="s">
        <v>34</v>
      </c>
      <c r="E1611" t="s">
        <v>35</v>
      </c>
      <c r="F1611" t="s">
        <v>14</v>
      </c>
      <c r="G1611">
        <v>32.31</v>
      </c>
      <c r="H1611" t="s">
        <v>98</v>
      </c>
      <c r="I1611" t="s">
        <v>36</v>
      </c>
      <c r="J1611" t="s">
        <v>41</v>
      </c>
    </row>
    <row r="1612" spans="1:10" x14ac:dyDescent="0.35">
      <c r="A1612" t="s">
        <v>1791</v>
      </c>
      <c r="B1612" s="1">
        <v>45944</v>
      </c>
      <c r="C1612" t="s">
        <v>179</v>
      </c>
      <c r="D1612" t="s">
        <v>80</v>
      </c>
      <c r="E1612" t="s">
        <v>117</v>
      </c>
      <c r="F1612" t="s">
        <v>14</v>
      </c>
      <c r="G1612">
        <v>112</v>
      </c>
      <c r="H1612" t="s">
        <v>15</v>
      </c>
      <c r="I1612" t="s">
        <v>22</v>
      </c>
      <c r="J1612" t="s">
        <v>180</v>
      </c>
    </row>
    <row r="1613" spans="1:10" x14ac:dyDescent="0.35">
      <c r="A1613" t="s">
        <v>1792</v>
      </c>
      <c r="B1613" s="1">
        <v>45944</v>
      </c>
      <c r="C1613" t="s">
        <v>580</v>
      </c>
      <c r="D1613" t="s">
        <v>80</v>
      </c>
      <c r="E1613" t="s">
        <v>81</v>
      </c>
      <c r="F1613" t="s">
        <v>14</v>
      </c>
      <c r="G1613">
        <v>87.78</v>
      </c>
      <c r="H1613" t="s">
        <v>15</v>
      </c>
      <c r="I1613" t="s">
        <v>22</v>
      </c>
      <c r="J1613" t="s">
        <v>118</v>
      </c>
    </row>
    <row r="1614" spans="1:10" x14ac:dyDescent="0.35">
      <c r="A1614" t="s">
        <v>1793</v>
      </c>
      <c r="B1614" s="1">
        <v>45944</v>
      </c>
      <c r="C1614" t="s">
        <v>572</v>
      </c>
      <c r="D1614" t="s">
        <v>69</v>
      </c>
      <c r="E1614" t="s">
        <v>233</v>
      </c>
      <c r="F1614" t="s">
        <v>14</v>
      </c>
      <c r="G1614">
        <v>647.87</v>
      </c>
      <c r="H1614" t="s">
        <v>21</v>
      </c>
      <c r="I1614" t="s">
        <v>22</v>
      </c>
      <c r="J1614" t="s">
        <v>292</v>
      </c>
    </row>
    <row r="1615" spans="1:10" x14ac:dyDescent="0.35">
      <c r="A1615" t="s">
        <v>1794</v>
      </c>
      <c r="B1615" s="1">
        <v>45944</v>
      </c>
      <c r="C1615" t="s">
        <v>168</v>
      </c>
      <c r="D1615" t="s">
        <v>59</v>
      </c>
      <c r="E1615" t="s">
        <v>60</v>
      </c>
      <c r="F1615" t="s">
        <v>14</v>
      </c>
      <c r="G1615">
        <v>204.7</v>
      </c>
      <c r="H1615" t="s">
        <v>15</v>
      </c>
      <c r="I1615" t="s">
        <v>47</v>
      </c>
      <c r="J1615" t="s">
        <v>170</v>
      </c>
    </row>
    <row r="1616" spans="1:10" x14ac:dyDescent="0.35">
      <c r="A1616" t="s">
        <v>1795</v>
      </c>
      <c r="B1616" s="1">
        <v>45944</v>
      </c>
      <c r="C1616" t="s">
        <v>262</v>
      </c>
      <c r="D1616" t="s">
        <v>101</v>
      </c>
      <c r="E1616" t="s">
        <v>244</v>
      </c>
      <c r="F1616" t="s">
        <v>14</v>
      </c>
      <c r="G1616">
        <v>123.55</v>
      </c>
      <c r="H1616" t="s">
        <v>21</v>
      </c>
      <c r="I1616" t="s">
        <v>22</v>
      </c>
      <c r="J1616" t="s">
        <v>136</v>
      </c>
    </row>
    <row r="1617" spans="1:10" x14ac:dyDescent="0.35">
      <c r="A1617" t="s">
        <v>1796</v>
      </c>
      <c r="B1617" s="1">
        <v>45946</v>
      </c>
      <c r="C1617" t="s">
        <v>269</v>
      </c>
      <c r="D1617" t="s">
        <v>34</v>
      </c>
      <c r="E1617" t="s">
        <v>35</v>
      </c>
      <c r="F1617" t="s">
        <v>14</v>
      </c>
      <c r="G1617">
        <v>43.84</v>
      </c>
      <c r="H1617" t="s">
        <v>15</v>
      </c>
      <c r="I1617" t="s">
        <v>84</v>
      </c>
      <c r="J1617" t="s">
        <v>123</v>
      </c>
    </row>
    <row r="1618" spans="1:10" x14ac:dyDescent="0.35">
      <c r="A1618" t="s">
        <v>1797</v>
      </c>
      <c r="B1618" s="1">
        <v>45946</v>
      </c>
      <c r="C1618" t="s">
        <v>33</v>
      </c>
      <c r="D1618" t="s">
        <v>34</v>
      </c>
      <c r="E1618" t="s">
        <v>35</v>
      </c>
      <c r="F1618" t="s">
        <v>14</v>
      </c>
      <c r="G1618">
        <v>100.25</v>
      </c>
      <c r="H1618" t="s">
        <v>21</v>
      </c>
      <c r="I1618" t="s">
        <v>47</v>
      </c>
      <c r="J1618" t="s">
        <v>37</v>
      </c>
    </row>
    <row r="1619" spans="1:10" x14ac:dyDescent="0.35">
      <c r="A1619" t="s">
        <v>1798</v>
      </c>
      <c r="B1619" s="1">
        <v>45946</v>
      </c>
      <c r="C1619" t="s">
        <v>63</v>
      </c>
      <c r="D1619" t="s">
        <v>54</v>
      </c>
      <c r="E1619" t="s">
        <v>64</v>
      </c>
      <c r="F1619" t="s">
        <v>54</v>
      </c>
      <c r="G1619">
        <v>388.79</v>
      </c>
      <c r="H1619" t="s">
        <v>15</v>
      </c>
      <c r="I1619" t="s">
        <v>22</v>
      </c>
      <c r="J1619" t="s">
        <v>65</v>
      </c>
    </row>
    <row r="1620" spans="1:10" x14ac:dyDescent="0.35">
      <c r="A1620" t="s">
        <v>1799</v>
      </c>
      <c r="B1620" s="1">
        <v>45946</v>
      </c>
      <c r="C1620" t="s">
        <v>11</v>
      </c>
      <c r="D1620" t="s">
        <v>12</v>
      </c>
      <c r="E1620" t="s">
        <v>13</v>
      </c>
      <c r="F1620" t="s">
        <v>14</v>
      </c>
      <c r="G1620">
        <v>33.31</v>
      </c>
      <c r="H1620" t="s">
        <v>15</v>
      </c>
      <c r="I1620" t="s">
        <v>22</v>
      </c>
      <c r="J1620" t="s">
        <v>17</v>
      </c>
    </row>
    <row r="1621" spans="1:10" x14ac:dyDescent="0.35">
      <c r="A1621" t="s">
        <v>1800</v>
      </c>
      <c r="B1621" s="1">
        <v>45946</v>
      </c>
      <c r="C1621" t="s">
        <v>28</v>
      </c>
      <c r="D1621" t="s">
        <v>29</v>
      </c>
      <c r="E1621" t="s">
        <v>30</v>
      </c>
      <c r="F1621" t="s">
        <v>14</v>
      </c>
      <c r="G1621">
        <v>8.5500000000000007</v>
      </c>
      <c r="H1621" t="s">
        <v>15</v>
      </c>
      <c r="I1621" t="s">
        <v>36</v>
      </c>
      <c r="J1621" t="s">
        <v>31</v>
      </c>
    </row>
    <row r="1622" spans="1:10" x14ac:dyDescent="0.35">
      <c r="A1622" t="s">
        <v>1801</v>
      </c>
      <c r="B1622" s="1">
        <v>45947</v>
      </c>
      <c r="C1622" t="s">
        <v>39</v>
      </c>
      <c r="D1622" t="s">
        <v>34</v>
      </c>
      <c r="E1622" t="s">
        <v>40</v>
      </c>
      <c r="F1622" t="s">
        <v>14</v>
      </c>
      <c r="G1622">
        <v>500</v>
      </c>
      <c r="H1622" t="s">
        <v>15</v>
      </c>
      <c r="I1622" t="s">
        <v>22</v>
      </c>
      <c r="J1622" t="s">
        <v>41</v>
      </c>
    </row>
    <row r="1623" spans="1:10" x14ac:dyDescent="0.35">
      <c r="A1623" t="s">
        <v>1802</v>
      </c>
      <c r="B1623" s="1">
        <v>45947</v>
      </c>
      <c r="C1623" t="s">
        <v>150</v>
      </c>
      <c r="D1623" t="s">
        <v>29</v>
      </c>
      <c r="E1623" t="s">
        <v>30</v>
      </c>
      <c r="F1623" t="s">
        <v>14</v>
      </c>
      <c r="G1623">
        <v>19.71</v>
      </c>
      <c r="H1623" t="s">
        <v>15</v>
      </c>
      <c r="I1623" t="s">
        <v>22</v>
      </c>
      <c r="J1623" t="s">
        <v>151</v>
      </c>
    </row>
    <row r="1624" spans="1:10" x14ac:dyDescent="0.35">
      <c r="A1624" t="s">
        <v>1803</v>
      </c>
      <c r="B1624" s="1">
        <v>45947</v>
      </c>
      <c r="C1624" t="s">
        <v>1491</v>
      </c>
      <c r="D1624" t="s">
        <v>69</v>
      </c>
      <c r="E1624" t="s">
        <v>233</v>
      </c>
      <c r="F1624" t="s">
        <v>14</v>
      </c>
      <c r="G1624">
        <v>1107.76</v>
      </c>
      <c r="H1624" t="s">
        <v>21</v>
      </c>
      <c r="I1624" t="s">
        <v>47</v>
      </c>
      <c r="J1624" t="s">
        <v>396</v>
      </c>
    </row>
    <row r="1625" spans="1:10" x14ac:dyDescent="0.35">
      <c r="A1625" t="s">
        <v>1804</v>
      </c>
      <c r="B1625" s="1">
        <v>45947</v>
      </c>
      <c r="C1625" t="s">
        <v>298</v>
      </c>
      <c r="D1625" t="s">
        <v>59</v>
      </c>
      <c r="E1625" t="s">
        <v>185</v>
      </c>
      <c r="F1625" t="s">
        <v>14</v>
      </c>
      <c r="G1625">
        <v>185.51</v>
      </c>
      <c r="H1625" t="s">
        <v>15</v>
      </c>
      <c r="I1625" t="s">
        <v>22</v>
      </c>
      <c r="J1625" t="s">
        <v>170</v>
      </c>
    </row>
    <row r="1626" spans="1:10" x14ac:dyDescent="0.35">
      <c r="A1626" t="s">
        <v>1805</v>
      </c>
      <c r="B1626" s="1">
        <v>45947</v>
      </c>
      <c r="C1626" t="s">
        <v>138</v>
      </c>
      <c r="D1626" t="s">
        <v>12</v>
      </c>
      <c r="E1626" t="s">
        <v>26</v>
      </c>
      <c r="F1626" t="s">
        <v>14</v>
      </c>
      <c r="G1626">
        <v>81.540000000000006</v>
      </c>
      <c r="H1626" t="s">
        <v>15</v>
      </c>
      <c r="I1626" t="s">
        <v>36</v>
      </c>
      <c r="J1626" t="s">
        <v>1806</v>
      </c>
    </row>
    <row r="1627" spans="1:10" x14ac:dyDescent="0.35">
      <c r="A1627" t="s">
        <v>1807</v>
      </c>
      <c r="B1627" s="1">
        <v>45947</v>
      </c>
      <c r="C1627" t="s">
        <v>94</v>
      </c>
      <c r="D1627" t="s">
        <v>29</v>
      </c>
      <c r="E1627" t="s">
        <v>95</v>
      </c>
      <c r="F1627" t="s">
        <v>14</v>
      </c>
      <c r="G1627">
        <v>18.91</v>
      </c>
      <c r="H1627" t="s">
        <v>15</v>
      </c>
      <c r="I1627" t="s">
        <v>36</v>
      </c>
      <c r="J1627" t="s">
        <v>96</v>
      </c>
    </row>
    <row r="1628" spans="1:10" x14ac:dyDescent="0.35">
      <c r="A1628" t="s">
        <v>1808</v>
      </c>
      <c r="B1628" s="1">
        <v>45948</v>
      </c>
      <c r="C1628" t="s">
        <v>125</v>
      </c>
      <c r="D1628" t="s">
        <v>12</v>
      </c>
      <c r="E1628" t="s">
        <v>13</v>
      </c>
      <c r="F1628" t="s">
        <v>14</v>
      </c>
      <c r="G1628">
        <v>30.06</v>
      </c>
      <c r="H1628" t="s">
        <v>15</v>
      </c>
      <c r="I1628" t="s">
        <v>47</v>
      </c>
      <c r="J1628" t="s">
        <v>44</v>
      </c>
    </row>
    <row r="1629" spans="1:10" x14ac:dyDescent="0.35">
      <c r="A1629" t="s">
        <v>1809</v>
      </c>
      <c r="B1629" s="1">
        <v>45948</v>
      </c>
      <c r="C1629" t="s">
        <v>58</v>
      </c>
      <c r="D1629" t="s">
        <v>59</v>
      </c>
      <c r="E1629" t="s">
        <v>60</v>
      </c>
      <c r="F1629" t="s">
        <v>14</v>
      </c>
      <c r="G1629">
        <v>146.72</v>
      </c>
      <c r="H1629" t="s">
        <v>98</v>
      </c>
      <c r="I1629" t="s">
        <v>36</v>
      </c>
      <c r="J1629" t="s">
        <v>61</v>
      </c>
    </row>
    <row r="1630" spans="1:10" x14ac:dyDescent="0.35">
      <c r="A1630" t="s">
        <v>1810</v>
      </c>
      <c r="B1630" s="1">
        <v>45948</v>
      </c>
      <c r="C1630" t="s">
        <v>28</v>
      </c>
      <c r="D1630" t="s">
        <v>29</v>
      </c>
      <c r="E1630" t="s">
        <v>30</v>
      </c>
      <c r="F1630" t="s">
        <v>14</v>
      </c>
      <c r="G1630">
        <v>29.86</v>
      </c>
      <c r="H1630" t="s">
        <v>15</v>
      </c>
      <c r="I1630" t="s">
        <v>16</v>
      </c>
      <c r="J1630" t="s">
        <v>31</v>
      </c>
    </row>
    <row r="1631" spans="1:10" x14ac:dyDescent="0.35">
      <c r="A1631" t="s">
        <v>1811</v>
      </c>
      <c r="B1631" s="1">
        <v>45948</v>
      </c>
      <c r="C1631" t="s">
        <v>347</v>
      </c>
      <c r="D1631" t="s">
        <v>29</v>
      </c>
      <c r="E1631" t="s">
        <v>151</v>
      </c>
      <c r="F1631" t="s">
        <v>14</v>
      </c>
      <c r="G1631">
        <v>32.51</v>
      </c>
      <c r="H1631" t="s">
        <v>21</v>
      </c>
      <c r="I1631" t="s">
        <v>47</v>
      </c>
      <c r="J1631" t="s">
        <v>96</v>
      </c>
    </row>
    <row r="1632" spans="1:10" x14ac:dyDescent="0.35">
      <c r="A1632" t="s">
        <v>1812</v>
      </c>
      <c r="B1632" s="1">
        <v>45948</v>
      </c>
      <c r="C1632" t="s">
        <v>143</v>
      </c>
      <c r="D1632" t="s">
        <v>54</v>
      </c>
      <c r="E1632" t="s">
        <v>55</v>
      </c>
      <c r="F1632" t="s">
        <v>54</v>
      </c>
      <c r="G1632">
        <v>693.89</v>
      </c>
      <c r="H1632" t="s">
        <v>21</v>
      </c>
      <c r="I1632" t="s">
        <v>22</v>
      </c>
      <c r="J1632" t="s">
        <v>89</v>
      </c>
    </row>
    <row r="1633" spans="1:10" x14ac:dyDescent="0.35">
      <c r="A1633" t="s">
        <v>1813</v>
      </c>
      <c r="B1633" s="1">
        <v>45948</v>
      </c>
      <c r="C1633" t="s">
        <v>28</v>
      </c>
      <c r="D1633" t="s">
        <v>29</v>
      </c>
      <c r="E1633" t="s">
        <v>30</v>
      </c>
      <c r="F1633" t="s">
        <v>14</v>
      </c>
      <c r="G1633">
        <v>25.48</v>
      </c>
      <c r="H1633" t="s">
        <v>15</v>
      </c>
      <c r="I1633" t="s">
        <v>22</v>
      </c>
      <c r="J1633" t="s">
        <v>31</v>
      </c>
    </row>
    <row r="1634" spans="1:10" x14ac:dyDescent="0.35">
      <c r="A1634" t="s">
        <v>1814</v>
      </c>
      <c r="B1634" s="1">
        <v>45949</v>
      </c>
      <c r="C1634" t="s">
        <v>163</v>
      </c>
      <c r="D1634" t="s">
        <v>80</v>
      </c>
      <c r="E1634" t="s">
        <v>92</v>
      </c>
      <c r="F1634" t="s">
        <v>14</v>
      </c>
      <c r="G1634">
        <v>29.27</v>
      </c>
      <c r="H1634" t="s">
        <v>15</v>
      </c>
      <c r="I1634" t="s">
        <v>22</v>
      </c>
      <c r="J1634" t="s">
        <v>118</v>
      </c>
    </row>
    <row r="1635" spans="1:10" x14ac:dyDescent="0.35">
      <c r="A1635" t="s">
        <v>1815</v>
      </c>
      <c r="B1635" s="1">
        <v>45949</v>
      </c>
      <c r="C1635" t="s">
        <v>132</v>
      </c>
      <c r="D1635" t="s">
        <v>69</v>
      </c>
      <c r="E1635" t="s">
        <v>70</v>
      </c>
      <c r="F1635" t="s">
        <v>14</v>
      </c>
      <c r="G1635">
        <v>444.29</v>
      </c>
      <c r="H1635" t="s">
        <v>15</v>
      </c>
      <c r="I1635" t="s">
        <v>36</v>
      </c>
      <c r="J1635" t="s">
        <v>133</v>
      </c>
    </row>
    <row r="1636" spans="1:10" x14ac:dyDescent="0.35">
      <c r="A1636" t="s">
        <v>1816</v>
      </c>
      <c r="B1636" s="1">
        <v>45949</v>
      </c>
      <c r="C1636" t="s">
        <v>238</v>
      </c>
      <c r="D1636" t="s">
        <v>34</v>
      </c>
      <c r="E1636" t="s">
        <v>35</v>
      </c>
      <c r="F1636" t="s">
        <v>14</v>
      </c>
      <c r="G1636">
        <v>215.07</v>
      </c>
      <c r="H1636" t="s">
        <v>15</v>
      </c>
      <c r="I1636" t="s">
        <v>22</v>
      </c>
      <c r="J1636" t="s">
        <v>239</v>
      </c>
    </row>
    <row r="1637" spans="1:10" x14ac:dyDescent="0.35">
      <c r="A1637" t="s">
        <v>1817</v>
      </c>
      <c r="B1637" s="1">
        <v>45950</v>
      </c>
      <c r="C1637" t="s">
        <v>138</v>
      </c>
      <c r="D1637" t="s">
        <v>12</v>
      </c>
      <c r="E1637" t="s">
        <v>26</v>
      </c>
      <c r="F1637" t="s">
        <v>14</v>
      </c>
      <c r="G1637">
        <v>21.01</v>
      </c>
      <c r="H1637" t="s">
        <v>21</v>
      </c>
      <c r="I1637" t="s">
        <v>22</v>
      </c>
      <c r="J1637" t="s">
        <v>77</v>
      </c>
    </row>
    <row r="1638" spans="1:10" x14ac:dyDescent="0.35">
      <c r="A1638" t="s">
        <v>1818</v>
      </c>
      <c r="B1638" s="1">
        <v>45950</v>
      </c>
      <c r="C1638" t="s">
        <v>259</v>
      </c>
      <c r="D1638" t="s">
        <v>59</v>
      </c>
      <c r="E1638" t="s">
        <v>199</v>
      </c>
      <c r="F1638" t="s">
        <v>14</v>
      </c>
      <c r="G1638">
        <v>258.82</v>
      </c>
      <c r="H1638" t="s">
        <v>98</v>
      </c>
      <c r="I1638" t="s">
        <v>22</v>
      </c>
      <c r="J1638" t="s">
        <v>170</v>
      </c>
    </row>
    <row r="1639" spans="1:10" x14ac:dyDescent="0.35">
      <c r="A1639" t="s">
        <v>1819</v>
      </c>
      <c r="B1639" s="1">
        <v>45950</v>
      </c>
      <c r="C1639" t="s">
        <v>130</v>
      </c>
      <c r="D1639" t="s">
        <v>12</v>
      </c>
      <c r="E1639" t="s">
        <v>26</v>
      </c>
      <c r="F1639" t="s">
        <v>14</v>
      </c>
      <c r="G1639">
        <v>25.5</v>
      </c>
      <c r="H1639" t="s">
        <v>15</v>
      </c>
      <c r="I1639" t="s">
        <v>22</v>
      </c>
      <c r="J1639" t="s">
        <v>48</v>
      </c>
    </row>
    <row r="1640" spans="1:10" x14ac:dyDescent="0.35">
      <c r="A1640" t="s">
        <v>1820</v>
      </c>
      <c r="B1640" s="1">
        <v>45950</v>
      </c>
      <c r="C1640" t="s">
        <v>229</v>
      </c>
      <c r="D1640" t="s">
        <v>54</v>
      </c>
      <c r="E1640" t="s">
        <v>64</v>
      </c>
      <c r="F1640" t="s">
        <v>54</v>
      </c>
      <c r="G1640">
        <v>312.44</v>
      </c>
      <c r="H1640" t="s">
        <v>98</v>
      </c>
      <c r="I1640" t="s">
        <v>22</v>
      </c>
      <c r="J1640" t="s">
        <v>56</v>
      </c>
    </row>
    <row r="1641" spans="1:10" x14ac:dyDescent="0.35">
      <c r="A1641" t="s">
        <v>1821</v>
      </c>
      <c r="B1641" s="1">
        <v>45950</v>
      </c>
      <c r="C1641" t="s">
        <v>253</v>
      </c>
      <c r="D1641" t="s">
        <v>29</v>
      </c>
      <c r="E1641" t="s">
        <v>30</v>
      </c>
      <c r="F1641" t="s">
        <v>14</v>
      </c>
      <c r="G1641">
        <v>17.02</v>
      </c>
      <c r="H1641" t="s">
        <v>15</v>
      </c>
      <c r="I1641" t="s">
        <v>22</v>
      </c>
      <c r="J1641" t="s">
        <v>158</v>
      </c>
    </row>
    <row r="1642" spans="1:10" x14ac:dyDescent="0.35">
      <c r="A1642" t="s">
        <v>1822</v>
      </c>
      <c r="B1642" s="1">
        <v>45950</v>
      </c>
      <c r="C1642" t="s">
        <v>19</v>
      </c>
      <c r="D1642" t="s">
        <v>12</v>
      </c>
      <c r="E1642" t="s">
        <v>13</v>
      </c>
      <c r="F1642" t="s">
        <v>14</v>
      </c>
      <c r="G1642">
        <v>61.46</v>
      </c>
      <c r="H1642" t="s">
        <v>15</v>
      </c>
      <c r="I1642" t="s">
        <v>47</v>
      </c>
      <c r="J1642" t="s">
        <v>23</v>
      </c>
    </row>
    <row r="1643" spans="1:10" x14ac:dyDescent="0.35">
      <c r="A1643" t="s">
        <v>1823</v>
      </c>
      <c r="B1643" s="1">
        <v>45950</v>
      </c>
      <c r="C1643" t="s">
        <v>43</v>
      </c>
      <c r="D1643" t="s">
        <v>12</v>
      </c>
      <c r="E1643" t="s">
        <v>26</v>
      </c>
      <c r="F1643" t="s">
        <v>14</v>
      </c>
      <c r="G1643">
        <v>53.33</v>
      </c>
      <c r="H1643" t="s">
        <v>15</v>
      </c>
      <c r="I1643" t="s">
        <v>22</v>
      </c>
      <c r="J1643" t="s">
        <v>44</v>
      </c>
    </row>
    <row r="1644" spans="1:10" x14ac:dyDescent="0.35">
      <c r="A1644" t="s">
        <v>1824</v>
      </c>
      <c r="B1644" s="1">
        <v>45950</v>
      </c>
      <c r="C1644" t="s">
        <v>58</v>
      </c>
      <c r="D1644" t="s">
        <v>59</v>
      </c>
      <c r="E1644" t="s">
        <v>60</v>
      </c>
      <c r="F1644" t="s">
        <v>14</v>
      </c>
      <c r="G1644">
        <v>259.39</v>
      </c>
      <c r="H1644" t="s">
        <v>15</v>
      </c>
      <c r="I1644" t="s">
        <v>36</v>
      </c>
      <c r="J1644" t="s">
        <v>61</v>
      </c>
    </row>
    <row r="1645" spans="1:10" x14ac:dyDescent="0.35">
      <c r="A1645" t="s">
        <v>1825</v>
      </c>
      <c r="B1645" s="1">
        <v>45950</v>
      </c>
      <c r="C1645" t="s">
        <v>168</v>
      </c>
      <c r="D1645" t="s">
        <v>59</v>
      </c>
      <c r="E1645" t="s">
        <v>60</v>
      </c>
      <c r="F1645" t="s">
        <v>14</v>
      </c>
      <c r="G1645">
        <v>894.87</v>
      </c>
      <c r="H1645" t="s">
        <v>15</v>
      </c>
      <c r="I1645" t="s">
        <v>16</v>
      </c>
      <c r="J1645" t="s">
        <v>170</v>
      </c>
    </row>
    <row r="1646" spans="1:10" x14ac:dyDescent="0.35">
      <c r="A1646" t="s">
        <v>1826</v>
      </c>
      <c r="B1646" s="1">
        <v>45950</v>
      </c>
      <c r="C1646" t="s">
        <v>111</v>
      </c>
      <c r="D1646" t="s">
        <v>12</v>
      </c>
      <c r="E1646" t="s">
        <v>26</v>
      </c>
      <c r="F1646" t="s">
        <v>14</v>
      </c>
      <c r="G1646">
        <v>49.06</v>
      </c>
      <c r="H1646" t="s">
        <v>15</v>
      </c>
      <c r="I1646" t="s">
        <v>47</v>
      </c>
      <c r="J1646" t="s">
        <v>23</v>
      </c>
    </row>
    <row r="1647" spans="1:10" x14ac:dyDescent="0.35">
      <c r="A1647" t="s">
        <v>1827</v>
      </c>
      <c r="B1647" s="1">
        <v>45950</v>
      </c>
      <c r="C1647" t="s">
        <v>206</v>
      </c>
      <c r="D1647" t="s">
        <v>29</v>
      </c>
      <c r="E1647" t="s">
        <v>95</v>
      </c>
      <c r="F1647" t="s">
        <v>14</v>
      </c>
      <c r="G1647">
        <v>31.61</v>
      </c>
      <c r="H1647" t="s">
        <v>15</v>
      </c>
      <c r="I1647" t="s">
        <v>16</v>
      </c>
      <c r="J1647" t="s">
        <v>31</v>
      </c>
    </row>
    <row r="1648" spans="1:10" x14ac:dyDescent="0.35">
      <c r="A1648" t="s">
        <v>1828</v>
      </c>
      <c r="B1648" s="1">
        <v>45951</v>
      </c>
      <c r="C1648" t="s">
        <v>19</v>
      </c>
      <c r="D1648" t="s">
        <v>12</v>
      </c>
      <c r="E1648" t="s">
        <v>13</v>
      </c>
      <c r="F1648" t="s">
        <v>14</v>
      </c>
      <c r="G1648">
        <v>43.58</v>
      </c>
      <c r="H1648" t="s">
        <v>15</v>
      </c>
      <c r="I1648" t="s">
        <v>36</v>
      </c>
      <c r="J1648" t="s">
        <v>23</v>
      </c>
    </row>
    <row r="1649" spans="1:10" x14ac:dyDescent="0.35">
      <c r="A1649" t="s">
        <v>1829</v>
      </c>
      <c r="B1649" s="1">
        <v>45951</v>
      </c>
      <c r="C1649" t="s">
        <v>206</v>
      </c>
      <c r="D1649" t="s">
        <v>29</v>
      </c>
      <c r="E1649" t="s">
        <v>95</v>
      </c>
      <c r="F1649" t="s">
        <v>14</v>
      </c>
      <c r="G1649">
        <v>30.4</v>
      </c>
      <c r="H1649" t="s">
        <v>21</v>
      </c>
      <c r="I1649" t="s">
        <v>22</v>
      </c>
      <c r="J1649" t="s">
        <v>31</v>
      </c>
    </row>
    <row r="1650" spans="1:10" x14ac:dyDescent="0.35">
      <c r="A1650" t="s">
        <v>1830</v>
      </c>
      <c r="B1650" s="1">
        <v>45951</v>
      </c>
      <c r="C1650" t="s">
        <v>248</v>
      </c>
      <c r="D1650" t="s">
        <v>80</v>
      </c>
      <c r="E1650" t="s">
        <v>81</v>
      </c>
      <c r="F1650" t="s">
        <v>14</v>
      </c>
      <c r="G1650">
        <v>104.41</v>
      </c>
      <c r="H1650" t="s">
        <v>15</v>
      </c>
      <c r="I1650" t="s">
        <v>47</v>
      </c>
      <c r="J1650" t="s">
        <v>161</v>
      </c>
    </row>
    <row r="1651" spans="1:10" x14ac:dyDescent="0.35">
      <c r="A1651" t="s">
        <v>1831</v>
      </c>
      <c r="B1651" s="1">
        <v>45951</v>
      </c>
      <c r="C1651" t="s">
        <v>824</v>
      </c>
      <c r="D1651" t="s">
        <v>69</v>
      </c>
      <c r="E1651" t="s">
        <v>233</v>
      </c>
      <c r="F1651" t="s">
        <v>14</v>
      </c>
      <c r="G1651">
        <v>171.29</v>
      </c>
      <c r="H1651" t="s">
        <v>15</v>
      </c>
      <c r="I1651" t="s">
        <v>22</v>
      </c>
      <c r="J1651" t="s">
        <v>133</v>
      </c>
    </row>
    <row r="1652" spans="1:10" x14ac:dyDescent="0.35">
      <c r="A1652" t="s">
        <v>1832</v>
      </c>
      <c r="B1652" s="1">
        <v>45951</v>
      </c>
      <c r="C1652" t="s">
        <v>125</v>
      </c>
      <c r="D1652" t="s">
        <v>12</v>
      </c>
      <c r="E1652" t="s">
        <v>13</v>
      </c>
      <c r="F1652" t="s">
        <v>14</v>
      </c>
      <c r="G1652">
        <v>75.67</v>
      </c>
      <c r="H1652" t="s">
        <v>15</v>
      </c>
      <c r="I1652" t="s">
        <v>22</v>
      </c>
      <c r="J1652" t="s">
        <v>44</v>
      </c>
    </row>
    <row r="1653" spans="1:10" x14ac:dyDescent="0.35">
      <c r="A1653" t="s">
        <v>1833</v>
      </c>
      <c r="B1653" s="1">
        <v>45952</v>
      </c>
      <c r="C1653" t="s">
        <v>415</v>
      </c>
      <c r="D1653" t="s">
        <v>12</v>
      </c>
      <c r="E1653" t="s">
        <v>51</v>
      </c>
      <c r="F1653" t="s">
        <v>14</v>
      </c>
      <c r="G1653">
        <v>55.12</v>
      </c>
      <c r="H1653" t="s">
        <v>15</v>
      </c>
      <c r="I1653" t="s">
        <v>22</v>
      </c>
      <c r="J1653" t="s">
        <v>77</v>
      </c>
    </row>
    <row r="1654" spans="1:10" x14ac:dyDescent="0.35">
      <c r="A1654" t="s">
        <v>1834</v>
      </c>
      <c r="B1654" s="1">
        <v>45952</v>
      </c>
      <c r="C1654" t="s">
        <v>308</v>
      </c>
      <c r="D1654" t="s">
        <v>54</v>
      </c>
      <c r="E1654" t="s">
        <v>64</v>
      </c>
      <c r="F1654" t="s">
        <v>54</v>
      </c>
      <c r="G1654">
        <v>350.48</v>
      </c>
      <c r="H1654" t="s">
        <v>15</v>
      </c>
      <c r="I1654" t="s">
        <v>47</v>
      </c>
      <c r="J1654" t="s">
        <v>89</v>
      </c>
    </row>
    <row r="1655" spans="1:10" x14ac:dyDescent="0.35">
      <c r="A1655" t="s">
        <v>1835</v>
      </c>
      <c r="B1655" s="1">
        <v>45952</v>
      </c>
      <c r="C1655" t="s">
        <v>331</v>
      </c>
      <c r="D1655" t="s">
        <v>29</v>
      </c>
      <c r="E1655" t="s">
        <v>95</v>
      </c>
      <c r="F1655" t="s">
        <v>14</v>
      </c>
      <c r="G1655">
        <v>48.56</v>
      </c>
      <c r="H1655" t="s">
        <v>15</v>
      </c>
      <c r="I1655" t="s">
        <v>16</v>
      </c>
      <c r="J1655" t="s">
        <v>151</v>
      </c>
    </row>
    <row r="1656" spans="1:10" x14ac:dyDescent="0.35">
      <c r="A1656" t="s">
        <v>1836</v>
      </c>
      <c r="B1656" s="1">
        <v>45952</v>
      </c>
      <c r="C1656" t="s">
        <v>46</v>
      </c>
      <c r="D1656" t="s">
        <v>12</v>
      </c>
      <c r="E1656" t="s">
        <v>13</v>
      </c>
      <c r="F1656" t="s">
        <v>14</v>
      </c>
      <c r="G1656">
        <v>35.4</v>
      </c>
      <c r="H1656" t="s">
        <v>15</v>
      </c>
      <c r="I1656" t="s">
        <v>22</v>
      </c>
      <c r="J1656" t="s">
        <v>48</v>
      </c>
    </row>
    <row r="1657" spans="1:10" x14ac:dyDescent="0.35">
      <c r="A1657" t="s">
        <v>1837</v>
      </c>
      <c r="B1657" s="1">
        <v>45953</v>
      </c>
      <c r="C1657" t="s">
        <v>262</v>
      </c>
      <c r="D1657" t="s">
        <v>101</v>
      </c>
      <c r="E1657" t="s">
        <v>244</v>
      </c>
      <c r="F1657" t="s">
        <v>14</v>
      </c>
      <c r="G1657">
        <v>46.69</v>
      </c>
      <c r="H1657" t="s">
        <v>15</v>
      </c>
      <c r="I1657" t="s">
        <v>36</v>
      </c>
      <c r="J1657" t="s">
        <v>136</v>
      </c>
    </row>
    <row r="1658" spans="1:10" x14ac:dyDescent="0.35">
      <c r="A1658" t="s">
        <v>1838</v>
      </c>
      <c r="B1658" s="1">
        <v>45953</v>
      </c>
      <c r="C1658" t="s">
        <v>298</v>
      </c>
      <c r="D1658" t="s">
        <v>59</v>
      </c>
      <c r="E1658" t="s">
        <v>185</v>
      </c>
      <c r="F1658" t="s">
        <v>14</v>
      </c>
      <c r="G1658">
        <v>314.42</v>
      </c>
      <c r="H1658" t="s">
        <v>15</v>
      </c>
      <c r="I1658" t="s">
        <v>22</v>
      </c>
      <c r="J1658" t="s">
        <v>170</v>
      </c>
    </row>
    <row r="1659" spans="1:10" x14ac:dyDescent="0.35">
      <c r="A1659" t="s">
        <v>1839</v>
      </c>
      <c r="B1659" s="1">
        <v>45953</v>
      </c>
      <c r="C1659" t="s">
        <v>88</v>
      </c>
      <c r="D1659" t="s">
        <v>54</v>
      </c>
      <c r="E1659" t="s">
        <v>74</v>
      </c>
      <c r="F1659" t="s">
        <v>54</v>
      </c>
      <c r="G1659">
        <v>2157.3200000000002</v>
      </c>
      <c r="H1659" t="s">
        <v>15</v>
      </c>
      <c r="I1659" t="s">
        <v>84</v>
      </c>
      <c r="J1659" t="s">
        <v>89</v>
      </c>
    </row>
    <row r="1660" spans="1:10" x14ac:dyDescent="0.35">
      <c r="A1660" t="s">
        <v>1840</v>
      </c>
      <c r="B1660" s="1">
        <v>45953</v>
      </c>
      <c r="C1660" t="s">
        <v>19</v>
      </c>
      <c r="D1660" t="s">
        <v>12</v>
      </c>
      <c r="E1660" t="s">
        <v>13</v>
      </c>
      <c r="F1660" t="s">
        <v>14</v>
      </c>
      <c r="G1660">
        <v>122.93</v>
      </c>
      <c r="H1660" t="s">
        <v>15</v>
      </c>
      <c r="I1660" t="s">
        <v>36</v>
      </c>
      <c r="J1660" t="s">
        <v>23</v>
      </c>
    </row>
    <row r="1661" spans="1:10" x14ac:dyDescent="0.35">
      <c r="A1661" t="s">
        <v>1841</v>
      </c>
      <c r="B1661" s="1">
        <v>45954</v>
      </c>
      <c r="C1661" t="s">
        <v>445</v>
      </c>
      <c r="D1661" t="s">
        <v>101</v>
      </c>
      <c r="E1661" t="s">
        <v>244</v>
      </c>
      <c r="F1661" t="s">
        <v>14</v>
      </c>
      <c r="G1661">
        <v>43.59</v>
      </c>
      <c r="H1661" t="s">
        <v>15</v>
      </c>
      <c r="I1661" t="s">
        <v>36</v>
      </c>
      <c r="J1661" t="s">
        <v>103</v>
      </c>
    </row>
    <row r="1662" spans="1:10" x14ac:dyDescent="0.35">
      <c r="A1662" t="s">
        <v>1842</v>
      </c>
      <c r="B1662" s="1">
        <v>45954</v>
      </c>
      <c r="C1662" t="s">
        <v>262</v>
      </c>
      <c r="D1662" t="s">
        <v>101</v>
      </c>
      <c r="E1662" t="s">
        <v>244</v>
      </c>
      <c r="F1662" t="s">
        <v>14</v>
      </c>
      <c r="G1662">
        <v>94.66</v>
      </c>
      <c r="H1662" t="s">
        <v>98</v>
      </c>
      <c r="I1662" t="s">
        <v>22</v>
      </c>
      <c r="J1662" t="s">
        <v>136</v>
      </c>
    </row>
    <row r="1663" spans="1:10" x14ac:dyDescent="0.35">
      <c r="A1663" t="s">
        <v>1843</v>
      </c>
      <c r="B1663" s="1">
        <v>45954</v>
      </c>
      <c r="C1663" t="s">
        <v>50</v>
      </c>
      <c r="D1663" t="s">
        <v>12</v>
      </c>
      <c r="E1663" t="s">
        <v>51</v>
      </c>
      <c r="F1663" t="s">
        <v>14</v>
      </c>
      <c r="G1663">
        <v>62.3</v>
      </c>
      <c r="H1663" t="s">
        <v>15</v>
      </c>
      <c r="I1663" t="s">
        <v>22</v>
      </c>
      <c r="J1663" t="s">
        <v>44</v>
      </c>
    </row>
    <row r="1664" spans="1:10" x14ac:dyDescent="0.35">
      <c r="A1664" t="s">
        <v>1844</v>
      </c>
      <c r="B1664" s="1">
        <v>45954</v>
      </c>
      <c r="C1664" t="s">
        <v>184</v>
      </c>
      <c r="D1664" t="s">
        <v>59</v>
      </c>
      <c r="E1664" t="s">
        <v>185</v>
      </c>
      <c r="F1664" t="s">
        <v>14</v>
      </c>
      <c r="G1664">
        <v>200.08</v>
      </c>
      <c r="H1664" t="s">
        <v>21</v>
      </c>
      <c r="I1664" t="s">
        <v>22</v>
      </c>
      <c r="J1664" t="s">
        <v>61</v>
      </c>
    </row>
    <row r="1665" spans="1:10" x14ac:dyDescent="0.35">
      <c r="A1665" t="s">
        <v>1845</v>
      </c>
      <c r="B1665" s="1">
        <v>45954</v>
      </c>
      <c r="C1665" t="s">
        <v>63</v>
      </c>
      <c r="D1665" t="s">
        <v>54</v>
      </c>
      <c r="E1665" t="s">
        <v>64</v>
      </c>
      <c r="F1665" t="s">
        <v>54</v>
      </c>
      <c r="G1665">
        <v>300.31</v>
      </c>
      <c r="H1665" t="s">
        <v>15</v>
      </c>
      <c r="I1665" t="s">
        <v>16</v>
      </c>
      <c r="J1665" t="s">
        <v>65</v>
      </c>
    </row>
    <row r="1666" spans="1:10" x14ac:dyDescent="0.35">
      <c r="A1666" t="s">
        <v>1846</v>
      </c>
      <c r="B1666" s="1">
        <v>45954</v>
      </c>
      <c r="C1666" t="s">
        <v>163</v>
      </c>
      <c r="D1666" t="s">
        <v>80</v>
      </c>
      <c r="E1666" t="s">
        <v>92</v>
      </c>
      <c r="F1666" t="s">
        <v>14</v>
      </c>
      <c r="G1666">
        <v>117.77</v>
      </c>
      <c r="H1666" t="s">
        <v>15</v>
      </c>
      <c r="I1666" t="s">
        <v>22</v>
      </c>
      <c r="J1666" t="s">
        <v>118</v>
      </c>
    </row>
    <row r="1667" spans="1:10" x14ac:dyDescent="0.35">
      <c r="A1667" t="s">
        <v>1847</v>
      </c>
      <c r="B1667" s="1">
        <v>45954</v>
      </c>
      <c r="C1667" t="s">
        <v>324</v>
      </c>
      <c r="D1667" t="s">
        <v>80</v>
      </c>
      <c r="E1667" t="s">
        <v>92</v>
      </c>
      <c r="F1667" t="s">
        <v>14</v>
      </c>
      <c r="G1667">
        <v>138.16</v>
      </c>
      <c r="H1667" t="s">
        <v>98</v>
      </c>
      <c r="I1667" t="s">
        <v>47</v>
      </c>
      <c r="J1667" t="s">
        <v>161</v>
      </c>
    </row>
    <row r="1668" spans="1:10" x14ac:dyDescent="0.35">
      <c r="A1668" t="s">
        <v>1848</v>
      </c>
      <c r="B1668" s="1">
        <v>45955</v>
      </c>
      <c r="C1668" t="s">
        <v>281</v>
      </c>
      <c r="D1668" t="s">
        <v>34</v>
      </c>
      <c r="E1668" t="s">
        <v>40</v>
      </c>
      <c r="F1668" t="s">
        <v>14</v>
      </c>
      <c r="G1668">
        <v>215.43</v>
      </c>
      <c r="H1668" t="s">
        <v>15</v>
      </c>
      <c r="I1668" t="s">
        <v>16</v>
      </c>
      <c r="J1668" t="s">
        <v>123</v>
      </c>
    </row>
    <row r="1669" spans="1:10" x14ac:dyDescent="0.35">
      <c r="A1669" t="s">
        <v>1849</v>
      </c>
      <c r="B1669" s="1">
        <v>45955</v>
      </c>
      <c r="C1669" t="s">
        <v>143</v>
      </c>
      <c r="D1669" t="s">
        <v>54</v>
      </c>
      <c r="E1669" t="s">
        <v>55</v>
      </c>
      <c r="F1669" t="s">
        <v>54</v>
      </c>
      <c r="G1669">
        <v>565.48</v>
      </c>
      <c r="H1669" t="s">
        <v>21</v>
      </c>
      <c r="I1669" t="s">
        <v>16</v>
      </c>
      <c r="J1669" t="s">
        <v>89</v>
      </c>
    </row>
    <row r="1670" spans="1:10" x14ac:dyDescent="0.35">
      <c r="A1670" t="s">
        <v>1850</v>
      </c>
      <c r="B1670" s="1">
        <v>45955</v>
      </c>
      <c r="C1670" t="s">
        <v>111</v>
      </c>
      <c r="D1670" t="s">
        <v>12</v>
      </c>
      <c r="E1670" t="s">
        <v>26</v>
      </c>
      <c r="F1670" t="s">
        <v>14</v>
      </c>
      <c r="G1670">
        <v>45.1</v>
      </c>
      <c r="H1670" t="s">
        <v>21</v>
      </c>
      <c r="I1670" t="s">
        <v>22</v>
      </c>
      <c r="J1670" t="s">
        <v>23</v>
      </c>
    </row>
    <row r="1671" spans="1:10" x14ac:dyDescent="0.35">
      <c r="A1671" t="s">
        <v>1851</v>
      </c>
      <c r="B1671" s="1">
        <v>45956</v>
      </c>
      <c r="C1671" t="s">
        <v>53</v>
      </c>
      <c r="D1671" t="s">
        <v>54</v>
      </c>
      <c r="E1671" t="s">
        <v>55</v>
      </c>
      <c r="F1671" t="s">
        <v>54</v>
      </c>
      <c r="G1671">
        <v>716</v>
      </c>
      <c r="H1671" t="s">
        <v>15</v>
      </c>
      <c r="I1671" t="s">
        <v>22</v>
      </c>
      <c r="J1671" t="s">
        <v>56</v>
      </c>
    </row>
    <row r="1672" spans="1:10" x14ac:dyDescent="0.35">
      <c r="A1672" t="s">
        <v>1852</v>
      </c>
      <c r="B1672" s="1">
        <v>45956</v>
      </c>
      <c r="C1672" t="s">
        <v>248</v>
      </c>
      <c r="D1672" t="s">
        <v>80</v>
      </c>
      <c r="E1672" t="s">
        <v>81</v>
      </c>
      <c r="F1672" t="s">
        <v>14</v>
      </c>
      <c r="G1672">
        <v>55.04</v>
      </c>
      <c r="H1672" t="s">
        <v>15</v>
      </c>
      <c r="I1672" t="s">
        <v>22</v>
      </c>
      <c r="J1672" t="s">
        <v>161</v>
      </c>
    </row>
    <row r="1673" spans="1:10" x14ac:dyDescent="0.35">
      <c r="A1673" t="s">
        <v>1853</v>
      </c>
      <c r="B1673" s="1">
        <v>45956</v>
      </c>
      <c r="C1673" t="s">
        <v>11</v>
      </c>
      <c r="D1673" t="s">
        <v>12</v>
      </c>
      <c r="E1673" t="s">
        <v>13</v>
      </c>
      <c r="F1673" t="s">
        <v>14</v>
      </c>
      <c r="G1673">
        <v>147.6</v>
      </c>
      <c r="H1673" t="s">
        <v>15</v>
      </c>
      <c r="I1673" t="s">
        <v>22</v>
      </c>
      <c r="J1673" t="s">
        <v>17</v>
      </c>
    </row>
    <row r="1674" spans="1:10" x14ac:dyDescent="0.35">
      <c r="A1674" t="s">
        <v>1854</v>
      </c>
      <c r="B1674" s="1">
        <v>45956</v>
      </c>
      <c r="C1674" t="s">
        <v>116</v>
      </c>
      <c r="D1674" t="s">
        <v>80</v>
      </c>
      <c r="E1674" t="s">
        <v>117</v>
      </c>
      <c r="F1674" t="s">
        <v>14</v>
      </c>
      <c r="G1674">
        <v>89.21</v>
      </c>
      <c r="H1674" t="s">
        <v>15</v>
      </c>
      <c r="I1674" t="s">
        <v>47</v>
      </c>
      <c r="J1674" t="s">
        <v>118</v>
      </c>
    </row>
    <row r="1675" spans="1:10" x14ac:dyDescent="0.35">
      <c r="A1675" t="s">
        <v>1855</v>
      </c>
      <c r="B1675" s="1">
        <v>45956</v>
      </c>
      <c r="C1675" t="s">
        <v>58</v>
      </c>
      <c r="D1675" t="s">
        <v>59</v>
      </c>
      <c r="E1675" t="s">
        <v>60</v>
      </c>
      <c r="F1675" t="s">
        <v>14</v>
      </c>
      <c r="G1675">
        <v>123.01</v>
      </c>
      <c r="H1675" t="s">
        <v>15</v>
      </c>
      <c r="I1675" t="s">
        <v>22</v>
      </c>
      <c r="J1675" t="s">
        <v>61</v>
      </c>
    </row>
    <row r="1676" spans="1:10" x14ac:dyDescent="0.35">
      <c r="A1676" t="s">
        <v>1856</v>
      </c>
      <c r="B1676" s="1">
        <v>45956</v>
      </c>
      <c r="C1676" t="s">
        <v>210</v>
      </c>
      <c r="D1676" t="s">
        <v>59</v>
      </c>
      <c r="E1676" t="s">
        <v>185</v>
      </c>
      <c r="F1676" t="s">
        <v>14</v>
      </c>
      <c r="G1676">
        <v>261.79000000000002</v>
      </c>
      <c r="H1676" t="s">
        <v>21</v>
      </c>
      <c r="I1676" t="s">
        <v>22</v>
      </c>
      <c r="J1676" t="s">
        <v>211</v>
      </c>
    </row>
    <row r="1677" spans="1:10" x14ac:dyDescent="0.35">
      <c r="A1677" t="s">
        <v>1857</v>
      </c>
      <c r="B1677" s="1">
        <v>45956</v>
      </c>
      <c r="C1677" t="s">
        <v>189</v>
      </c>
      <c r="D1677" t="s">
        <v>34</v>
      </c>
      <c r="E1677" t="s">
        <v>122</v>
      </c>
      <c r="F1677" t="s">
        <v>14</v>
      </c>
      <c r="G1677">
        <v>35.369999999999997</v>
      </c>
      <c r="H1677" t="s">
        <v>15</v>
      </c>
      <c r="I1677" t="s">
        <v>36</v>
      </c>
      <c r="J1677" t="s">
        <v>37</v>
      </c>
    </row>
    <row r="1678" spans="1:10" x14ac:dyDescent="0.35">
      <c r="A1678" t="s">
        <v>1858</v>
      </c>
      <c r="B1678" s="1">
        <v>45957</v>
      </c>
      <c r="C1678" t="s">
        <v>94</v>
      </c>
      <c r="D1678" t="s">
        <v>29</v>
      </c>
      <c r="E1678" t="s">
        <v>95</v>
      </c>
      <c r="F1678" t="s">
        <v>14</v>
      </c>
      <c r="G1678">
        <v>22.83</v>
      </c>
      <c r="H1678" t="s">
        <v>15</v>
      </c>
      <c r="I1678" t="s">
        <v>22</v>
      </c>
      <c r="J1678" t="s">
        <v>96</v>
      </c>
    </row>
    <row r="1679" spans="1:10" x14ac:dyDescent="0.35">
      <c r="A1679" t="s">
        <v>1859</v>
      </c>
      <c r="B1679" s="1">
        <v>45957</v>
      </c>
      <c r="C1679" t="s">
        <v>580</v>
      </c>
      <c r="D1679" t="s">
        <v>80</v>
      </c>
      <c r="E1679" t="s">
        <v>81</v>
      </c>
      <c r="F1679" t="s">
        <v>14</v>
      </c>
      <c r="G1679">
        <v>45.45</v>
      </c>
      <c r="H1679" t="s">
        <v>21</v>
      </c>
      <c r="I1679" t="s">
        <v>36</v>
      </c>
      <c r="J1679" t="s">
        <v>118</v>
      </c>
    </row>
    <row r="1680" spans="1:10" x14ac:dyDescent="0.35">
      <c r="A1680" t="s">
        <v>1860</v>
      </c>
      <c r="B1680" s="1">
        <v>45957</v>
      </c>
      <c r="C1680" t="s">
        <v>73</v>
      </c>
      <c r="D1680" t="s">
        <v>54</v>
      </c>
      <c r="E1680" t="s">
        <v>74</v>
      </c>
      <c r="F1680" t="s">
        <v>54</v>
      </c>
      <c r="G1680">
        <v>2453.17</v>
      </c>
      <c r="H1680" t="s">
        <v>21</v>
      </c>
      <c r="I1680" t="s">
        <v>47</v>
      </c>
      <c r="J1680" t="s">
        <v>65</v>
      </c>
    </row>
    <row r="1681" spans="1:10" x14ac:dyDescent="0.35">
      <c r="A1681" t="s">
        <v>1861</v>
      </c>
      <c r="B1681" s="1">
        <v>45957</v>
      </c>
      <c r="C1681" t="s">
        <v>220</v>
      </c>
      <c r="D1681" t="s">
        <v>59</v>
      </c>
      <c r="E1681" t="s">
        <v>199</v>
      </c>
      <c r="F1681" t="s">
        <v>14</v>
      </c>
      <c r="G1681">
        <v>224.78</v>
      </c>
      <c r="H1681" t="s">
        <v>21</v>
      </c>
      <c r="I1681" t="s">
        <v>22</v>
      </c>
      <c r="J1681" t="s">
        <v>211</v>
      </c>
    </row>
    <row r="1682" spans="1:10" x14ac:dyDescent="0.35">
      <c r="A1682" t="s">
        <v>1862</v>
      </c>
      <c r="B1682" s="1">
        <v>45957</v>
      </c>
      <c r="C1682" t="s">
        <v>53</v>
      </c>
      <c r="D1682" t="s">
        <v>54</v>
      </c>
      <c r="E1682" t="s">
        <v>55</v>
      </c>
      <c r="F1682" t="s">
        <v>54</v>
      </c>
      <c r="G1682">
        <v>644.73</v>
      </c>
      <c r="H1682" t="s">
        <v>21</v>
      </c>
      <c r="I1682" t="s">
        <v>22</v>
      </c>
      <c r="J1682" t="s">
        <v>56</v>
      </c>
    </row>
    <row r="1683" spans="1:10" x14ac:dyDescent="0.35">
      <c r="A1683" t="s">
        <v>1863</v>
      </c>
      <c r="B1683" s="1">
        <v>45958</v>
      </c>
      <c r="C1683" t="s">
        <v>210</v>
      </c>
      <c r="D1683" t="s">
        <v>59</v>
      </c>
      <c r="E1683" t="s">
        <v>185</v>
      </c>
      <c r="F1683" t="s">
        <v>14</v>
      </c>
      <c r="G1683">
        <v>289.79000000000002</v>
      </c>
      <c r="H1683" t="s">
        <v>21</v>
      </c>
      <c r="I1683" t="s">
        <v>36</v>
      </c>
      <c r="J1683" t="s">
        <v>211</v>
      </c>
    </row>
    <row r="1684" spans="1:10" x14ac:dyDescent="0.35">
      <c r="A1684" t="s">
        <v>1864</v>
      </c>
      <c r="B1684" s="1">
        <v>45958</v>
      </c>
      <c r="C1684" t="s">
        <v>53</v>
      </c>
      <c r="D1684" t="s">
        <v>54</v>
      </c>
      <c r="E1684" t="s">
        <v>55</v>
      </c>
      <c r="F1684" t="s">
        <v>54</v>
      </c>
      <c r="G1684">
        <v>693.58</v>
      </c>
      <c r="H1684" t="s">
        <v>15</v>
      </c>
      <c r="I1684" t="s">
        <v>22</v>
      </c>
      <c r="J1684" t="s">
        <v>56</v>
      </c>
    </row>
    <row r="1685" spans="1:10" x14ac:dyDescent="0.35">
      <c r="A1685" t="s">
        <v>1865</v>
      </c>
      <c r="B1685" s="1">
        <v>45958</v>
      </c>
      <c r="C1685" t="s">
        <v>198</v>
      </c>
      <c r="D1685" t="s">
        <v>59</v>
      </c>
      <c r="E1685" t="s">
        <v>199</v>
      </c>
      <c r="F1685" t="s">
        <v>14</v>
      </c>
      <c r="G1685">
        <v>214.3</v>
      </c>
      <c r="H1685" t="s">
        <v>15</v>
      </c>
      <c r="I1685" t="s">
        <v>47</v>
      </c>
      <c r="J1685" t="s">
        <v>61</v>
      </c>
    </row>
    <row r="1686" spans="1:10" x14ac:dyDescent="0.35">
      <c r="A1686" t="s">
        <v>1866</v>
      </c>
      <c r="B1686" s="1">
        <v>45958</v>
      </c>
      <c r="C1686" t="s">
        <v>88</v>
      </c>
      <c r="D1686" t="s">
        <v>54</v>
      </c>
      <c r="E1686" t="s">
        <v>74</v>
      </c>
      <c r="F1686" t="s">
        <v>54</v>
      </c>
      <c r="G1686">
        <v>2341.69</v>
      </c>
      <c r="H1686" t="s">
        <v>15</v>
      </c>
      <c r="I1686" t="s">
        <v>22</v>
      </c>
      <c r="J1686" t="s">
        <v>89</v>
      </c>
    </row>
    <row r="1687" spans="1:10" x14ac:dyDescent="0.35">
      <c r="A1687" t="s">
        <v>1867</v>
      </c>
      <c r="B1687" s="1">
        <v>45958</v>
      </c>
      <c r="C1687" t="s">
        <v>251</v>
      </c>
      <c r="D1687" t="s">
        <v>29</v>
      </c>
      <c r="E1687" t="s">
        <v>151</v>
      </c>
      <c r="F1687" t="s">
        <v>14</v>
      </c>
      <c r="G1687">
        <v>22.77</v>
      </c>
      <c r="H1687" t="s">
        <v>15</v>
      </c>
      <c r="I1687" t="s">
        <v>47</v>
      </c>
      <c r="J1687" t="s">
        <v>31</v>
      </c>
    </row>
    <row r="1688" spans="1:10" x14ac:dyDescent="0.35">
      <c r="A1688" t="s">
        <v>1868</v>
      </c>
      <c r="B1688" s="1">
        <v>45958</v>
      </c>
      <c r="C1688" t="s">
        <v>39</v>
      </c>
      <c r="D1688" t="s">
        <v>34</v>
      </c>
      <c r="E1688" t="s">
        <v>40</v>
      </c>
      <c r="F1688" t="s">
        <v>14</v>
      </c>
      <c r="G1688">
        <v>139.69999999999999</v>
      </c>
      <c r="H1688" t="s">
        <v>15</v>
      </c>
      <c r="I1688" t="s">
        <v>22</v>
      </c>
      <c r="J1688" t="s">
        <v>41</v>
      </c>
    </row>
    <row r="1689" spans="1:10" x14ac:dyDescent="0.35">
      <c r="A1689" t="s">
        <v>1869</v>
      </c>
      <c r="B1689" s="1">
        <v>45958</v>
      </c>
      <c r="C1689" t="s">
        <v>125</v>
      </c>
      <c r="D1689" t="s">
        <v>12</v>
      </c>
      <c r="E1689" t="s">
        <v>13</v>
      </c>
      <c r="F1689" t="s">
        <v>14</v>
      </c>
      <c r="G1689">
        <v>131.41</v>
      </c>
      <c r="H1689" t="s">
        <v>21</v>
      </c>
      <c r="I1689" t="s">
        <v>47</v>
      </c>
      <c r="J1689" t="s">
        <v>44</v>
      </c>
    </row>
    <row r="1690" spans="1:10" x14ac:dyDescent="0.35">
      <c r="A1690" t="s">
        <v>1870</v>
      </c>
      <c r="B1690" s="1">
        <v>45958</v>
      </c>
      <c r="C1690" t="s">
        <v>157</v>
      </c>
      <c r="D1690" t="s">
        <v>29</v>
      </c>
      <c r="E1690" t="s">
        <v>95</v>
      </c>
      <c r="F1690" t="s">
        <v>14</v>
      </c>
      <c r="G1690">
        <v>93.52</v>
      </c>
      <c r="H1690" t="s">
        <v>98</v>
      </c>
      <c r="I1690" t="s">
        <v>22</v>
      </c>
      <c r="J1690" t="s">
        <v>158</v>
      </c>
    </row>
    <row r="1691" spans="1:10" x14ac:dyDescent="0.35">
      <c r="A1691" t="s">
        <v>1871</v>
      </c>
      <c r="B1691" s="1">
        <v>45958</v>
      </c>
      <c r="C1691" t="s">
        <v>58</v>
      </c>
      <c r="D1691" t="s">
        <v>59</v>
      </c>
      <c r="E1691" t="s">
        <v>60</v>
      </c>
      <c r="F1691" t="s">
        <v>14</v>
      </c>
      <c r="G1691">
        <v>319.85000000000002</v>
      </c>
      <c r="H1691" t="s">
        <v>15</v>
      </c>
      <c r="I1691" t="s">
        <v>22</v>
      </c>
      <c r="J1691" t="s">
        <v>61</v>
      </c>
    </row>
    <row r="1692" spans="1:10" x14ac:dyDescent="0.35">
      <c r="A1692" t="s">
        <v>1872</v>
      </c>
      <c r="B1692" s="1">
        <v>45958</v>
      </c>
      <c r="C1692" t="s">
        <v>76</v>
      </c>
      <c r="D1692" t="s">
        <v>12</v>
      </c>
      <c r="E1692" t="s">
        <v>13</v>
      </c>
      <c r="F1692" t="s">
        <v>14</v>
      </c>
      <c r="G1692">
        <v>111.36</v>
      </c>
      <c r="H1692" t="s">
        <v>15</v>
      </c>
      <c r="I1692" t="s">
        <v>36</v>
      </c>
      <c r="J1692" t="s">
        <v>77</v>
      </c>
    </row>
    <row r="1693" spans="1:10" x14ac:dyDescent="0.35">
      <c r="A1693" t="s">
        <v>1873</v>
      </c>
      <c r="B1693" s="1">
        <v>45959</v>
      </c>
      <c r="C1693" t="s">
        <v>172</v>
      </c>
      <c r="D1693" t="s">
        <v>101</v>
      </c>
      <c r="E1693" t="s">
        <v>102</v>
      </c>
      <c r="F1693" t="s">
        <v>14</v>
      </c>
      <c r="G1693">
        <v>134.63</v>
      </c>
      <c r="H1693" t="s">
        <v>21</v>
      </c>
      <c r="I1693" t="s">
        <v>47</v>
      </c>
      <c r="J1693" t="s">
        <v>102</v>
      </c>
    </row>
    <row r="1694" spans="1:10" x14ac:dyDescent="0.35">
      <c r="A1694" t="s">
        <v>1874</v>
      </c>
      <c r="B1694" s="1">
        <v>45959</v>
      </c>
      <c r="C1694" t="s">
        <v>58</v>
      </c>
      <c r="D1694" t="s">
        <v>59</v>
      </c>
      <c r="E1694" t="s">
        <v>60</v>
      </c>
      <c r="F1694" t="s">
        <v>14</v>
      </c>
      <c r="G1694">
        <v>159.05000000000001</v>
      </c>
      <c r="H1694" t="s">
        <v>98</v>
      </c>
      <c r="I1694" t="s">
        <v>36</v>
      </c>
      <c r="J1694" t="s">
        <v>61</v>
      </c>
    </row>
    <row r="1695" spans="1:10" x14ac:dyDescent="0.35">
      <c r="A1695" t="s">
        <v>1875</v>
      </c>
      <c r="B1695" s="1">
        <v>45959</v>
      </c>
      <c r="C1695" t="s">
        <v>411</v>
      </c>
      <c r="D1695" t="s">
        <v>29</v>
      </c>
      <c r="E1695" t="s">
        <v>151</v>
      </c>
      <c r="F1695" t="s">
        <v>14</v>
      </c>
      <c r="G1695">
        <v>24.67</v>
      </c>
      <c r="H1695" t="s">
        <v>15</v>
      </c>
      <c r="I1695" t="s">
        <v>36</v>
      </c>
      <c r="J1695" t="s">
        <v>151</v>
      </c>
    </row>
    <row r="1696" spans="1:10" x14ac:dyDescent="0.35">
      <c r="A1696" t="s">
        <v>1876</v>
      </c>
      <c r="B1696" s="1">
        <v>45959</v>
      </c>
      <c r="C1696" t="s">
        <v>116</v>
      </c>
      <c r="D1696" t="s">
        <v>80</v>
      </c>
      <c r="E1696" t="s">
        <v>117</v>
      </c>
      <c r="F1696" t="s">
        <v>14</v>
      </c>
      <c r="G1696">
        <v>17.96</v>
      </c>
      <c r="H1696" t="s">
        <v>15</v>
      </c>
      <c r="I1696" t="s">
        <v>22</v>
      </c>
      <c r="J1696" t="s">
        <v>118</v>
      </c>
    </row>
    <row r="1697" spans="1:10" x14ac:dyDescent="0.35">
      <c r="A1697" t="s">
        <v>1877</v>
      </c>
      <c r="B1697" s="1">
        <v>45959</v>
      </c>
      <c r="C1697" t="s">
        <v>111</v>
      </c>
      <c r="D1697" t="s">
        <v>12</v>
      </c>
      <c r="E1697" t="s">
        <v>26</v>
      </c>
      <c r="F1697" t="s">
        <v>14</v>
      </c>
      <c r="G1697">
        <v>19.37</v>
      </c>
      <c r="H1697" t="s">
        <v>15</v>
      </c>
      <c r="I1697" t="s">
        <v>36</v>
      </c>
      <c r="J1697" t="s">
        <v>23</v>
      </c>
    </row>
    <row r="1698" spans="1:10" x14ac:dyDescent="0.35">
      <c r="A1698" t="s">
        <v>1878</v>
      </c>
      <c r="B1698" s="1">
        <v>45960</v>
      </c>
      <c r="C1698" t="s">
        <v>25</v>
      </c>
      <c r="D1698" t="s">
        <v>12</v>
      </c>
      <c r="E1698" t="s">
        <v>26</v>
      </c>
      <c r="F1698" t="s">
        <v>14</v>
      </c>
      <c r="G1698">
        <v>13.98</v>
      </c>
      <c r="H1698" t="s">
        <v>21</v>
      </c>
      <c r="I1698" t="s">
        <v>36</v>
      </c>
      <c r="J1698" t="s">
        <v>17</v>
      </c>
    </row>
    <row r="1699" spans="1:10" x14ac:dyDescent="0.35">
      <c r="A1699" t="s">
        <v>1879</v>
      </c>
      <c r="B1699" s="1">
        <v>45960</v>
      </c>
      <c r="C1699" t="s">
        <v>94</v>
      </c>
      <c r="D1699" t="s">
        <v>29</v>
      </c>
      <c r="E1699" t="s">
        <v>95</v>
      </c>
      <c r="F1699" t="s">
        <v>14</v>
      </c>
      <c r="G1699">
        <v>42.83</v>
      </c>
      <c r="H1699" t="s">
        <v>15</v>
      </c>
      <c r="I1699" t="s">
        <v>16</v>
      </c>
      <c r="J1699" t="s">
        <v>96</v>
      </c>
    </row>
    <row r="1700" spans="1:10" x14ac:dyDescent="0.35">
      <c r="A1700" t="s">
        <v>1880</v>
      </c>
      <c r="B1700" s="1">
        <v>45960</v>
      </c>
      <c r="C1700" t="s">
        <v>160</v>
      </c>
      <c r="D1700" t="s">
        <v>80</v>
      </c>
      <c r="E1700" t="s">
        <v>117</v>
      </c>
      <c r="F1700" t="s">
        <v>14</v>
      </c>
      <c r="G1700">
        <v>78.36</v>
      </c>
      <c r="H1700" t="s">
        <v>15</v>
      </c>
      <c r="I1700" t="s">
        <v>22</v>
      </c>
      <c r="J1700" t="s">
        <v>161</v>
      </c>
    </row>
    <row r="1701" spans="1:10" x14ac:dyDescent="0.35">
      <c r="A1701" t="s">
        <v>1881</v>
      </c>
      <c r="B1701" s="1">
        <v>45960</v>
      </c>
      <c r="C1701" t="s">
        <v>135</v>
      </c>
      <c r="D1701" t="s">
        <v>101</v>
      </c>
      <c r="E1701" t="s">
        <v>102</v>
      </c>
      <c r="F1701" t="s">
        <v>14</v>
      </c>
      <c r="G1701">
        <v>60.05</v>
      </c>
      <c r="H1701" t="s">
        <v>15</v>
      </c>
      <c r="I1701" t="s">
        <v>36</v>
      </c>
      <c r="J1701" t="s">
        <v>136</v>
      </c>
    </row>
    <row r="1702" spans="1:10" x14ac:dyDescent="0.35">
      <c r="A1702" t="s">
        <v>1882</v>
      </c>
      <c r="B1702" s="1">
        <v>45960</v>
      </c>
      <c r="C1702" t="s">
        <v>217</v>
      </c>
      <c r="D1702" t="s">
        <v>80</v>
      </c>
      <c r="E1702" t="s">
        <v>81</v>
      </c>
      <c r="F1702" t="s">
        <v>14</v>
      </c>
      <c r="G1702">
        <v>78.040000000000006</v>
      </c>
      <c r="H1702" t="s">
        <v>21</v>
      </c>
      <c r="I1702" t="s">
        <v>16</v>
      </c>
      <c r="J1702" t="s">
        <v>180</v>
      </c>
    </row>
    <row r="1703" spans="1:10" x14ac:dyDescent="0.35">
      <c r="A1703" t="s">
        <v>1883</v>
      </c>
      <c r="B1703" s="1">
        <v>45961</v>
      </c>
      <c r="C1703" t="s">
        <v>25</v>
      </c>
      <c r="D1703" t="s">
        <v>12</v>
      </c>
      <c r="E1703" t="s">
        <v>26</v>
      </c>
      <c r="F1703" t="s">
        <v>14</v>
      </c>
      <c r="G1703">
        <v>58.75</v>
      </c>
      <c r="H1703" t="s">
        <v>98</v>
      </c>
      <c r="I1703" t="s">
        <v>47</v>
      </c>
      <c r="J1703" t="s">
        <v>17</v>
      </c>
    </row>
    <row r="1704" spans="1:10" x14ac:dyDescent="0.35">
      <c r="A1704" t="s">
        <v>1884</v>
      </c>
      <c r="B1704" s="1">
        <v>45961</v>
      </c>
      <c r="C1704" t="s">
        <v>135</v>
      </c>
      <c r="D1704" t="s">
        <v>101</v>
      </c>
      <c r="E1704" t="s">
        <v>102</v>
      </c>
      <c r="F1704" t="s">
        <v>14</v>
      </c>
      <c r="G1704">
        <v>25.16</v>
      </c>
      <c r="H1704" t="s">
        <v>15</v>
      </c>
      <c r="I1704" t="s">
        <v>22</v>
      </c>
      <c r="J1704" t="s">
        <v>136</v>
      </c>
    </row>
    <row r="1705" spans="1:10" x14ac:dyDescent="0.35">
      <c r="A1705" t="s">
        <v>1885</v>
      </c>
      <c r="B1705" s="1">
        <v>45961</v>
      </c>
      <c r="C1705" t="s">
        <v>464</v>
      </c>
      <c r="D1705" t="s">
        <v>34</v>
      </c>
      <c r="E1705" t="s">
        <v>122</v>
      </c>
      <c r="F1705" t="s">
        <v>14</v>
      </c>
      <c r="G1705">
        <v>36.840000000000003</v>
      </c>
      <c r="H1705" t="s">
        <v>15</v>
      </c>
      <c r="I1705" t="s">
        <v>22</v>
      </c>
      <c r="J1705" t="s">
        <v>239</v>
      </c>
    </row>
    <row r="1706" spans="1:10" x14ac:dyDescent="0.35">
      <c r="A1706" t="s">
        <v>1886</v>
      </c>
      <c r="B1706" s="1">
        <v>45961</v>
      </c>
      <c r="C1706" t="s">
        <v>63</v>
      </c>
      <c r="D1706" t="s">
        <v>54</v>
      </c>
      <c r="E1706" t="s">
        <v>64</v>
      </c>
      <c r="F1706" t="s">
        <v>54</v>
      </c>
      <c r="G1706">
        <v>353.94</v>
      </c>
      <c r="H1706" t="s">
        <v>21</v>
      </c>
      <c r="I1706" t="s">
        <v>22</v>
      </c>
      <c r="J1706" t="s">
        <v>65</v>
      </c>
    </row>
    <row r="1707" spans="1:10" x14ac:dyDescent="0.35">
      <c r="A1707" t="s">
        <v>1887</v>
      </c>
      <c r="B1707" s="1">
        <v>45961</v>
      </c>
      <c r="C1707" t="s">
        <v>25</v>
      </c>
      <c r="D1707" t="s">
        <v>12</v>
      </c>
      <c r="E1707" t="s">
        <v>26</v>
      </c>
      <c r="F1707" t="s">
        <v>14</v>
      </c>
      <c r="G1707">
        <v>23.4</v>
      </c>
      <c r="H1707" t="s">
        <v>15</v>
      </c>
      <c r="I1707" t="s">
        <v>16</v>
      </c>
      <c r="J1707" t="s">
        <v>17</v>
      </c>
    </row>
    <row r="1708" spans="1:10" x14ac:dyDescent="0.35">
      <c r="A1708" t="s">
        <v>1888</v>
      </c>
      <c r="B1708" s="1">
        <v>45961</v>
      </c>
      <c r="C1708" t="s">
        <v>155</v>
      </c>
      <c r="D1708" t="s">
        <v>12</v>
      </c>
      <c r="E1708" t="s">
        <v>51</v>
      </c>
      <c r="F1708" t="s">
        <v>14</v>
      </c>
      <c r="G1708">
        <v>56.97</v>
      </c>
      <c r="H1708" t="s">
        <v>15</v>
      </c>
      <c r="I1708" t="s">
        <v>22</v>
      </c>
      <c r="J1708" t="s">
        <v>48</v>
      </c>
    </row>
    <row r="1709" spans="1:10" x14ac:dyDescent="0.35">
      <c r="A1709" t="s">
        <v>1889</v>
      </c>
      <c r="B1709" s="1">
        <v>45961</v>
      </c>
      <c r="C1709" t="s">
        <v>53</v>
      </c>
      <c r="D1709" t="s">
        <v>54</v>
      </c>
      <c r="E1709" t="s">
        <v>55</v>
      </c>
      <c r="F1709" t="s">
        <v>54</v>
      </c>
      <c r="G1709">
        <v>812.78</v>
      </c>
      <c r="H1709" t="s">
        <v>98</v>
      </c>
      <c r="I1709" t="s">
        <v>22</v>
      </c>
      <c r="J1709" t="s">
        <v>56</v>
      </c>
    </row>
    <row r="1710" spans="1:10" x14ac:dyDescent="0.35">
      <c r="A1710" t="s">
        <v>1890</v>
      </c>
      <c r="B1710" s="1">
        <v>45961</v>
      </c>
      <c r="C1710" t="s">
        <v>11</v>
      </c>
      <c r="D1710" t="s">
        <v>12</v>
      </c>
      <c r="E1710" t="s">
        <v>13</v>
      </c>
      <c r="F1710" t="s">
        <v>14</v>
      </c>
      <c r="G1710">
        <v>49.97</v>
      </c>
      <c r="H1710" t="s">
        <v>15</v>
      </c>
      <c r="I1710" t="s">
        <v>22</v>
      </c>
      <c r="J1710" t="s">
        <v>17</v>
      </c>
    </row>
    <row r="1711" spans="1:10" x14ac:dyDescent="0.35">
      <c r="A1711" t="s">
        <v>1891</v>
      </c>
      <c r="B1711" s="1">
        <v>45961</v>
      </c>
      <c r="C1711" t="s">
        <v>53</v>
      </c>
      <c r="D1711" t="s">
        <v>54</v>
      </c>
      <c r="E1711" t="s">
        <v>55</v>
      </c>
      <c r="F1711" t="s">
        <v>54</v>
      </c>
      <c r="G1711">
        <v>805.45</v>
      </c>
      <c r="H1711" t="s">
        <v>15</v>
      </c>
      <c r="I1711" t="s">
        <v>16</v>
      </c>
      <c r="J1711" t="s">
        <v>56</v>
      </c>
    </row>
    <row r="1712" spans="1:10" x14ac:dyDescent="0.35">
      <c r="A1712" t="s">
        <v>1892</v>
      </c>
      <c r="B1712" s="1">
        <v>45962</v>
      </c>
      <c r="C1712" t="s">
        <v>175</v>
      </c>
      <c r="D1712" t="s">
        <v>80</v>
      </c>
      <c r="E1712" t="s">
        <v>92</v>
      </c>
      <c r="F1712" t="s">
        <v>14</v>
      </c>
      <c r="G1712">
        <v>52.76</v>
      </c>
      <c r="H1712" t="s">
        <v>15</v>
      </c>
      <c r="I1712" t="s">
        <v>16</v>
      </c>
      <c r="J1712" t="s">
        <v>141</v>
      </c>
    </row>
    <row r="1713" spans="1:10" x14ac:dyDescent="0.35">
      <c r="A1713" t="s">
        <v>1893</v>
      </c>
      <c r="B1713" s="1">
        <v>45962</v>
      </c>
      <c r="C1713" t="s">
        <v>229</v>
      </c>
      <c r="D1713" t="s">
        <v>54</v>
      </c>
      <c r="E1713" t="s">
        <v>64</v>
      </c>
      <c r="F1713" t="s">
        <v>54</v>
      </c>
      <c r="G1713">
        <v>364.08</v>
      </c>
      <c r="H1713" t="s">
        <v>21</v>
      </c>
      <c r="I1713" t="s">
        <v>16</v>
      </c>
      <c r="J1713" t="s">
        <v>56</v>
      </c>
    </row>
    <row r="1714" spans="1:10" x14ac:dyDescent="0.35">
      <c r="A1714" t="s">
        <v>1894</v>
      </c>
      <c r="B1714" s="1">
        <v>45962</v>
      </c>
      <c r="C1714" t="s">
        <v>204</v>
      </c>
      <c r="D1714" t="s">
        <v>12</v>
      </c>
      <c r="E1714" t="s">
        <v>51</v>
      </c>
      <c r="F1714" t="s">
        <v>14</v>
      </c>
      <c r="G1714">
        <v>43.88</v>
      </c>
      <c r="H1714" t="s">
        <v>21</v>
      </c>
      <c r="I1714" t="s">
        <v>22</v>
      </c>
      <c r="J1714" t="s">
        <v>23</v>
      </c>
    </row>
    <row r="1715" spans="1:10" x14ac:dyDescent="0.35">
      <c r="A1715" t="s">
        <v>1895</v>
      </c>
      <c r="B1715" s="1">
        <v>45963</v>
      </c>
      <c r="C1715" t="s">
        <v>572</v>
      </c>
      <c r="D1715" t="s">
        <v>69</v>
      </c>
      <c r="E1715" t="s">
        <v>233</v>
      </c>
      <c r="F1715" t="s">
        <v>14</v>
      </c>
      <c r="G1715">
        <v>414.81</v>
      </c>
      <c r="H1715" t="s">
        <v>21</v>
      </c>
      <c r="I1715" t="s">
        <v>36</v>
      </c>
      <c r="J1715" t="s">
        <v>292</v>
      </c>
    </row>
    <row r="1716" spans="1:10" x14ac:dyDescent="0.35">
      <c r="A1716" t="s">
        <v>1896</v>
      </c>
      <c r="B1716" s="1">
        <v>45963</v>
      </c>
      <c r="C1716" t="s">
        <v>345</v>
      </c>
      <c r="D1716" t="s">
        <v>59</v>
      </c>
      <c r="E1716" t="s">
        <v>60</v>
      </c>
      <c r="F1716" t="s">
        <v>14</v>
      </c>
      <c r="G1716">
        <v>140.19999999999999</v>
      </c>
      <c r="H1716" t="s">
        <v>21</v>
      </c>
      <c r="I1716" t="s">
        <v>22</v>
      </c>
      <c r="J1716" t="s">
        <v>211</v>
      </c>
    </row>
    <row r="1717" spans="1:10" x14ac:dyDescent="0.35">
      <c r="A1717" t="s">
        <v>1897</v>
      </c>
      <c r="B1717" s="1">
        <v>45963</v>
      </c>
      <c r="C1717" t="s">
        <v>73</v>
      </c>
      <c r="D1717" t="s">
        <v>54</v>
      </c>
      <c r="E1717" t="s">
        <v>74</v>
      </c>
      <c r="F1717" t="s">
        <v>54</v>
      </c>
      <c r="G1717">
        <v>2448.02</v>
      </c>
      <c r="H1717" t="s">
        <v>15</v>
      </c>
      <c r="I1717" t="s">
        <v>36</v>
      </c>
      <c r="J1717" t="s">
        <v>65</v>
      </c>
    </row>
    <row r="1718" spans="1:10" x14ac:dyDescent="0.35">
      <c r="A1718" t="s">
        <v>1898</v>
      </c>
      <c r="B1718" s="1">
        <v>45963</v>
      </c>
      <c r="C1718" t="s">
        <v>243</v>
      </c>
      <c r="D1718" t="s">
        <v>101</v>
      </c>
      <c r="E1718" t="s">
        <v>244</v>
      </c>
      <c r="F1718" t="s">
        <v>14</v>
      </c>
      <c r="G1718">
        <v>44.43</v>
      </c>
      <c r="H1718" t="s">
        <v>98</v>
      </c>
      <c r="I1718" t="s">
        <v>22</v>
      </c>
      <c r="J1718" t="s">
        <v>102</v>
      </c>
    </row>
    <row r="1719" spans="1:10" x14ac:dyDescent="0.35">
      <c r="A1719" t="s">
        <v>1899</v>
      </c>
      <c r="B1719" s="1">
        <v>45963</v>
      </c>
      <c r="C1719" t="s">
        <v>76</v>
      </c>
      <c r="D1719" t="s">
        <v>12</v>
      </c>
      <c r="E1719" t="s">
        <v>13</v>
      </c>
      <c r="F1719" t="s">
        <v>14</v>
      </c>
      <c r="G1719">
        <v>35.21</v>
      </c>
      <c r="H1719" t="s">
        <v>15</v>
      </c>
      <c r="I1719" t="s">
        <v>22</v>
      </c>
      <c r="J1719" t="s">
        <v>77</v>
      </c>
    </row>
    <row r="1720" spans="1:10" x14ac:dyDescent="0.35">
      <c r="A1720" t="s">
        <v>1900</v>
      </c>
      <c r="B1720" s="1">
        <v>45963</v>
      </c>
      <c r="C1720" t="s">
        <v>198</v>
      </c>
      <c r="D1720" t="s">
        <v>59</v>
      </c>
      <c r="E1720" t="s">
        <v>199</v>
      </c>
      <c r="F1720" t="s">
        <v>14</v>
      </c>
      <c r="G1720">
        <v>199.21</v>
      </c>
      <c r="H1720" t="s">
        <v>15</v>
      </c>
      <c r="I1720" t="s">
        <v>36</v>
      </c>
      <c r="J1720" t="s">
        <v>61</v>
      </c>
    </row>
    <row r="1721" spans="1:10" x14ac:dyDescent="0.35">
      <c r="A1721" t="s">
        <v>1901</v>
      </c>
      <c r="B1721" s="1">
        <v>45964</v>
      </c>
      <c r="C1721" t="s">
        <v>210</v>
      </c>
      <c r="D1721" t="s">
        <v>59</v>
      </c>
      <c r="E1721" t="s">
        <v>185</v>
      </c>
      <c r="F1721" t="s">
        <v>14</v>
      </c>
      <c r="G1721">
        <v>321.54000000000002</v>
      </c>
      <c r="H1721" t="s">
        <v>15</v>
      </c>
      <c r="I1721" t="s">
        <v>22</v>
      </c>
      <c r="J1721" t="s">
        <v>211</v>
      </c>
    </row>
    <row r="1722" spans="1:10" x14ac:dyDescent="0.35">
      <c r="A1722" t="s">
        <v>1902</v>
      </c>
      <c r="B1722" s="1">
        <v>45964</v>
      </c>
      <c r="C1722" t="s">
        <v>217</v>
      </c>
      <c r="D1722" t="s">
        <v>80</v>
      </c>
      <c r="E1722" t="s">
        <v>81</v>
      </c>
      <c r="F1722" t="s">
        <v>14</v>
      </c>
      <c r="G1722">
        <v>47.03</v>
      </c>
      <c r="H1722" t="s">
        <v>15</v>
      </c>
      <c r="I1722" t="s">
        <v>22</v>
      </c>
      <c r="J1722" t="s">
        <v>180</v>
      </c>
    </row>
    <row r="1723" spans="1:10" x14ac:dyDescent="0.35">
      <c r="A1723" t="s">
        <v>1903</v>
      </c>
      <c r="B1723" s="1">
        <v>45964</v>
      </c>
      <c r="C1723" t="s">
        <v>138</v>
      </c>
      <c r="D1723" t="s">
        <v>12</v>
      </c>
      <c r="E1723" t="s">
        <v>26</v>
      </c>
      <c r="F1723" t="s">
        <v>14</v>
      </c>
      <c r="G1723">
        <v>31.06</v>
      </c>
      <c r="H1723" t="s">
        <v>15</v>
      </c>
      <c r="I1723" t="s">
        <v>36</v>
      </c>
      <c r="J1723" t="s">
        <v>77</v>
      </c>
    </row>
    <row r="1724" spans="1:10" x14ac:dyDescent="0.35">
      <c r="A1724" t="s">
        <v>1904</v>
      </c>
      <c r="B1724" s="1">
        <v>45965</v>
      </c>
      <c r="C1724" t="s">
        <v>251</v>
      </c>
      <c r="D1724" t="s">
        <v>29</v>
      </c>
      <c r="E1724" t="s">
        <v>151</v>
      </c>
      <c r="F1724" t="s">
        <v>14</v>
      </c>
      <c r="G1724">
        <v>48.26</v>
      </c>
      <c r="H1724" t="s">
        <v>15</v>
      </c>
      <c r="I1724" t="s">
        <v>22</v>
      </c>
      <c r="J1724" t="s">
        <v>31</v>
      </c>
    </row>
    <row r="1725" spans="1:10" x14ac:dyDescent="0.35">
      <c r="A1725" t="s">
        <v>1905</v>
      </c>
      <c r="B1725" s="1">
        <v>45965</v>
      </c>
      <c r="C1725" t="s">
        <v>204</v>
      </c>
      <c r="D1725" t="s">
        <v>12</v>
      </c>
      <c r="E1725" t="s">
        <v>51</v>
      </c>
      <c r="F1725" t="s">
        <v>14</v>
      </c>
      <c r="G1725">
        <v>56.05</v>
      </c>
      <c r="H1725" t="s">
        <v>15</v>
      </c>
      <c r="I1725" t="s">
        <v>36</v>
      </c>
      <c r="J1725" t="s">
        <v>23</v>
      </c>
    </row>
    <row r="1726" spans="1:10" x14ac:dyDescent="0.35">
      <c r="A1726" t="s">
        <v>1906</v>
      </c>
      <c r="B1726" s="1">
        <v>45965</v>
      </c>
      <c r="C1726" t="s">
        <v>88</v>
      </c>
      <c r="D1726" t="s">
        <v>54</v>
      </c>
      <c r="E1726" t="s">
        <v>74</v>
      </c>
      <c r="F1726" t="s">
        <v>54</v>
      </c>
      <c r="G1726">
        <v>2551.98</v>
      </c>
      <c r="H1726" t="s">
        <v>98</v>
      </c>
      <c r="I1726" t="s">
        <v>47</v>
      </c>
      <c r="J1726" t="s">
        <v>89</v>
      </c>
    </row>
    <row r="1727" spans="1:10" x14ac:dyDescent="0.35">
      <c r="A1727" t="s">
        <v>1907</v>
      </c>
      <c r="B1727" s="1">
        <v>45965</v>
      </c>
      <c r="C1727" t="s">
        <v>153</v>
      </c>
      <c r="D1727" t="s">
        <v>34</v>
      </c>
      <c r="E1727" t="s">
        <v>122</v>
      </c>
      <c r="F1727" t="s">
        <v>14</v>
      </c>
      <c r="G1727">
        <v>191.85</v>
      </c>
      <c r="H1727" t="s">
        <v>98</v>
      </c>
      <c r="I1727" t="s">
        <v>47</v>
      </c>
      <c r="J1727" t="s">
        <v>41</v>
      </c>
    </row>
    <row r="1728" spans="1:10" x14ac:dyDescent="0.35">
      <c r="A1728" t="s">
        <v>1908</v>
      </c>
      <c r="B1728" s="1">
        <v>45965</v>
      </c>
      <c r="C1728" t="s">
        <v>345</v>
      </c>
      <c r="D1728" t="s">
        <v>59</v>
      </c>
      <c r="E1728" t="s">
        <v>60</v>
      </c>
      <c r="F1728" t="s">
        <v>14</v>
      </c>
      <c r="G1728">
        <v>94.95</v>
      </c>
      <c r="H1728" t="s">
        <v>15</v>
      </c>
      <c r="I1728" t="s">
        <v>22</v>
      </c>
      <c r="J1728" t="s">
        <v>211</v>
      </c>
    </row>
    <row r="1729" spans="1:10" x14ac:dyDescent="0.35">
      <c r="A1729" t="s">
        <v>1909</v>
      </c>
      <c r="B1729" s="1">
        <v>45965</v>
      </c>
      <c r="C1729" t="s">
        <v>179</v>
      </c>
      <c r="D1729" t="s">
        <v>80</v>
      </c>
      <c r="E1729" t="s">
        <v>117</v>
      </c>
      <c r="F1729" t="s">
        <v>14</v>
      </c>
      <c r="G1729">
        <v>44.22</v>
      </c>
      <c r="H1729" t="s">
        <v>15</v>
      </c>
      <c r="I1729" t="s">
        <v>22</v>
      </c>
      <c r="J1729" t="s">
        <v>180</v>
      </c>
    </row>
    <row r="1730" spans="1:10" x14ac:dyDescent="0.35">
      <c r="A1730" t="s">
        <v>1910</v>
      </c>
      <c r="B1730" s="1">
        <v>45965</v>
      </c>
      <c r="C1730" t="s">
        <v>269</v>
      </c>
      <c r="D1730" t="s">
        <v>34</v>
      </c>
      <c r="E1730" t="s">
        <v>35</v>
      </c>
      <c r="F1730" t="s">
        <v>14</v>
      </c>
      <c r="G1730">
        <v>213.98</v>
      </c>
      <c r="H1730" t="s">
        <v>21</v>
      </c>
      <c r="I1730" t="s">
        <v>22</v>
      </c>
      <c r="J1730" t="s">
        <v>123</v>
      </c>
    </row>
    <row r="1731" spans="1:10" x14ac:dyDescent="0.35">
      <c r="A1731" t="s">
        <v>1911</v>
      </c>
      <c r="B1731" s="1">
        <v>45965</v>
      </c>
      <c r="C1731" t="s">
        <v>179</v>
      </c>
      <c r="D1731" t="s">
        <v>80</v>
      </c>
      <c r="E1731" t="s">
        <v>117</v>
      </c>
      <c r="F1731" t="s">
        <v>14</v>
      </c>
      <c r="G1731">
        <v>105.55</v>
      </c>
      <c r="H1731" t="s">
        <v>15</v>
      </c>
      <c r="I1731" t="s">
        <v>47</v>
      </c>
      <c r="J1731" t="s">
        <v>180</v>
      </c>
    </row>
    <row r="1732" spans="1:10" x14ac:dyDescent="0.35">
      <c r="A1732" t="s">
        <v>1912</v>
      </c>
      <c r="B1732" s="1">
        <v>45965</v>
      </c>
      <c r="C1732" t="s">
        <v>33</v>
      </c>
      <c r="D1732" t="s">
        <v>34</v>
      </c>
      <c r="E1732" t="s">
        <v>35</v>
      </c>
      <c r="F1732" t="s">
        <v>14</v>
      </c>
      <c r="G1732">
        <v>247.65</v>
      </c>
      <c r="H1732" t="s">
        <v>15</v>
      </c>
      <c r="I1732" t="s">
        <v>22</v>
      </c>
      <c r="J1732" t="s">
        <v>37</v>
      </c>
    </row>
    <row r="1733" spans="1:10" x14ac:dyDescent="0.35">
      <c r="A1733" t="s">
        <v>1913</v>
      </c>
      <c r="B1733" s="1">
        <v>45965</v>
      </c>
      <c r="C1733" t="s">
        <v>198</v>
      </c>
      <c r="D1733" t="s">
        <v>59</v>
      </c>
      <c r="E1733" t="s">
        <v>199</v>
      </c>
      <c r="F1733" t="s">
        <v>14</v>
      </c>
      <c r="G1733">
        <v>314.12</v>
      </c>
      <c r="H1733" t="s">
        <v>15</v>
      </c>
      <c r="I1733" t="s">
        <v>36</v>
      </c>
      <c r="J1733" t="s">
        <v>61</v>
      </c>
    </row>
    <row r="1734" spans="1:10" x14ac:dyDescent="0.35">
      <c r="A1734" t="s">
        <v>1914</v>
      </c>
      <c r="B1734" s="1">
        <v>45965</v>
      </c>
      <c r="C1734" t="s">
        <v>215</v>
      </c>
      <c r="D1734" t="s">
        <v>80</v>
      </c>
      <c r="E1734" t="s">
        <v>117</v>
      </c>
      <c r="F1734" t="s">
        <v>14</v>
      </c>
      <c r="G1734">
        <v>212.37</v>
      </c>
      <c r="H1734" t="s">
        <v>15</v>
      </c>
      <c r="I1734" t="s">
        <v>36</v>
      </c>
      <c r="J1734" t="s">
        <v>141</v>
      </c>
    </row>
    <row r="1735" spans="1:10" x14ac:dyDescent="0.35">
      <c r="A1735" t="s">
        <v>1915</v>
      </c>
      <c r="B1735" s="1">
        <v>45965</v>
      </c>
      <c r="C1735" t="s">
        <v>256</v>
      </c>
      <c r="D1735" t="s">
        <v>34</v>
      </c>
      <c r="E1735" t="s">
        <v>40</v>
      </c>
      <c r="F1735" t="s">
        <v>14</v>
      </c>
      <c r="G1735">
        <v>131.09</v>
      </c>
      <c r="H1735" t="s">
        <v>21</v>
      </c>
      <c r="I1735" t="s">
        <v>47</v>
      </c>
      <c r="J1735" t="s">
        <v>239</v>
      </c>
    </row>
    <row r="1736" spans="1:10" x14ac:dyDescent="0.35">
      <c r="A1736" t="s">
        <v>1916</v>
      </c>
      <c r="B1736" s="1">
        <v>45966</v>
      </c>
      <c r="C1736" t="s">
        <v>1491</v>
      </c>
      <c r="D1736" t="s">
        <v>69</v>
      </c>
      <c r="E1736" t="s">
        <v>233</v>
      </c>
      <c r="F1736" t="s">
        <v>14</v>
      </c>
      <c r="G1736">
        <v>216.34</v>
      </c>
      <c r="H1736" t="s">
        <v>15</v>
      </c>
      <c r="I1736" t="s">
        <v>36</v>
      </c>
      <c r="J1736" t="s">
        <v>396</v>
      </c>
    </row>
    <row r="1737" spans="1:10" x14ac:dyDescent="0.35">
      <c r="A1737" t="s">
        <v>1917</v>
      </c>
      <c r="B1737" s="1">
        <v>45966</v>
      </c>
      <c r="C1737" t="s">
        <v>415</v>
      </c>
      <c r="D1737" t="s">
        <v>12</v>
      </c>
      <c r="E1737" t="s">
        <v>51</v>
      </c>
      <c r="F1737" t="s">
        <v>14</v>
      </c>
      <c r="G1737">
        <v>51.82</v>
      </c>
      <c r="H1737" t="s">
        <v>98</v>
      </c>
      <c r="I1737" t="s">
        <v>16</v>
      </c>
      <c r="J1737" t="s">
        <v>77</v>
      </c>
    </row>
    <row r="1738" spans="1:10" x14ac:dyDescent="0.35">
      <c r="A1738" t="s">
        <v>1918</v>
      </c>
      <c r="B1738" s="1">
        <v>45966</v>
      </c>
      <c r="C1738" t="s">
        <v>184</v>
      </c>
      <c r="D1738" t="s">
        <v>59</v>
      </c>
      <c r="E1738" t="s">
        <v>185</v>
      </c>
      <c r="F1738" t="s">
        <v>14</v>
      </c>
      <c r="G1738">
        <v>607.78</v>
      </c>
      <c r="H1738" t="s">
        <v>21</v>
      </c>
      <c r="I1738" t="s">
        <v>36</v>
      </c>
      <c r="J1738" t="s">
        <v>61</v>
      </c>
    </row>
    <row r="1739" spans="1:10" x14ac:dyDescent="0.35">
      <c r="A1739" t="s">
        <v>1919</v>
      </c>
      <c r="B1739" s="1">
        <v>45966</v>
      </c>
      <c r="C1739" t="s">
        <v>238</v>
      </c>
      <c r="D1739" t="s">
        <v>34</v>
      </c>
      <c r="E1739" t="s">
        <v>35</v>
      </c>
      <c r="F1739" t="s">
        <v>14</v>
      </c>
      <c r="G1739">
        <v>67.260000000000005</v>
      </c>
      <c r="H1739" t="s">
        <v>15</v>
      </c>
      <c r="I1739" t="s">
        <v>47</v>
      </c>
      <c r="J1739" t="s">
        <v>239</v>
      </c>
    </row>
    <row r="1740" spans="1:10" x14ac:dyDescent="0.35">
      <c r="A1740" t="s">
        <v>1920</v>
      </c>
      <c r="B1740" s="1">
        <v>45966</v>
      </c>
      <c r="C1740" t="s">
        <v>177</v>
      </c>
      <c r="D1740" t="s">
        <v>54</v>
      </c>
      <c r="E1740" t="s">
        <v>74</v>
      </c>
      <c r="F1740" t="s">
        <v>54</v>
      </c>
      <c r="G1740">
        <v>2646.51</v>
      </c>
      <c r="H1740" t="s">
        <v>15</v>
      </c>
      <c r="I1740" t="s">
        <v>47</v>
      </c>
      <c r="J1740" t="s">
        <v>56</v>
      </c>
    </row>
    <row r="1741" spans="1:10" x14ac:dyDescent="0.35">
      <c r="A1741" t="s">
        <v>1921</v>
      </c>
      <c r="B1741" s="1">
        <v>45966</v>
      </c>
      <c r="C1741" t="s">
        <v>19</v>
      </c>
      <c r="D1741" t="s">
        <v>12</v>
      </c>
      <c r="E1741" t="s">
        <v>13</v>
      </c>
      <c r="F1741" t="s">
        <v>14</v>
      </c>
      <c r="G1741">
        <v>88.04</v>
      </c>
      <c r="H1741" t="s">
        <v>15</v>
      </c>
      <c r="I1741" t="s">
        <v>22</v>
      </c>
      <c r="J1741" t="s">
        <v>23</v>
      </c>
    </row>
    <row r="1742" spans="1:10" x14ac:dyDescent="0.35">
      <c r="A1742" t="s">
        <v>1922</v>
      </c>
      <c r="B1742" s="1">
        <v>45966</v>
      </c>
      <c r="C1742" t="s">
        <v>150</v>
      </c>
      <c r="D1742" t="s">
        <v>29</v>
      </c>
      <c r="E1742" t="s">
        <v>30</v>
      </c>
      <c r="F1742" t="s">
        <v>14</v>
      </c>
      <c r="G1742">
        <v>35.33</v>
      </c>
      <c r="H1742" t="s">
        <v>21</v>
      </c>
      <c r="I1742" t="s">
        <v>84</v>
      </c>
      <c r="J1742" t="s">
        <v>151</v>
      </c>
    </row>
    <row r="1743" spans="1:10" x14ac:dyDescent="0.35">
      <c r="A1743" t="s">
        <v>1923</v>
      </c>
      <c r="B1743" s="1">
        <v>45966</v>
      </c>
      <c r="C1743" t="s">
        <v>210</v>
      </c>
      <c r="D1743" t="s">
        <v>59</v>
      </c>
      <c r="E1743" t="s">
        <v>185</v>
      </c>
      <c r="F1743" t="s">
        <v>14</v>
      </c>
      <c r="G1743">
        <v>364.9</v>
      </c>
      <c r="H1743" t="s">
        <v>15</v>
      </c>
      <c r="I1743" t="s">
        <v>47</v>
      </c>
      <c r="J1743" t="s">
        <v>211</v>
      </c>
    </row>
    <row r="1744" spans="1:10" x14ac:dyDescent="0.35">
      <c r="A1744" t="s">
        <v>1924</v>
      </c>
      <c r="B1744" s="1">
        <v>45966</v>
      </c>
      <c r="C1744" t="s">
        <v>296</v>
      </c>
      <c r="D1744" t="s">
        <v>101</v>
      </c>
      <c r="E1744" t="s">
        <v>136</v>
      </c>
      <c r="F1744" t="s">
        <v>14</v>
      </c>
      <c r="G1744">
        <v>17.79</v>
      </c>
      <c r="H1744" t="s">
        <v>21</v>
      </c>
      <c r="I1744" t="s">
        <v>36</v>
      </c>
      <c r="J1744" t="s">
        <v>136</v>
      </c>
    </row>
    <row r="1745" spans="1:10" x14ac:dyDescent="0.35">
      <c r="A1745" t="s">
        <v>1925</v>
      </c>
      <c r="B1745" s="1">
        <v>45966</v>
      </c>
      <c r="C1745" t="s">
        <v>100</v>
      </c>
      <c r="D1745" t="s">
        <v>101</v>
      </c>
      <c r="E1745" t="s">
        <v>102</v>
      </c>
      <c r="F1745" t="s">
        <v>14</v>
      </c>
      <c r="G1745">
        <v>250</v>
      </c>
      <c r="H1745" t="s">
        <v>15</v>
      </c>
      <c r="I1745" t="s">
        <v>36</v>
      </c>
      <c r="J1745" t="s">
        <v>103</v>
      </c>
    </row>
    <row r="1746" spans="1:10" x14ac:dyDescent="0.35">
      <c r="A1746" t="s">
        <v>1926</v>
      </c>
      <c r="B1746" s="1">
        <v>45967</v>
      </c>
      <c r="C1746" t="s">
        <v>875</v>
      </c>
      <c r="D1746" t="s">
        <v>69</v>
      </c>
      <c r="E1746" t="s">
        <v>291</v>
      </c>
      <c r="F1746" t="s">
        <v>14</v>
      </c>
      <c r="G1746">
        <v>168.99</v>
      </c>
      <c r="H1746" t="s">
        <v>15</v>
      </c>
      <c r="I1746" t="s">
        <v>84</v>
      </c>
      <c r="J1746" t="s">
        <v>133</v>
      </c>
    </row>
    <row r="1747" spans="1:10" x14ac:dyDescent="0.35">
      <c r="A1747" t="s">
        <v>1927</v>
      </c>
      <c r="B1747" s="1">
        <v>45967</v>
      </c>
      <c r="C1747" t="s">
        <v>350</v>
      </c>
      <c r="D1747" t="s">
        <v>29</v>
      </c>
      <c r="E1747" t="s">
        <v>151</v>
      </c>
      <c r="F1747" t="s">
        <v>14</v>
      </c>
      <c r="G1747">
        <v>10.85</v>
      </c>
      <c r="H1747" t="s">
        <v>15</v>
      </c>
      <c r="I1747" t="s">
        <v>22</v>
      </c>
      <c r="J1747" t="s">
        <v>158</v>
      </c>
    </row>
    <row r="1748" spans="1:10" x14ac:dyDescent="0.35">
      <c r="A1748" t="s">
        <v>1928</v>
      </c>
      <c r="B1748" s="1">
        <v>45967</v>
      </c>
      <c r="C1748" t="s">
        <v>376</v>
      </c>
      <c r="D1748" t="s">
        <v>80</v>
      </c>
      <c r="E1748" t="s">
        <v>117</v>
      </c>
      <c r="F1748" t="s">
        <v>14</v>
      </c>
      <c r="G1748">
        <v>65.27</v>
      </c>
      <c r="H1748" t="s">
        <v>15</v>
      </c>
      <c r="I1748" t="s">
        <v>22</v>
      </c>
      <c r="J1748" t="s">
        <v>82</v>
      </c>
    </row>
    <row r="1749" spans="1:10" x14ac:dyDescent="0.35">
      <c r="A1749" t="s">
        <v>1929</v>
      </c>
      <c r="B1749" s="1">
        <v>45967</v>
      </c>
      <c r="C1749" t="s">
        <v>177</v>
      </c>
      <c r="D1749" t="s">
        <v>54</v>
      </c>
      <c r="E1749" t="s">
        <v>74</v>
      </c>
      <c r="F1749" t="s">
        <v>54</v>
      </c>
      <c r="G1749">
        <v>2327.86</v>
      </c>
      <c r="H1749" t="s">
        <v>21</v>
      </c>
      <c r="I1749" t="s">
        <v>36</v>
      </c>
      <c r="J1749" t="s">
        <v>56</v>
      </c>
    </row>
    <row r="1750" spans="1:10" x14ac:dyDescent="0.35">
      <c r="A1750" t="s">
        <v>1930</v>
      </c>
      <c r="B1750" s="1">
        <v>45968</v>
      </c>
      <c r="C1750" t="s">
        <v>345</v>
      </c>
      <c r="D1750" t="s">
        <v>59</v>
      </c>
      <c r="E1750" t="s">
        <v>60</v>
      </c>
      <c r="F1750" t="s">
        <v>14</v>
      </c>
      <c r="G1750">
        <v>83.94</v>
      </c>
      <c r="H1750" t="s">
        <v>21</v>
      </c>
      <c r="I1750" t="s">
        <v>47</v>
      </c>
      <c r="J1750" t="s">
        <v>211</v>
      </c>
    </row>
    <row r="1751" spans="1:10" x14ac:dyDescent="0.35">
      <c r="A1751" t="s">
        <v>1931</v>
      </c>
      <c r="B1751" s="1">
        <v>45968</v>
      </c>
      <c r="C1751" t="s">
        <v>132</v>
      </c>
      <c r="D1751" t="s">
        <v>69</v>
      </c>
      <c r="E1751" t="s">
        <v>70</v>
      </c>
      <c r="F1751" t="s">
        <v>14</v>
      </c>
      <c r="G1751">
        <v>246.89</v>
      </c>
      <c r="H1751" t="s">
        <v>15</v>
      </c>
      <c r="I1751" t="s">
        <v>16</v>
      </c>
      <c r="J1751" t="s">
        <v>133</v>
      </c>
    </row>
    <row r="1752" spans="1:10" x14ac:dyDescent="0.35">
      <c r="A1752" t="s">
        <v>1932</v>
      </c>
      <c r="B1752" s="1">
        <v>45968</v>
      </c>
      <c r="C1752" t="s">
        <v>324</v>
      </c>
      <c r="D1752" t="s">
        <v>80</v>
      </c>
      <c r="E1752" t="s">
        <v>92</v>
      </c>
      <c r="F1752" t="s">
        <v>14</v>
      </c>
      <c r="G1752">
        <v>138.1</v>
      </c>
      <c r="H1752" t="s">
        <v>15</v>
      </c>
      <c r="I1752" t="s">
        <v>36</v>
      </c>
      <c r="J1752" t="s">
        <v>161</v>
      </c>
    </row>
    <row r="1753" spans="1:10" x14ac:dyDescent="0.35">
      <c r="A1753" t="s">
        <v>1933</v>
      </c>
      <c r="B1753" s="1">
        <v>45968</v>
      </c>
      <c r="C1753" t="s">
        <v>281</v>
      </c>
      <c r="D1753" t="s">
        <v>34</v>
      </c>
      <c r="E1753" t="s">
        <v>40</v>
      </c>
      <c r="F1753" t="s">
        <v>14</v>
      </c>
      <c r="G1753">
        <v>83.08</v>
      </c>
      <c r="H1753" t="s">
        <v>15</v>
      </c>
      <c r="I1753" t="s">
        <v>22</v>
      </c>
      <c r="J1753" t="s">
        <v>123</v>
      </c>
    </row>
    <row r="1754" spans="1:10" x14ac:dyDescent="0.35">
      <c r="A1754" t="s">
        <v>1934</v>
      </c>
      <c r="B1754" s="1">
        <v>45968</v>
      </c>
      <c r="C1754" t="s">
        <v>345</v>
      </c>
      <c r="D1754" t="s">
        <v>59</v>
      </c>
      <c r="E1754" t="s">
        <v>60</v>
      </c>
      <c r="F1754" t="s">
        <v>14</v>
      </c>
      <c r="G1754">
        <v>609.62</v>
      </c>
      <c r="H1754" t="s">
        <v>15</v>
      </c>
      <c r="I1754" t="s">
        <v>47</v>
      </c>
      <c r="J1754" t="s">
        <v>211</v>
      </c>
    </row>
    <row r="1755" spans="1:10" x14ac:dyDescent="0.35">
      <c r="A1755" t="s">
        <v>1935</v>
      </c>
      <c r="B1755" s="1">
        <v>45968</v>
      </c>
      <c r="C1755" t="s">
        <v>63</v>
      </c>
      <c r="D1755" t="s">
        <v>54</v>
      </c>
      <c r="E1755" t="s">
        <v>64</v>
      </c>
      <c r="F1755" t="s">
        <v>54</v>
      </c>
      <c r="G1755">
        <v>396.92</v>
      </c>
      <c r="H1755" t="s">
        <v>15</v>
      </c>
      <c r="I1755" t="s">
        <v>22</v>
      </c>
      <c r="J1755" t="s">
        <v>65</v>
      </c>
    </row>
    <row r="1756" spans="1:10" x14ac:dyDescent="0.35">
      <c r="A1756" t="s">
        <v>1936</v>
      </c>
      <c r="B1756" s="1">
        <v>45969</v>
      </c>
      <c r="C1756" t="s">
        <v>76</v>
      </c>
      <c r="D1756" t="s">
        <v>12</v>
      </c>
      <c r="E1756" t="s">
        <v>13</v>
      </c>
      <c r="F1756" t="s">
        <v>14</v>
      </c>
      <c r="G1756">
        <v>46.81</v>
      </c>
      <c r="H1756" t="s">
        <v>21</v>
      </c>
      <c r="I1756" t="s">
        <v>22</v>
      </c>
      <c r="J1756" t="s">
        <v>77</v>
      </c>
    </row>
    <row r="1757" spans="1:10" x14ac:dyDescent="0.35">
      <c r="A1757" t="s">
        <v>1937</v>
      </c>
      <c r="B1757" s="1">
        <v>45969</v>
      </c>
      <c r="C1757" t="s">
        <v>150</v>
      </c>
      <c r="D1757" t="s">
        <v>29</v>
      </c>
      <c r="E1757" t="s">
        <v>30</v>
      </c>
      <c r="F1757" t="s">
        <v>14</v>
      </c>
      <c r="G1757">
        <v>19.93</v>
      </c>
      <c r="H1757" t="s">
        <v>21</v>
      </c>
      <c r="I1757" t="s">
        <v>22</v>
      </c>
      <c r="J1757" t="s">
        <v>151</v>
      </c>
    </row>
    <row r="1758" spans="1:10" x14ac:dyDescent="0.35">
      <c r="A1758" t="s">
        <v>1938</v>
      </c>
      <c r="B1758" s="1">
        <v>45969</v>
      </c>
      <c r="C1758" t="s">
        <v>121</v>
      </c>
      <c r="D1758" t="s">
        <v>34</v>
      </c>
      <c r="E1758" t="s">
        <v>122</v>
      </c>
      <c r="F1758" t="s">
        <v>14</v>
      </c>
      <c r="G1758">
        <v>109.13</v>
      </c>
      <c r="H1758" t="s">
        <v>15</v>
      </c>
      <c r="I1758" t="s">
        <v>36</v>
      </c>
      <c r="J1758" t="s">
        <v>123</v>
      </c>
    </row>
    <row r="1759" spans="1:10" x14ac:dyDescent="0.35">
      <c r="A1759" t="s">
        <v>1939</v>
      </c>
      <c r="B1759" s="1">
        <v>45970</v>
      </c>
      <c r="C1759" t="s">
        <v>168</v>
      </c>
      <c r="D1759" t="s">
        <v>59</v>
      </c>
      <c r="E1759" t="s">
        <v>60</v>
      </c>
      <c r="F1759" t="s">
        <v>14</v>
      </c>
      <c r="G1759">
        <v>158.51</v>
      </c>
      <c r="H1759" t="s">
        <v>98</v>
      </c>
      <c r="I1759" t="s">
        <v>22</v>
      </c>
      <c r="J1759" t="s">
        <v>170</v>
      </c>
    </row>
    <row r="1760" spans="1:10" x14ac:dyDescent="0.35">
      <c r="A1760" t="s">
        <v>1940</v>
      </c>
      <c r="B1760" s="1">
        <v>45970</v>
      </c>
      <c r="C1760" t="s">
        <v>53</v>
      </c>
      <c r="D1760" t="s">
        <v>54</v>
      </c>
      <c r="E1760" t="s">
        <v>55</v>
      </c>
      <c r="F1760" t="s">
        <v>54</v>
      </c>
      <c r="G1760">
        <v>784.89</v>
      </c>
      <c r="H1760" t="s">
        <v>15</v>
      </c>
      <c r="I1760" t="s">
        <v>16</v>
      </c>
      <c r="J1760" t="s">
        <v>56</v>
      </c>
    </row>
    <row r="1761" spans="1:10" x14ac:dyDescent="0.35">
      <c r="A1761" t="s">
        <v>1941</v>
      </c>
      <c r="B1761" s="1">
        <v>45970</v>
      </c>
      <c r="C1761" t="s">
        <v>572</v>
      </c>
      <c r="D1761" t="s">
        <v>69</v>
      </c>
      <c r="E1761" t="s">
        <v>233</v>
      </c>
      <c r="F1761" t="s">
        <v>14</v>
      </c>
      <c r="G1761">
        <v>264.26</v>
      </c>
      <c r="H1761" t="s">
        <v>21</v>
      </c>
      <c r="I1761" t="s">
        <v>36</v>
      </c>
      <c r="J1761" t="s">
        <v>292</v>
      </c>
    </row>
    <row r="1762" spans="1:10" x14ac:dyDescent="0.35">
      <c r="A1762" t="s">
        <v>1942</v>
      </c>
      <c r="B1762" s="1">
        <v>45971</v>
      </c>
      <c r="C1762" t="s">
        <v>324</v>
      </c>
      <c r="D1762" t="s">
        <v>80</v>
      </c>
      <c r="E1762" t="s">
        <v>92</v>
      </c>
      <c r="F1762" t="s">
        <v>14</v>
      </c>
      <c r="G1762">
        <v>61.12</v>
      </c>
      <c r="H1762" t="s">
        <v>98</v>
      </c>
      <c r="I1762" t="s">
        <v>22</v>
      </c>
      <c r="J1762" t="s">
        <v>161</v>
      </c>
    </row>
    <row r="1763" spans="1:10" x14ac:dyDescent="0.35">
      <c r="A1763" t="s">
        <v>1943</v>
      </c>
      <c r="B1763" s="1">
        <v>45971</v>
      </c>
      <c r="C1763" t="s">
        <v>58</v>
      </c>
      <c r="D1763" t="s">
        <v>59</v>
      </c>
      <c r="E1763" t="s">
        <v>60</v>
      </c>
      <c r="F1763" t="s">
        <v>14</v>
      </c>
      <c r="G1763">
        <v>312.81</v>
      </c>
      <c r="H1763" t="s">
        <v>15</v>
      </c>
      <c r="I1763" t="s">
        <v>22</v>
      </c>
      <c r="J1763" t="s">
        <v>61</v>
      </c>
    </row>
    <row r="1764" spans="1:10" x14ac:dyDescent="0.35">
      <c r="A1764" t="s">
        <v>1944</v>
      </c>
      <c r="B1764" s="1">
        <v>45972</v>
      </c>
      <c r="C1764" t="s">
        <v>39</v>
      </c>
      <c r="D1764" t="s">
        <v>34</v>
      </c>
      <c r="E1764" t="s">
        <v>40</v>
      </c>
      <c r="F1764" t="s">
        <v>14</v>
      </c>
      <c r="G1764">
        <v>190.02</v>
      </c>
      <c r="H1764" t="s">
        <v>98</v>
      </c>
      <c r="I1764" t="s">
        <v>47</v>
      </c>
      <c r="J1764" t="s">
        <v>41</v>
      </c>
    </row>
    <row r="1765" spans="1:10" x14ac:dyDescent="0.35">
      <c r="A1765" t="s">
        <v>1945</v>
      </c>
      <c r="B1765" s="1">
        <v>45972</v>
      </c>
      <c r="C1765" t="s">
        <v>253</v>
      </c>
      <c r="D1765" t="s">
        <v>29</v>
      </c>
      <c r="E1765" t="s">
        <v>30</v>
      </c>
      <c r="F1765" t="s">
        <v>14</v>
      </c>
      <c r="G1765">
        <v>36.17</v>
      </c>
      <c r="H1765" t="s">
        <v>21</v>
      </c>
      <c r="I1765" t="s">
        <v>16</v>
      </c>
      <c r="J1765" t="s">
        <v>158</v>
      </c>
    </row>
    <row r="1766" spans="1:10" x14ac:dyDescent="0.35">
      <c r="A1766" t="s">
        <v>1946</v>
      </c>
      <c r="B1766" s="1">
        <v>45972</v>
      </c>
      <c r="C1766" t="s">
        <v>184</v>
      </c>
      <c r="D1766" t="s">
        <v>59</v>
      </c>
      <c r="E1766" t="s">
        <v>185</v>
      </c>
      <c r="F1766" t="s">
        <v>14</v>
      </c>
      <c r="G1766">
        <v>177.03</v>
      </c>
      <c r="H1766" t="s">
        <v>98</v>
      </c>
      <c r="I1766" t="s">
        <v>36</v>
      </c>
      <c r="J1766" t="s">
        <v>61</v>
      </c>
    </row>
    <row r="1767" spans="1:10" x14ac:dyDescent="0.35">
      <c r="A1767" t="s">
        <v>1947</v>
      </c>
      <c r="B1767" s="1">
        <v>45972</v>
      </c>
      <c r="C1767" t="s">
        <v>272</v>
      </c>
      <c r="D1767" t="s">
        <v>54</v>
      </c>
      <c r="E1767" t="s">
        <v>55</v>
      </c>
      <c r="F1767" t="s">
        <v>54</v>
      </c>
      <c r="G1767">
        <v>761.58</v>
      </c>
      <c r="H1767" t="s">
        <v>15</v>
      </c>
      <c r="I1767" t="s">
        <v>36</v>
      </c>
      <c r="J1767" t="s">
        <v>65</v>
      </c>
    </row>
    <row r="1768" spans="1:10" x14ac:dyDescent="0.35">
      <c r="A1768" t="s">
        <v>1948</v>
      </c>
      <c r="B1768" s="1">
        <v>45973</v>
      </c>
      <c r="C1768" t="s">
        <v>143</v>
      </c>
      <c r="D1768" t="s">
        <v>54</v>
      </c>
      <c r="E1768" t="s">
        <v>55</v>
      </c>
      <c r="F1768" t="s">
        <v>54</v>
      </c>
      <c r="G1768">
        <v>627.01</v>
      </c>
      <c r="H1768" t="s">
        <v>21</v>
      </c>
      <c r="I1768" t="s">
        <v>47</v>
      </c>
      <c r="J1768" t="s">
        <v>89</v>
      </c>
    </row>
    <row r="1769" spans="1:10" x14ac:dyDescent="0.35">
      <c r="A1769" t="s">
        <v>1949</v>
      </c>
      <c r="B1769" s="1">
        <v>45973</v>
      </c>
      <c r="C1769" t="s">
        <v>111</v>
      </c>
      <c r="D1769" t="s">
        <v>12</v>
      </c>
      <c r="E1769" t="s">
        <v>26</v>
      </c>
      <c r="F1769" t="s">
        <v>14</v>
      </c>
      <c r="G1769">
        <v>17.12</v>
      </c>
      <c r="H1769" t="s">
        <v>21</v>
      </c>
      <c r="I1769" t="s">
        <v>36</v>
      </c>
      <c r="J1769" t="s">
        <v>23</v>
      </c>
    </row>
    <row r="1770" spans="1:10" x14ac:dyDescent="0.35">
      <c r="A1770" t="s">
        <v>1950</v>
      </c>
      <c r="B1770" s="1">
        <v>45973</v>
      </c>
      <c r="C1770" t="s">
        <v>138</v>
      </c>
      <c r="D1770" t="s">
        <v>12</v>
      </c>
      <c r="E1770" t="s">
        <v>26</v>
      </c>
      <c r="F1770" t="s">
        <v>14</v>
      </c>
      <c r="G1770">
        <v>94.16</v>
      </c>
      <c r="H1770" t="s">
        <v>21</v>
      </c>
      <c r="I1770" t="s">
        <v>84</v>
      </c>
      <c r="J1770" t="s">
        <v>77</v>
      </c>
    </row>
    <row r="1771" spans="1:10" x14ac:dyDescent="0.35">
      <c r="A1771" t="s">
        <v>1951</v>
      </c>
      <c r="B1771" s="1">
        <v>45973</v>
      </c>
      <c r="C1771" t="s">
        <v>113</v>
      </c>
      <c r="D1771" t="s">
        <v>34</v>
      </c>
      <c r="E1771" t="s">
        <v>40</v>
      </c>
      <c r="F1771" t="s">
        <v>14</v>
      </c>
      <c r="G1771">
        <v>70.83</v>
      </c>
      <c r="H1771" t="s">
        <v>98</v>
      </c>
      <c r="I1771" t="s">
        <v>36</v>
      </c>
      <c r="J1771" t="s">
        <v>37</v>
      </c>
    </row>
    <row r="1772" spans="1:10" x14ac:dyDescent="0.35">
      <c r="A1772" t="s">
        <v>1952</v>
      </c>
      <c r="B1772" s="1">
        <v>45974</v>
      </c>
      <c r="C1772" t="s">
        <v>43</v>
      </c>
      <c r="D1772" t="s">
        <v>12</v>
      </c>
      <c r="E1772" t="s">
        <v>26</v>
      </c>
      <c r="F1772" t="s">
        <v>14</v>
      </c>
      <c r="G1772">
        <v>77.56</v>
      </c>
      <c r="H1772" t="s">
        <v>15</v>
      </c>
      <c r="I1772" t="s">
        <v>22</v>
      </c>
      <c r="J1772" t="s">
        <v>44</v>
      </c>
    </row>
    <row r="1773" spans="1:10" x14ac:dyDescent="0.35">
      <c r="A1773" t="s">
        <v>1953</v>
      </c>
      <c r="B1773" s="1">
        <v>45974</v>
      </c>
      <c r="C1773" t="s">
        <v>111</v>
      </c>
      <c r="D1773" t="s">
        <v>12</v>
      </c>
      <c r="E1773" t="s">
        <v>26</v>
      </c>
      <c r="F1773" t="s">
        <v>14</v>
      </c>
      <c r="G1773">
        <v>36.22</v>
      </c>
      <c r="H1773" t="s">
        <v>21</v>
      </c>
      <c r="I1773" t="s">
        <v>36</v>
      </c>
      <c r="J1773" t="s">
        <v>23</v>
      </c>
    </row>
    <row r="1774" spans="1:10" x14ac:dyDescent="0.35">
      <c r="A1774" t="s">
        <v>1954</v>
      </c>
      <c r="B1774" s="1">
        <v>45974</v>
      </c>
      <c r="C1774" t="s">
        <v>198</v>
      </c>
      <c r="D1774" t="s">
        <v>59</v>
      </c>
      <c r="E1774" t="s">
        <v>199</v>
      </c>
      <c r="F1774" t="s">
        <v>14</v>
      </c>
      <c r="G1774">
        <v>119.48</v>
      </c>
      <c r="H1774" t="s">
        <v>21</v>
      </c>
      <c r="I1774" t="s">
        <v>22</v>
      </c>
      <c r="J1774" t="s">
        <v>61</v>
      </c>
    </row>
    <row r="1775" spans="1:10" x14ac:dyDescent="0.35">
      <c r="A1775" t="s">
        <v>1955</v>
      </c>
      <c r="B1775" s="1">
        <v>45974</v>
      </c>
      <c r="C1775" t="s">
        <v>281</v>
      </c>
      <c r="D1775" t="s">
        <v>34</v>
      </c>
      <c r="E1775" t="s">
        <v>40</v>
      </c>
      <c r="F1775" t="s">
        <v>14</v>
      </c>
      <c r="G1775">
        <v>47.17</v>
      </c>
      <c r="H1775" t="s">
        <v>15</v>
      </c>
      <c r="I1775" t="s">
        <v>22</v>
      </c>
      <c r="J1775" t="s">
        <v>123</v>
      </c>
    </row>
    <row r="1776" spans="1:10" x14ac:dyDescent="0.35">
      <c r="A1776" t="s">
        <v>1956</v>
      </c>
      <c r="B1776" s="1">
        <v>45974</v>
      </c>
      <c r="C1776" t="s">
        <v>415</v>
      </c>
      <c r="D1776" t="s">
        <v>12</v>
      </c>
      <c r="E1776" t="s">
        <v>51</v>
      </c>
      <c r="F1776" t="s">
        <v>14</v>
      </c>
      <c r="G1776">
        <v>60.51</v>
      </c>
      <c r="H1776" t="s">
        <v>21</v>
      </c>
      <c r="I1776" t="s">
        <v>47</v>
      </c>
      <c r="J1776" t="s">
        <v>77</v>
      </c>
    </row>
    <row r="1777" spans="1:10" x14ac:dyDescent="0.35">
      <c r="A1777" t="s">
        <v>1957</v>
      </c>
      <c r="B1777" s="1">
        <v>45975</v>
      </c>
      <c r="C1777" t="s">
        <v>238</v>
      </c>
      <c r="D1777" t="s">
        <v>34</v>
      </c>
      <c r="E1777" t="s">
        <v>35</v>
      </c>
      <c r="F1777" t="s">
        <v>14</v>
      </c>
      <c r="G1777">
        <v>102.06</v>
      </c>
      <c r="H1777" t="s">
        <v>15</v>
      </c>
      <c r="I1777" t="s">
        <v>22</v>
      </c>
      <c r="J1777" t="s">
        <v>239</v>
      </c>
    </row>
    <row r="1778" spans="1:10" x14ac:dyDescent="0.35">
      <c r="A1778" t="s">
        <v>1958</v>
      </c>
      <c r="B1778" s="1">
        <v>45975</v>
      </c>
      <c r="C1778" t="s">
        <v>580</v>
      </c>
      <c r="D1778" t="s">
        <v>80</v>
      </c>
      <c r="E1778" t="s">
        <v>81</v>
      </c>
      <c r="F1778" t="s">
        <v>14</v>
      </c>
      <c r="G1778">
        <v>41.33</v>
      </c>
      <c r="H1778" t="s">
        <v>15</v>
      </c>
      <c r="I1778" t="s">
        <v>22</v>
      </c>
      <c r="J1778" t="s">
        <v>118</v>
      </c>
    </row>
    <row r="1779" spans="1:10" x14ac:dyDescent="0.35">
      <c r="A1779" t="s">
        <v>1959</v>
      </c>
      <c r="B1779" s="1">
        <v>45975</v>
      </c>
      <c r="C1779" t="s">
        <v>215</v>
      </c>
      <c r="D1779" t="s">
        <v>80</v>
      </c>
      <c r="E1779" t="s">
        <v>117</v>
      </c>
      <c r="F1779" t="s">
        <v>14</v>
      </c>
      <c r="G1779">
        <v>44.5</v>
      </c>
      <c r="H1779" t="s">
        <v>15</v>
      </c>
      <c r="I1779" t="s">
        <v>36</v>
      </c>
      <c r="J1779" t="s">
        <v>141</v>
      </c>
    </row>
    <row r="1780" spans="1:10" x14ac:dyDescent="0.35">
      <c r="A1780" t="s">
        <v>1960</v>
      </c>
      <c r="B1780" s="1">
        <v>45975</v>
      </c>
      <c r="C1780" t="s">
        <v>130</v>
      </c>
      <c r="D1780" t="s">
        <v>12</v>
      </c>
      <c r="E1780" t="s">
        <v>26</v>
      </c>
      <c r="F1780" t="s">
        <v>14</v>
      </c>
      <c r="G1780">
        <v>28.47</v>
      </c>
      <c r="H1780" t="s">
        <v>15</v>
      </c>
      <c r="I1780" t="s">
        <v>22</v>
      </c>
      <c r="J1780" t="s">
        <v>48</v>
      </c>
    </row>
    <row r="1781" spans="1:10" x14ac:dyDescent="0.35">
      <c r="A1781" t="s">
        <v>1961</v>
      </c>
      <c r="B1781" s="1">
        <v>45975</v>
      </c>
      <c r="C1781" t="s">
        <v>43</v>
      </c>
      <c r="D1781" t="s">
        <v>12</v>
      </c>
      <c r="E1781" t="s">
        <v>26</v>
      </c>
      <c r="F1781" t="s">
        <v>14</v>
      </c>
      <c r="G1781">
        <v>101.79</v>
      </c>
      <c r="H1781" t="s">
        <v>21</v>
      </c>
      <c r="I1781" t="s">
        <v>47</v>
      </c>
      <c r="J1781" t="s">
        <v>44</v>
      </c>
    </row>
    <row r="1782" spans="1:10" x14ac:dyDescent="0.35">
      <c r="A1782" t="s">
        <v>1962</v>
      </c>
      <c r="B1782" s="1">
        <v>45975</v>
      </c>
      <c r="C1782" t="s">
        <v>130</v>
      </c>
      <c r="D1782" t="s">
        <v>12</v>
      </c>
      <c r="E1782" t="s">
        <v>26</v>
      </c>
      <c r="F1782" t="s">
        <v>14</v>
      </c>
      <c r="G1782">
        <v>41.83</v>
      </c>
      <c r="H1782" t="s">
        <v>15</v>
      </c>
      <c r="I1782" t="s">
        <v>36</v>
      </c>
      <c r="J1782" t="s">
        <v>48</v>
      </c>
    </row>
    <row r="1783" spans="1:10" x14ac:dyDescent="0.35">
      <c r="A1783" t="s">
        <v>1963</v>
      </c>
      <c r="B1783" s="1">
        <v>45975</v>
      </c>
      <c r="C1783" t="s">
        <v>100</v>
      </c>
      <c r="D1783" t="s">
        <v>101</v>
      </c>
      <c r="E1783" t="s">
        <v>102</v>
      </c>
      <c r="F1783" t="s">
        <v>14</v>
      </c>
      <c r="G1783">
        <v>186.19</v>
      </c>
      <c r="H1783" t="s">
        <v>21</v>
      </c>
      <c r="I1783" t="s">
        <v>36</v>
      </c>
      <c r="J1783" t="s">
        <v>103</v>
      </c>
    </row>
    <row r="1784" spans="1:10" x14ac:dyDescent="0.35">
      <c r="A1784" t="s">
        <v>1964</v>
      </c>
      <c r="B1784" s="1">
        <v>45975</v>
      </c>
      <c r="C1784" t="s">
        <v>53</v>
      </c>
      <c r="D1784" t="s">
        <v>54</v>
      </c>
      <c r="E1784" t="s">
        <v>55</v>
      </c>
      <c r="F1784" t="s">
        <v>54</v>
      </c>
      <c r="G1784">
        <v>661</v>
      </c>
      <c r="H1784" t="s">
        <v>21</v>
      </c>
      <c r="I1784" t="s">
        <v>16</v>
      </c>
      <c r="J1784" t="s">
        <v>56</v>
      </c>
    </row>
    <row r="1785" spans="1:10" x14ac:dyDescent="0.35">
      <c r="A1785" t="s">
        <v>1965</v>
      </c>
      <c r="B1785" s="1">
        <v>45976</v>
      </c>
      <c r="C1785" t="s">
        <v>184</v>
      </c>
      <c r="D1785" t="s">
        <v>59</v>
      </c>
      <c r="E1785" t="s">
        <v>185</v>
      </c>
      <c r="F1785" t="s">
        <v>14</v>
      </c>
      <c r="G1785">
        <v>146.26</v>
      </c>
      <c r="H1785" t="s">
        <v>15</v>
      </c>
      <c r="I1785" t="s">
        <v>36</v>
      </c>
      <c r="J1785" t="s">
        <v>61</v>
      </c>
    </row>
    <row r="1786" spans="1:10" x14ac:dyDescent="0.35">
      <c r="A1786" t="s">
        <v>1966</v>
      </c>
      <c r="B1786" s="1">
        <v>45976</v>
      </c>
      <c r="C1786" t="s">
        <v>172</v>
      </c>
      <c r="D1786" t="s">
        <v>101</v>
      </c>
      <c r="E1786" t="s">
        <v>102</v>
      </c>
      <c r="F1786" t="s">
        <v>14</v>
      </c>
      <c r="G1786">
        <v>49.36</v>
      </c>
      <c r="H1786" t="s">
        <v>98</v>
      </c>
      <c r="I1786" t="s">
        <v>16</v>
      </c>
      <c r="J1786" t="s">
        <v>102</v>
      </c>
    </row>
    <row r="1787" spans="1:10" x14ac:dyDescent="0.35">
      <c r="A1787" t="s">
        <v>1967</v>
      </c>
      <c r="B1787" s="1">
        <v>45976</v>
      </c>
      <c r="C1787" t="s">
        <v>73</v>
      </c>
      <c r="D1787" t="s">
        <v>54</v>
      </c>
      <c r="E1787" t="s">
        <v>74</v>
      </c>
      <c r="F1787" t="s">
        <v>54</v>
      </c>
      <c r="G1787">
        <v>2726.36</v>
      </c>
      <c r="H1787" t="s">
        <v>21</v>
      </c>
      <c r="I1787" t="s">
        <v>36</v>
      </c>
      <c r="J1787" t="s">
        <v>65</v>
      </c>
    </row>
    <row r="1788" spans="1:10" x14ac:dyDescent="0.35">
      <c r="A1788" t="s">
        <v>1968</v>
      </c>
      <c r="B1788" s="1">
        <v>45976</v>
      </c>
      <c r="C1788" t="s">
        <v>88</v>
      </c>
      <c r="D1788" t="s">
        <v>54</v>
      </c>
      <c r="E1788" t="s">
        <v>74</v>
      </c>
      <c r="F1788" t="s">
        <v>54</v>
      </c>
      <c r="G1788">
        <v>2520.75</v>
      </c>
      <c r="H1788" t="s">
        <v>21</v>
      </c>
      <c r="I1788" t="s">
        <v>47</v>
      </c>
      <c r="J1788" t="s">
        <v>89</v>
      </c>
    </row>
    <row r="1789" spans="1:10" x14ac:dyDescent="0.35">
      <c r="A1789" t="s">
        <v>1969</v>
      </c>
      <c r="B1789" s="1">
        <v>45977</v>
      </c>
      <c r="C1789" t="s">
        <v>308</v>
      </c>
      <c r="D1789" t="s">
        <v>54</v>
      </c>
      <c r="E1789" t="s">
        <v>64</v>
      </c>
      <c r="F1789" t="s">
        <v>54</v>
      </c>
      <c r="G1789">
        <v>334.57</v>
      </c>
      <c r="H1789" t="s">
        <v>21</v>
      </c>
      <c r="I1789" t="s">
        <v>22</v>
      </c>
      <c r="J1789" t="s">
        <v>89</v>
      </c>
    </row>
    <row r="1790" spans="1:10" x14ac:dyDescent="0.35">
      <c r="A1790" t="s">
        <v>1970</v>
      </c>
      <c r="B1790" s="1">
        <v>45977</v>
      </c>
      <c r="C1790" t="s">
        <v>198</v>
      </c>
      <c r="D1790" t="s">
        <v>59</v>
      </c>
      <c r="E1790" t="s">
        <v>199</v>
      </c>
      <c r="F1790" t="s">
        <v>14</v>
      </c>
      <c r="G1790">
        <v>210.65</v>
      </c>
      <c r="H1790" t="s">
        <v>21</v>
      </c>
      <c r="I1790" t="s">
        <v>22</v>
      </c>
      <c r="J1790" t="s">
        <v>61</v>
      </c>
    </row>
    <row r="1791" spans="1:10" x14ac:dyDescent="0.35">
      <c r="A1791" t="s">
        <v>1971</v>
      </c>
      <c r="B1791" s="1">
        <v>45977</v>
      </c>
      <c r="C1791" t="s">
        <v>25</v>
      </c>
      <c r="D1791" t="s">
        <v>12</v>
      </c>
      <c r="E1791" t="s">
        <v>26</v>
      </c>
      <c r="F1791" t="s">
        <v>14</v>
      </c>
      <c r="G1791">
        <v>88.29</v>
      </c>
      <c r="H1791" t="s">
        <v>15</v>
      </c>
      <c r="I1791" t="s">
        <v>22</v>
      </c>
      <c r="J1791" t="s">
        <v>17</v>
      </c>
    </row>
    <row r="1792" spans="1:10" x14ac:dyDescent="0.35">
      <c r="A1792" t="s">
        <v>1972</v>
      </c>
      <c r="B1792" s="1">
        <v>45977</v>
      </c>
      <c r="C1792" t="s">
        <v>259</v>
      </c>
      <c r="D1792" t="s">
        <v>169</v>
      </c>
      <c r="E1792" t="s">
        <v>199</v>
      </c>
      <c r="F1792" t="s">
        <v>14</v>
      </c>
      <c r="G1792">
        <v>364.37</v>
      </c>
      <c r="H1792" t="s">
        <v>21</v>
      </c>
      <c r="I1792" t="s">
        <v>22</v>
      </c>
      <c r="J1792" t="s">
        <v>170</v>
      </c>
    </row>
    <row r="1793" spans="1:10" x14ac:dyDescent="0.35">
      <c r="A1793" t="s">
        <v>1973</v>
      </c>
      <c r="B1793" s="1">
        <v>45977</v>
      </c>
      <c r="C1793" t="s">
        <v>58</v>
      </c>
      <c r="D1793" t="s">
        <v>59</v>
      </c>
      <c r="E1793" t="s">
        <v>60</v>
      </c>
      <c r="F1793" t="s">
        <v>14</v>
      </c>
      <c r="G1793">
        <v>781.37</v>
      </c>
      <c r="H1793" t="s">
        <v>15</v>
      </c>
      <c r="I1793" t="s">
        <v>22</v>
      </c>
      <c r="J1793" t="s">
        <v>61</v>
      </c>
    </row>
    <row r="1794" spans="1:10" x14ac:dyDescent="0.35">
      <c r="A1794" t="s">
        <v>1974</v>
      </c>
      <c r="B1794" s="1">
        <v>45977</v>
      </c>
      <c r="C1794" t="s">
        <v>229</v>
      </c>
      <c r="D1794" t="s">
        <v>54</v>
      </c>
      <c r="E1794" t="s">
        <v>64</v>
      </c>
      <c r="F1794" t="s">
        <v>54</v>
      </c>
      <c r="G1794">
        <v>352.41</v>
      </c>
      <c r="H1794" t="s">
        <v>21</v>
      </c>
      <c r="I1794" t="s">
        <v>36</v>
      </c>
      <c r="J1794" t="s">
        <v>56</v>
      </c>
    </row>
    <row r="1795" spans="1:10" x14ac:dyDescent="0.35">
      <c r="A1795" t="s">
        <v>1975</v>
      </c>
      <c r="B1795" s="1">
        <v>45978</v>
      </c>
      <c r="C1795" t="s">
        <v>324</v>
      </c>
      <c r="D1795" t="s">
        <v>80</v>
      </c>
      <c r="E1795" t="s">
        <v>92</v>
      </c>
      <c r="F1795" t="s">
        <v>14</v>
      </c>
      <c r="G1795">
        <v>143.88999999999999</v>
      </c>
      <c r="H1795" t="s">
        <v>15</v>
      </c>
      <c r="I1795" t="s">
        <v>22</v>
      </c>
      <c r="J1795" t="s">
        <v>161</v>
      </c>
    </row>
    <row r="1796" spans="1:10" x14ac:dyDescent="0.35">
      <c r="A1796" t="s">
        <v>1976</v>
      </c>
      <c r="B1796" s="1">
        <v>45978</v>
      </c>
      <c r="C1796" t="s">
        <v>79</v>
      </c>
      <c r="D1796" t="s">
        <v>80</v>
      </c>
      <c r="E1796" t="s">
        <v>81</v>
      </c>
      <c r="F1796" t="s">
        <v>14</v>
      </c>
      <c r="G1796">
        <v>76.78</v>
      </c>
      <c r="H1796" t="s">
        <v>15</v>
      </c>
      <c r="I1796" t="s">
        <v>36</v>
      </c>
      <c r="J1796" t="s">
        <v>82</v>
      </c>
    </row>
    <row r="1797" spans="1:10" x14ac:dyDescent="0.35">
      <c r="A1797" t="s">
        <v>1977</v>
      </c>
      <c r="B1797" s="1">
        <v>45978</v>
      </c>
      <c r="C1797" t="s">
        <v>39</v>
      </c>
      <c r="D1797" t="s">
        <v>34</v>
      </c>
      <c r="E1797" t="s">
        <v>40</v>
      </c>
      <c r="F1797" t="s">
        <v>14</v>
      </c>
      <c r="G1797">
        <v>67.150000000000006</v>
      </c>
      <c r="H1797" t="s">
        <v>21</v>
      </c>
      <c r="I1797" t="s">
        <v>36</v>
      </c>
      <c r="J1797" t="s">
        <v>41</v>
      </c>
    </row>
    <row r="1798" spans="1:10" x14ac:dyDescent="0.35">
      <c r="A1798" t="s">
        <v>1978</v>
      </c>
      <c r="B1798" s="1">
        <v>45978</v>
      </c>
      <c r="C1798" t="s">
        <v>184</v>
      </c>
      <c r="D1798" t="s">
        <v>59</v>
      </c>
      <c r="E1798" t="s">
        <v>185</v>
      </c>
      <c r="F1798" t="s">
        <v>14</v>
      </c>
      <c r="G1798">
        <v>155.74</v>
      </c>
      <c r="H1798" t="s">
        <v>15</v>
      </c>
      <c r="I1798" t="s">
        <v>22</v>
      </c>
      <c r="J1798" t="s">
        <v>61</v>
      </c>
    </row>
    <row r="1799" spans="1:10" x14ac:dyDescent="0.35">
      <c r="A1799" t="s">
        <v>1979</v>
      </c>
      <c r="B1799" s="1">
        <v>45979</v>
      </c>
      <c r="C1799" t="s">
        <v>68</v>
      </c>
      <c r="D1799" t="s">
        <v>69</v>
      </c>
      <c r="E1799" t="s">
        <v>70</v>
      </c>
      <c r="F1799" t="s">
        <v>14</v>
      </c>
      <c r="G1799">
        <v>506.01</v>
      </c>
      <c r="H1799" t="s">
        <v>21</v>
      </c>
      <c r="I1799" t="s">
        <v>22</v>
      </c>
      <c r="J1799" t="s">
        <v>71</v>
      </c>
    </row>
    <row r="1800" spans="1:10" x14ac:dyDescent="0.35">
      <c r="A1800" t="s">
        <v>1980</v>
      </c>
      <c r="B1800" s="1">
        <v>45979</v>
      </c>
      <c r="C1800" t="s">
        <v>445</v>
      </c>
      <c r="D1800" t="s">
        <v>101</v>
      </c>
      <c r="E1800" t="s">
        <v>244</v>
      </c>
      <c r="F1800" t="s">
        <v>14</v>
      </c>
      <c r="G1800">
        <v>17.350000000000001</v>
      </c>
      <c r="H1800" t="s">
        <v>15</v>
      </c>
      <c r="I1800" t="s">
        <v>36</v>
      </c>
      <c r="J1800" t="s">
        <v>103</v>
      </c>
    </row>
    <row r="1801" spans="1:10" x14ac:dyDescent="0.35">
      <c r="A1801" t="s">
        <v>1981</v>
      </c>
      <c r="B1801" s="1">
        <v>45979</v>
      </c>
      <c r="C1801" t="s">
        <v>424</v>
      </c>
      <c r="D1801" t="s">
        <v>101</v>
      </c>
      <c r="E1801" t="s">
        <v>136</v>
      </c>
      <c r="F1801" t="s">
        <v>14</v>
      </c>
      <c r="G1801">
        <v>79.69</v>
      </c>
      <c r="H1801" t="s">
        <v>15</v>
      </c>
      <c r="I1801" t="s">
        <v>84</v>
      </c>
      <c r="J1801" t="s">
        <v>102</v>
      </c>
    </row>
    <row r="1802" spans="1:10" x14ac:dyDescent="0.35">
      <c r="A1802" t="s">
        <v>1982</v>
      </c>
      <c r="B1802" s="1">
        <v>45979</v>
      </c>
      <c r="C1802" t="s">
        <v>125</v>
      </c>
      <c r="D1802" t="s">
        <v>12</v>
      </c>
      <c r="E1802" t="s">
        <v>13</v>
      </c>
      <c r="F1802" t="s">
        <v>14</v>
      </c>
      <c r="G1802">
        <v>80.59</v>
      </c>
      <c r="H1802" t="s">
        <v>21</v>
      </c>
      <c r="I1802" t="s">
        <v>36</v>
      </c>
      <c r="J1802" t="s">
        <v>44</v>
      </c>
    </row>
    <row r="1803" spans="1:10" x14ac:dyDescent="0.35">
      <c r="A1803" t="s">
        <v>1983</v>
      </c>
      <c r="B1803" s="1">
        <v>45979</v>
      </c>
      <c r="C1803" t="s">
        <v>46</v>
      </c>
      <c r="D1803" t="s">
        <v>12</v>
      </c>
      <c r="E1803" t="s">
        <v>13</v>
      </c>
      <c r="F1803" t="s">
        <v>14</v>
      </c>
      <c r="G1803">
        <v>51.96</v>
      </c>
      <c r="H1803" t="s">
        <v>15</v>
      </c>
      <c r="I1803" t="s">
        <v>47</v>
      </c>
      <c r="J1803" t="s">
        <v>48</v>
      </c>
    </row>
    <row r="1804" spans="1:10" x14ac:dyDescent="0.35">
      <c r="A1804" t="s">
        <v>1984</v>
      </c>
      <c r="B1804" s="1">
        <v>45979</v>
      </c>
      <c r="C1804" t="s">
        <v>113</v>
      </c>
      <c r="D1804" t="s">
        <v>34</v>
      </c>
      <c r="E1804" t="s">
        <v>40</v>
      </c>
      <c r="F1804" t="s">
        <v>14</v>
      </c>
      <c r="G1804">
        <v>65.36</v>
      </c>
      <c r="H1804" t="s">
        <v>15</v>
      </c>
      <c r="I1804" t="s">
        <v>36</v>
      </c>
      <c r="J1804" t="s">
        <v>37</v>
      </c>
    </row>
    <row r="1805" spans="1:10" x14ac:dyDescent="0.35">
      <c r="A1805" t="s">
        <v>1985</v>
      </c>
      <c r="B1805" s="1">
        <v>45979</v>
      </c>
      <c r="C1805" t="s">
        <v>324</v>
      </c>
      <c r="D1805" t="s">
        <v>80</v>
      </c>
      <c r="E1805" t="s">
        <v>92</v>
      </c>
      <c r="F1805" t="s">
        <v>14</v>
      </c>
      <c r="G1805">
        <v>131.62</v>
      </c>
      <c r="H1805" t="s">
        <v>15</v>
      </c>
      <c r="I1805" t="s">
        <v>22</v>
      </c>
      <c r="J1805" t="s">
        <v>161</v>
      </c>
    </row>
    <row r="1806" spans="1:10" x14ac:dyDescent="0.35">
      <c r="A1806" t="s">
        <v>1986</v>
      </c>
      <c r="B1806" s="1">
        <v>45979</v>
      </c>
      <c r="C1806" t="s">
        <v>19</v>
      </c>
      <c r="D1806" t="s">
        <v>12</v>
      </c>
      <c r="E1806" t="s">
        <v>13</v>
      </c>
      <c r="F1806" t="s">
        <v>14</v>
      </c>
      <c r="G1806">
        <v>46.6</v>
      </c>
      <c r="H1806" t="s">
        <v>15</v>
      </c>
      <c r="I1806" t="s">
        <v>22</v>
      </c>
      <c r="J1806" t="s">
        <v>23</v>
      </c>
    </row>
    <row r="1807" spans="1:10" x14ac:dyDescent="0.35">
      <c r="A1807" t="s">
        <v>1987</v>
      </c>
      <c r="B1807" s="1">
        <v>45980</v>
      </c>
      <c r="C1807" t="s">
        <v>308</v>
      </c>
      <c r="D1807" t="s">
        <v>54</v>
      </c>
      <c r="E1807" t="s">
        <v>64</v>
      </c>
      <c r="F1807" t="s">
        <v>54</v>
      </c>
      <c r="G1807">
        <v>353.47</v>
      </c>
      <c r="H1807" t="s">
        <v>21</v>
      </c>
      <c r="I1807" t="s">
        <v>36</v>
      </c>
      <c r="J1807" t="s">
        <v>89</v>
      </c>
    </row>
    <row r="1808" spans="1:10" x14ac:dyDescent="0.35">
      <c r="A1808" t="s">
        <v>1988</v>
      </c>
      <c r="B1808" s="1">
        <v>45980</v>
      </c>
      <c r="C1808" t="s">
        <v>206</v>
      </c>
      <c r="D1808" t="s">
        <v>29</v>
      </c>
      <c r="E1808" t="s">
        <v>95</v>
      </c>
      <c r="F1808" t="s">
        <v>14</v>
      </c>
      <c r="G1808">
        <v>26.52</v>
      </c>
      <c r="H1808" t="s">
        <v>15</v>
      </c>
      <c r="I1808" t="s">
        <v>22</v>
      </c>
      <c r="J1808" t="s">
        <v>31</v>
      </c>
    </row>
    <row r="1809" spans="1:10" x14ac:dyDescent="0.35">
      <c r="A1809" t="s">
        <v>1989</v>
      </c>
      <c r="B1809" s="1">
        <v>45980</v>
      </c>
      <c r="C1809" t="s">
        <v>177</v>
      </c>
      <c r="D1809" t="s">
        <v>54</v>
      </c>
      <c r="E1809" t="s">
        <v>74</v>
      </c>
      <c r="F1809" t="s">
        <v>54</v>
      </c>
      <c r="G1809">
        <v>2516.69</v>
      </c>
      <c r="H1809" t="s">
        <v>21</v>
      </c>
      <c r="I1809" t="s">
        <v>16</v>
      </c>
      <c r="J1809" t="s">
        <v>56</v>
      </c>
    </row>
    <row r="1810" spans="1:10" x14ac:dyDescent="0.35">
      <c r="A1810" t="s">
        <v>1990</v>
      </c>
      <c r="B1810" s="1">
        <v>45981</v>
      </c>
      <c r="C1810" t="s">
        <v>229</v>
      </c>
      <c r="D1810" t="s">
        <v>54</v>
      </c>
      <c r="E1810" t="s">
        <v>64</v>
      </c>
      <c r="F1810" t="s">
        <v>54</v>
      </c>
      <c r="G1810">
        <v>362.89</v>
      </c>
      <c r="H1810" t="s">
        <v>98</v>
      </c>
      <c r="I1810" t="s">
        <v>22</v>
      </c>
      <c r="J1810" t="s">
        <v>56</v>
      </c>
    </row>
    <row r="1811" spans="1:10" x14ac:dyDescent="0.35">
      <c r="A1811" t="s">
        <v>1991</v>
      </c>
      <c r="B1811" s="1">
        <v>45981</v>
      </c>
      <c r="C1811" t="s">
        <v>168</v>
      </c>
      <c r="D1811" t="s">
        <v>59</v>
      </c>
      <c r="E1811" t="s">
        <v>60</v>
      </c>
      <c r="F1811" t="s">
        <v>14</v>
      </c>
      <c r="G1811">
        <v>255.3</v>
      </c>
      <c r="H1811" t="s">
        <v>15</v>
      </c>
      <c r="I1811" t="s">
        <v>47</v>
      </c>
      <c r="J1811" t="s">
        <v>170</v>
      </c>
    </row>
    <row r="1812" spans="1:10" x14ac:dyDescent="0.35">
      <c r="A1812" t="s">
        <v>1992</v>
      </c>
      <c r="B1812" s="1">
        <v>45981</v>
      </c>
      <c r="C1812" t="s">
        <v>53</v>
      </c>
      <c r="D1812" t="s">
        <v>54</v>
      </c>
      <c r="E1812" t="s">
        <v>55</v>
      </c>
      <c r="F1812" t="s">
        <v>54</v>
      </c>
      <c r="G1812">
        <v>620.26</v>
      </c>
      <c r="H1812" t="s">
        <v>15</v>
      </c>
      <c r="I1812" t="s">
        <v>36</v>
      </c>
      <c r="J1812" t="s">
        <v>56</v>
      </c>
    </row>
    <row r="1813" spans="1:10" x14ac:dyDescent="0.35">
      <c r="A1813" t="s">
        <v>1993</v>
      </c>
      <c r="B1813" s="1">
        <v>45981</v>
      </c>
      <c r="C1813" t="s">
        <v>259</v>
      </c>
      <c r="D1813" t="s">
        <v>59</v>
      </c>
      <c r="E1813" t="s">
        <v>199</v>
      </c>
      <c r="F1813" t="s">
        <v>14</v>
      </c>
      <c r="G1813">
        <v>272.97000000000003</v>
      </c>
      <c r="H1813" t="s">
        <v>15</v>
      </c>
      <c r="I1813" t="s">
        <v>36</v>
      </c>
      <c r="J1813" t="s">
        <v>170</v>
      </c>
    </row>
    <row r="1814" spans="1:10" x14ac:dyDescent="0.35">
      <c r="A1814" t="s">
        <v>1994</v>
      </c>
      <c r="B1814" s="1">
        <v>45981</v>
      </c>
      <c r="C1814" t="s">
        <v>39</v>
      </c>
      <c r="D1814" t="s">
        <v>34</v>
      </c>
      <c r="E1814" t="s">
        <v>40</v>
      </c>
      <c r="F1814" t="s">
        <v>14</v>
      </c>
      <c r="G1814">
        <v>124.31</v>
      </c>
      <c r="H1814" t="s">
        <v>15</v>
      </c>
      <c r="I1814" t="s">
        <v>84</v>
      </c>
      <c r="J1814" t="s">
        <v>41</v>
      </c>
    </row>
    <row r="1815" spans="1:10" x14ac:dyDescent="0.35">
      <c r="A1815" t="s">
        <v>1995</v>
      </c>
      <c r="B1815" s="1">
        <v>45981</v>
      </c>
      <c r="C1815" t="s">
        <v>130</v>
      </c>
      <c r="D1815" t="s">
        <v>12</v>
      </c>
      <c r="E1815" t="s">
        <v>26</v>
      </c>
      <c r="F1815" t="s">
        <v>14</v>
      </c>
      <c r="G1815">
        <v>17.239999999999998</v>
      </c>
      <c r="H1815" t="s">
        <v>15</v>
      </c>
      <c r="I1815" t="s">
        <v>36</v>
      </c>
      <c r="J1815" t="s">
        <v>48</v>
      </c>
    </row>
    <row r="1816" spans="1:10" x14ac:dyDescent="0.35">
      <c r="A1816" t="s">
        <v>1996</v>
      </c>
      <c r="B1816" s="1">
        <v>45981</v>
      </c>
      <c r="C1816" t="s">
        <v>411</v>
      </c>
      <c r="D1816" t="s">
        <v>29</v>
      </c>
      <c r="E1816" t="s">
        <v>151</v>
      </c>
      <c r="F1816" t="s">
        <v>14</v>
      </c>
      <c r="G1816">
        <v>70.11</v>
      </c>
      <c r="H1816" t="s">
        <v>15</v>
      </c>
      <c r="I1816" t="s">
        <v>16</v>
      </c>
      <c r="J1816" t="s">
        <v>151</v>
      </c>
    </row>
    <row r="1817" spans="1:10" x14ac:dyDescent="0.35">
      <c r="A1817" t="s">
        <v>1997</v>
      </c>
      <c r="B1817" s="1">
        <v>45982</v>
      </c>
      <c r="C1817" t="s">
        <v>63</v>
      </c>
      <c r="D1817" t="s">
        <v>54</v>
      </c>
      <c r="E1817" t="s">
        <v>64</v>
      </c>
      <c r="F1817" t="s">
        <v>54</v>
      </c>
      <c r="G1817">
        <v>356.59</v>
      </c>
      <c r="H1817" t="s">
        <v>15</v>
      </c>
      <c r="I1817" t="s">
        <v>84</v>
      </c>
      <c r="J1817" t="s">
        <v>65</v>
      </c>
    </row>
    <row r="1818" spans="1:10" x14ac:dyDescent="0.35">
      <c r="A1818" t="s">
        <v>1998</v>
      </c>
      <c r="B1818" s="1">
        <v>45982</v>
      </c>
      <c r="C1818" t="s">
        <v>63</v>
      </c>
      <c r="D1818" t="s">
        <v>54</v>
      </c>
      <c r="E1818" t="s">
        <v>64</v>
      </c>
      <c r="F1818" t="s">
        <v>54</v>
      </c>
      <c r="G1818">
        <v>410.69</v>
      </c>
      <c r="H1818" t="s">
        <v>15</v>
      </c>
      <c r="I1818" t="s">
        <v>22</v>
      </c>
      <c r="J1818" t="s">
        <v>65</v>
      </c>
    </row>
    <row r="1819" spans="1:10" x14ac:dyDescent="0.35">
      <c r="A1819" t="s">
        <v>1999</v>
      </c>
      <c r="B1819" s="1">
        <v>45982</v>
      </c>
      <c r="C1819" t="s">
        <v>464</v>
      </c>
      <c r="D1819" t="s">
        <v>34</v>
      </c>
      <c r="E1819" t="s">
        <v>122</v>
      </c>
      <c r="F1819" t="s">
        <v>14</v>
      </c>
      <c r="G1819">
        <v>191.09</v>
      </c>
      <c r="H1819" t="s">
        <v>15</v>
      </c>
      <c r="I1819" t="s">
        <v>36</v>
      </c>
      <c r="J1819" t="s">
        <v>239</v>
      </c>
    </row>
    <row r="1820" spans="1:10" x14ac:dyDescent="0.35">
      <c r="A1820" t="s">
        <v>2000</v>
      </c>
      <c r="B1820" s="1">
        <v>45982</v>
      </c>
      <c r="C1820" t="s">
        <v>1491</v>
      </c>
      <c r="D1820" t="s">
        <v>69</v>
      </c>
      <c r="E1820" t="s">
        <v>233</v>
      </c>
      <c r="F1820" t="s">
        <v>14</v>
      </c>
      <c r="G1820">
        <v>712.69</v>
      </c>
      <c r="H1820" t="s">
        <v>21</v>
      </c>
      <c r="I1820" t="s">
        <v>22</v>
      </c>
      <c r="J1820" t="s">
        <v>396</v>
      </c>
    </row>
    <row r="1821" spans="1:10" x14ac:dyDescent="0.35">
      <c r="A1821" t="s">
        <v>2001</v>
      </c>
      <c r="B1821" s="1">
        <v>45982</v>
      </c>
      <c r="C1821" t="s">
        <v>168</v>
      </c>
      <c r="D1821" t="s">
        <v>59</v>
      </c>
      <c r="E1821" t="s">
        <v>60</v>
      </c>
      <c r="F1821" t="s">
        <v>14</v>
      </c>
      <c r="G1821">
        <v>167.6</v>
      </c>
      <c r="H1821" t="s">
        <v>21</v>
      </c>
      <c r="I1821" t="s">
        <v>16</v>
      </c>
      <c r="J1821" t="s">
        <v>170</v>
      </c>
    </row>
    <row r="1822" spans="1:10" x14ac:dyDescent="0.35">
      <c r="A1822" t="s">
        <v>2002</v>
      </c>
      <c r="B1822" s="1">
        <v>45983</v>
      </c>
      <c r="C1822" t="s">
        <v>350</v>
      </c>
      <c r="D1822" t="s">
        <v>29</v>
      </c>
      <c r="E1822" t="s">
        <v>151</v>
      </c>
      <c r="F1822" t="s">
        <v>14</v>
      </c>
      <c r="G1822">
        <v>28.59</v>
      </c>
      <c r="H1822" t="s">
        <v>21</v>
      </c>
      <c r="I1822" t="s">
        <v>22</v>
      </c>
      <c r="J1822" t="s">
        <v>158</v>
      </c>
    </row>
    <row r="1823" spans="1:10" x14ac:dyDescent="0.35">
      <c r="A1823" t="s">
        <v>2003</v>
      </c>
      <c r="B1823" s="1">
        <v>45983</v>
      </c>
      <c r="C1823" t="s">
        <v>111</v>
      </c>
      <c r="D1823" t="s">
        <v>12</v>
      </c>
      <c r="E1823" t="s">
        <v>26</v>
      </c>
      <c r="F1823" t="s">
        <v>14</v>
      </c>
      <c r="G1823">
        <v>26.12</v>
      </c>
      <c r="H1823" t="s">
        <v>15</v>
      </c>
      <c r="I1823" t="s">
        <v>22</v>
      </c>
      <c r="J1823" t="s">
        <v>23</v>
      </c>
    </row>
    <row r="1824" spans="1:10" x14ac:dyDescent="0.35">
      <c r="A1824" t="s">
        <v>2004</v>
      </c>
      <c r="B1824" s="1">
        <v>45983</v>
      </c>
      <c r="C1824" t="s">
        <v>143</v>
      </c>
      <c r="D1824" t="s">
        <v>54</v>
      </c>
      <c r="E1824" t="s">
        <v>55</v>
      </c>
      <c r="F1824" t="s">
        <v>54</v>
      </c>
      <c r="G1824">
        <v>681.59</v>
      </c>
      <c r="H1824" t="s">
        <v>98</v>
      </c>
      <c r="I1824" t="s">
        <v>22</v>
      </c>
      <c r="J1824" t="s">
        <v>89</v>
      </c>
    </row>
    <row r="1825" spans="1:10" x14ac:dyDescent="0.35">
      <c r="A1825" t="s">
        <v>2005</v>
      </c>
      <c r="B1825" s="1">
        <v>45983</v>
      </c>
      <c r="C1825" t="s">
        <v>251</v>
      </c>
      <c r="D1825" t="s">
        <v>29</v>
      </c>
      <c r="E1825" t="s">
        <v>151</v>
      </c>
      <c r="F1825" t="s">
        <v>14</v>
      </c>
      <c r="G1825">
        <v>8.36</v>
      </c>
      <c r="H1825" t="s">
        <v>15</v>
      </c>
      <c r="I1825" t="s">
        <v>22</v>
      </c>
      <c r="J1825" t="s">
        <v>31</v>
      </c>
    </row>
    <row r="1826" spans="1:10" x14ac:dyDescent="0.35">
      <c r="A1826" t="s">
        <v>2006</v>
      </c>
      <c r="B1826" s="1">
        <v>45984</v>
      </c>
      <c r="C1826" t="s">
        <v>150</v>
      </c>
      <c r="D1826" t="s">
        <v>29</v>
      </c>
      <c r="E1826" t="s">
        <v>30</v>
      </c>
      <c r="F1826" t="s">
        <v>14</v>
      </c>
      <c r="G1826">
        <v>72.94</v>
      </c>
      <c r="H1826" t="s">
        <v>15</v>
      </c>
      <c r="I1826" t="s">
        <v>16</v>
      </c>
      <c r="J1826" t="s">
        <v>151</v>
      </c>
    </row>
    <row r="1827" spans="1:10" x14ac:dyDescent="0.35">
      <c r="A1827" t="s">
        <v>2007</v>
      </c>
      <c r="B1827" s="1">
        <v>45984</v>
      </c>
      <c r="C1827" t="s">
        <v>194</v>
      </c>
      <c r="D1827" t="s">
        <v>101</v>
      </c>
      <c r="E1827" t="s">
        <v>136</v>
      </c>
      <c r="F1827" t="s">
        <v>14</v>
      </c>
      <c r="G1827">
        <v>73.11</v>
      </c>
      <c r="H1827" t="s">
        <v>21</v>
      </c>
      <c r="I1827" t="s">
        <v>47</v>
      </c>
      <c r="J1827" t="s">
        <v>103</v>
      </c>
    </row>
    <row r="1828" spans="1:10" x14ac:dyDescent="0.35">
      <c r="A1828" t="s">
        <v>2008</v>
      </c>
      <c r="B1828" s="1">
        <v>45984</v>
      </c>
      <c r="C1828" t="s">
        <v>281</v>
      </c>
      <c r="D1828" t="s">
        <v>34</v>
      </c>
      <c r="E1828" t="s">
        <v>40</v>
      </c>
      <c r="F1828" t="s">
        <v>14</v>
      </c>
      <c r="G1828">
        <v>51.48</v>
      </c>
      <c r="H1828" t="s">
        <v>15</v>
      </c>
      <c r="I1828" t="s">
        <v>36</v>
      </c>
      <c r="J1828" t="s">
        <v>123</v>
      </c>
    </row>
    <row r="1829" spans="1:10" x14ac:dyDescent="0.35">
      <c r="A1829" t="s">
        <v>2009</v>
      </c>
      <c r="B1829" s="1">
        <v>45984</v>
      </c>
      <c r="C1829" t="s">
        <v>168</v>
      </c>
      <c r="D1829" t="s">
        <v>59</v>
      </c>
      <c r="E1829" t="s">
        <v>60</v>
      </c>
      <c r="F1829" t="s">
        <v>14</v>
      </c>
      <c r="G1829">
        <v>247.68</v>
      </c>
      <c r="H1829" t="s">
        <v>21</v>
      </c>
      <c r="I1829" t="s">
        <v>16</v>
      </c>
      <c r="J1829" t="s">
        <v>170</v>
      </c>
    </row>
    <row r="1830" spans="1:10" x14ac:dyDescent="0.35">
      <c r="A1830" t="s">
        <v>2010</v>
      </c>
      <c r="B1830" s="1">
        <v>45984</v>
      </c>
      <c r="C1830" t="s">
        <v>220</v>
      </c>
      <c r="D1830" t="s">
        <v>59</v>
      </c>
      <c r="E1830" t="s">
        <v>199</v>
      </c>
      <c r="F1830" t="s">
        <v>14</v>
      </c>
      <c r="G1830">
        <v>227.15</v>
      </c>
      <c r="H1830" t="s">
        <v>15</v>
      </c>
      <c r="I1830" t="s">
        <v>22</v>
      </c>
      <c r="J1830" t="s">
        <v>211</v>
      </c>
    </row>
    <row r="1831" spans="1:10" x14ac:dyDescent="0.35">
      <c r="A1831" t="s">
        <v>2011</v>
      </c>
      <c r="B1831" s="1">
        <v>45985</v>
      </c>
      <c r="C1831" t="s">
        <v>143</v>
      </c>
      <c r="D1831" t="s">
        <v>54</v>
      </c>
      <c r="E1831" t="s">
        <v>55</v>
      </c>
      <c r="F1831" t="s">
        <v>54</v>
      </c>
      <c r="G1831">
        <v>612.27</v>
      </c>
      <c r="H1831" t="s">
        <v>21</v>
      </c>
      <c r="I1831" t="s">
        <v>22</v>
      </c>
      <c r="J1831" t="s">
        <v>89</v>
      </c>
    </row>
    <row r="1832" spans="1:10" x14ac:dyDescent="0.35">
      <c r="A1832" t="s">
        <v>2012</v>
      </c>
      <c r="B1832" s="1">
        <v>45985</v>
      </c>
      <c r="C1832" t="s">
        <v>308</v>
      </c>
      <c r="D1832" t="s">
        <v>54</v>
      </c>
      <c r="E1832" t="s">
        <v>64</v>
      </c>
      <c r="F1832" t="s">
        <v>54</v>
      </c>
      <c r="G1832">
        <v>326.44</v>
      </c>
      <c r="H1832" t="s">
        <v>15</v>
      </c>
      <c r="I1832" t="s">
        <v>47</v>
      </c>
      <c r="J1832" t="s">
        <v>89</v>
      </c>
    </row>
    <row r="1833" spans="1:10" x14ac:dyDescent="0.35">
      <c r="A1833" t="s">
        <v>2013</v>
      </c>
      <c r="B1833" s="1">
        <v>45985</v>
      </c>
      <c r="C1833" t="s">
        <v>210</v>
      </c>
      <c r="D1833" t="s">
        <v>59</v>
      </c>
      <c r="E1833" t="s">
        <v>185</v>
      </c>
      <c r="F1833" t="s">
        <v>14</v>
      </c>
      <c r="G1833">
        <v>189.9</v>
      </c>
      <c r="H1833" t="s">
        <v>98</v>
      </c>
      <c r="I1833" t="s">
        <v>47</v>
      </c>
      <c r="J1833" t="s">
        <v>211</v>
      </c>
    </row>
    <row r="1834" spans="1:10" x14ac:dyDescent="0.35">
      <c r="A1834" t="s">
        <v>2014</v>
      </c>
      <c r="B1834" s="1">
        <v>45985</v>
      </c>
      <c r="C1834" t="s">
        <v>445</v>
      </c>
      <c r="D1834" t="s">
        <v>101</v>
      </c>
      <c r="E1834" t="s">
        <v>244</v>
      </c>
      <c r="F1834" t="s">
        <v>14</v>
      </c>
      <c r="G1834">
        <v>37.92</v>
      </c>
      <c r="H1834" t="s">
        <v>21</v>
      </c>
      <c r="I1834" t="s">
        <v>22</v>
      </c>
      <c r="J1834" t="s">
        <v>103</v>
      </c>
    </row>
    <row r="1835" spans="1:10" x14ac:dyDescent="0.35">
      <c r="A1835" t="s">
        <v>2015</v>
      </c>
      <c r="B1835" s="1">
        <v>45985</v>
      </c>
      <c r="C1835" t="s">
        <v>281</v>
      </c>
      <c r="D1835" t="s">
        <v>34</v>
      </c>
      <c r="E1835" t="s">
        <v>40</v>
      </c>
      <c r="F1835" t="s">
        <v>14</v>
      </c>
      <c r="G1835">
        <v>129.31</v>
      </c>
      <c r="H1835" t="s">
        <v>15</v>
      </c>
      <c r="I1835" t="s">
        <v>22</v>
      </c>
      <c r="J1835" t="s">
        <v>123</v>
      </c>
    </row>
    <row r="1836" spans="1:10" x14ac:dyDescent="0.35">
      <c r="A1836" t="s">
        <v>2016</v>
      </c>
      <c r="B1836" s="1">
        <v>45985</v>
      </c>
      <c r="C1836" t="s">
        <v>824</v>
      </c>
      <c r="D1836" t="s">
        <v>69</v>
      </c>
      <c r="E1836" t="s">
        <v>233</v>
      </c>
      <c r="F1836" t="s">
        <v>14</v>
      </c>
      <c r="G1836">
        <v>256.01</v>
      </c>
      <c r="H1836" t="s">
        <v>15</v>
      </c>
      <c r="I1836" t="s">
        <v>22</v>
      </c>
      <c r="J1836" t="s">
        <v>133</v>
      </c>
    </row>
    <row r="1837" spans="1:10" x14ac:dyDescent="0.35">
      <c r="A1837" t="s">
        <v>2017</v>
      </c>
      <c r="B1837" s="1">
        <v>45985</v>
      </c>
      <c r="C1837" t="s">
        <v>109</v>
      </c>
      <c r="D1837" t="s">
        <v>34</v>
      </c>
      <c r="E1837" t="s">
        <v>35</v>
      </c>
      <c r="F1837" t="s">
        <v>14</v>
      </c>
      <c r="G1837">
        <v>152.54</v>
      </c>
      <c r="H1837" t="s">
        <v>21</v>
      </c>
      <c r="I1837" t="s">
        <v>47</v>
      </c>
      <c r="J1837" t="s">
        <v>41</v>
      </c>
    </row>
    <row r="1838" spans="1:10" x14ac:dyDescent="0.35">
      <c r="A1838" t="s">
        <v>2018</v>
      </c>
      <c r="B1838" s="1">
        <v>45985</v>
      </c>
      <c r="C1838" t="s">
        <v>324</v>
      </c>
      <c r="D1838" t="s">
        <v>80</v>
      </c>
      <c r="E1838" t="s">
        <v>92</v>
      </c>
      <c r="F1838" t="s">
        <v>14</v>
      </c>
      <c r="G1838">
        <v>41.42</v>
      </c>
      <c r="H1838" t="s">
        <v>15</v>
      </c>
      <c r="I1838" t="s">
        <v>22</v>
      </c>
      <c r="J1838" t="s">
        <v>161</v>
      </c>
    </row>
    <row r="1839" spans="1:10" x14ac:dyDescent="0.35">
      <c r="A1839" t="s">
        <v>2019</v>
      </c>
      <c r="B1839" s="1">
        <v>45985</v>
      </c>
      <c r="C1839" t="s">
        <v>194</v>
      </c>
      <c r="D1839" t="s">
        <v>101</v>
      </c>
      <c r="E1839" t="s">
        <v>136</v>
      </c>
      <c r="F1839" t="s">
        <v>14</v>
      </c>
      <c r="G1839">
        <v>51.55</v>
      </c>
      <c r="H1839" t="s">
        <v>15</v>
      </c>
      <c r="I1839" t="s">
        <v>84</v>
      </c>
      <c r="J1839" t="s">
        <v>103</v>
      </c>
    </row>
    <row r="1840" spans="1:10" x14ac:dyDescent="0.35">
      <c r="A1840" t="s">
        <v>2020</v>
      </c>
      <c r="B1840" s="1">
        <v>45986</v>
      </c>
      <c r="C1840" t="s">
        <v>143</v>
      </c>
      <c r="D1840" t="s">
        <v>54</v>
      </c>
      <c r="E1840" t="s">
        <v>55</v>
      </c>
      <c r="F1840" t="s">
        <v>54</v>
      </c>
      <c r="G1840">
        <v>769.79</v>
      </c>
      <c r="H1840" t="s">
        <v>15</v>
      </c>
      <c r="I1840" t="s">
        <v>36</v>
      </c>
      <c r="J1840" t="s">
        <v>89</v>
      </c>
    </row>
    <row r="1841" spans="1:10" x14ac:dyDescent="0.35">
      <c r="A1841" t="s">
        <v>2021</v>
      </c>
      <c r="B1841" s="1">
        <v>45986</v>
      </c>
      <c r="C1841" t="s">
        <v>46</v>
      </c>
      <c r="D1841" t="s">
        <v>12</v>
      </c>
      <c r="E1841" t="s">
        <v>13</v>
      </c>
      <c r="F1841" t="s">
        <v>14</v>
      </c>
      <c r="G1841">
        <v>32.36</v>
      </c>
      <c r="H1841" t="s">
        <v>21</v>
      </c>
      <c r="I1841" t="s">
        <v>47</v>
      </c>
      <c r="J1841" t="s">
        <v>48</v>
      </c>
    </row>
    <row r="1842" spans="1:10" x14ac:dyDescent="0.35">
      <c r="A1842" t="s">
        <v>2022</v>
      </c>
      <c r="B1842" s="1">
        <v>45986</v>
      </c>
      <c r="C1842" t="s">
        <v>46</v>
      </c>
      <c r="D1842" t="s">
        <v>12</v>
      </c>
      <c r="E1842" t="s">
        <v>13</v>
      </c>
      <c r="F1842" t="s">
        <v>14</v>
      </c>
      <c r="G1842">
        <v>21.92</v>
      </c>
      <c r="H1842" t="s">
        <v>98</v>
      </c>
      <c r="I1842" t="s">
        <v>36</v>
      </c>
      <c r="J1842" t="s">
        <v>48</v>
      </c>
    </row>
    <row r="1843" spans="1:10" x14ac:dyDescent="0.35">
      <c r="A1843" t="s">
        <v>2023</v>
      </c>
      <c r="B1843" s="1">
        <v>45986</v>
      </c>
      <c r="C1843" t="s">
        <v>113</v>
      </c>
      <c r="D1843" t="s">
        <v>34</v>
      </c>
      <c r="E1843" t="s">
        <v>40</v>
      </c>
      <c r="F1843" t="s">
        <v>14</v>
      </c>
      <c r="G1843">
        <v>351.25</v>
      </c>
      <c r="H1843" t="s">
        <v>15</v>
      </c>
      <c r="I1843" t="s">
        <v>36</v>
      </c>
      <c r="J1843" t="s">
        <v>37</v>
      </c>
    </row>
    <row r="1844" spans="1:10" x14ac:dyDescent="0.35">
      <c r="A1844" t="s">
        <v>2024</v>
      </c>
      <c r="B1844" s="1">
        <v>45986</v>
      </c>
      <c r="C1844" t="s">
        <v>63</v>
      </c>
      <c r="D1844" t="s">
        <v>54</v>
      </c>
      <c r="E1844" t="s">
        <v>64</v>
      </c>
      <c r="F1844" t="s">
        <v>54</v>
      </c>
      <c r="G1844">
        <v>342.82</v>
      </c>
      <c r="H1844" t="s">
        <v>21</v>
      </c>
      <c r="I1844" t="s">
        <v>47</v>
      </c>
      <c r="J1844" t="s">
        <v>65</v>
      </c>
    </row>
    <row r="1845" spans="1:10" x14ac:dyDescent="0.35">
      <c r="A1845" t="s">
        <v>2025</v>
      </c>
      <c r="B1845" s="1">
        <v>45987</v>
      </c>
      <c r="C1845" t="s">
        <v>227</v>
      </c>
      <c r="D1845" t="s">
        <v>12</v>
      </c>
      <c r="E1845" t="s">
        <v>51</v>
      </c>
      <c r="F1845" t="s">
        <v>14</v>
      </c>
      <c r="G1845">
        <v>148.63999999999999</v>
      </c>
      <c r="H1845" t="s">
        <v>15</v>
      </c>
      <c r="I1845" t="s">
        <v>36</v>
      </c>
      <c r="J1845" t="s">
        <v>17</v>
      </c>
    </row>
    <row r="1846" spans="1:10" x14ac:dyDescent="0.35">
      <c r="A1846" t="s">
        <v>2026</v>
      </c>
      <c r="B1846" s="1">
        <v>45987</v>
      </c>
      <c r="C1846" t="s">
        <v>28</v>
      </c>
      <c r="D1846" t="s">
        <v>29</v>
      </c>
      <c r="E1846" t="s">
        <v>30</v>
      </c>
      <c r="F1846" t="s">
        <v>14</v>
      </c>
      <c r="G1846">
        <v>87.99</v>
      </c>
      <c r="H1846" t="s">
        <v>15</v>
      </c>
      <c r="I1846" t="s">
        <v>22</v>
      </c>
      <c r="J1846" t="s">
        <v>31</v>
      </c>
    </row>
    <row r="1847" spans="1:10" x14ac:dyDescent="0.35">
      <c r="A1847" t="s">
        <v>2027</v>
      </c>
      <c r="B1847" s="1">
        <v>45987</v>
      </c>
      <c r="C1847" t="s">
        <v>253</v>
      </c>
      <c r="D1847" t="s">
        <v>29</v>
      </c>
      <c r="E1847" t="s">
        <v>30</v>
      </c>
      <c r="F1847" t="s">
        <v>14</v>
      </c>
      <c r="G1847">
        <v>20.72</v>
      </c>
      <c r="H1847" t="s">
        <v>15</v>
      </c>
      <c r="I1847" t="s">
        <v>22</v>
      </c>
      <c r="J1847" t="s">
        <v>158</v>
      </c>
    </row>
    <row r="1848" spans="1:10" x14ac:dyDescent="0.35">
      <c r="A1848" t="s">
        <v>2028</v>
      </c>
      <c r="B1848" s="1">
        <v>45987</v>
      </c>
      <c r="C1848" t="s">
        <v>345</v>
      </c>
      <c r="D1848" t="s">
        <v>59</v>
      </c>
      <c r="E1848" t="s">
        <v>60</v>
      </c>
      <c r="F1848" t="s">
        <v>14</v>
      </c>
      <c r="G1848">
        <v>197.69</v>
      </c>
      <c r="H1848" t="s">
        <v>15</v>
      </c>
      <c r="I1848" t="s">
        <v>36</v>
      </c>
      <c r="J1848" t="s">
        <v>211</v>
      </c>
    </row>
    <row r="1849" spans="1:10" x14ac:dyDescent="0.35">
      <c r="A1849" t="s">
        <v>2029</v>
      </c>
      <c r="B1849" s="1">
        <v>45988</v>
      </c>
      <c r="C1849" t="s">
        <v>155</v>
      </c>
      <c r="D1849" t="s">
        <v>12</v>
      </c>
      <c r="E1849" t="s">
        <v>51</v>
      </c>
      <c r="F1849" t="s">
        <v>14</v>
      </c>
      <c r="G1849">
        <v>29.54</v>
      </c>
      <c r="H1849" t="s">
        <v>15</v>
      </c>
      <c r="I1849" t="s">
        <v>36</v>
      </c>
      <c r="J1849" t="s">
        <v>48</v>
      </c>
    </row>
    <row r="1850" spans="1:10" x14ac:dyDescent="0.35">
      <c r="A1850" t="s">
        <v>2030</v>
      </c>
      <c r="B1850" s="1">
        <v>45988</v>
      </c>
      <c r="C1850" t="s">
        <v>272</v>
      </c>
      <c r="D1850" t="s">
        <v>54</v>
      </c>
      <c r="E1850" t="s">
        <v>55</v>
      </c>
      <c r="F1850" t="s">
        <v>54</v>
      </c>
      <c r="G1850">
        <v>780.52</v>
      </c>
      <c r="H1850" t="s">
        <v>21</v>
      </c>
      <c r="I1850" t="s">
        <v>22</v>
      </c>
      <c r="J1850" t="s">
        <v>65</v>
      </c>
    </row>
    <row r="1851" spans="1:10" x14ac:dyDescent="0.35">
      <c r="A1851" t="s">
        <v>2031</v>
      </c>
      <c r="B1851" s="1">
        <v>45988</v>
      </c>
      <c r="C1851" t="s">
        <v>324</v>
      </c>
      <c r="D1851" t="s">
        <v>80</v>
      </c>
      <c r="E1851" t="s">
        <v>92</v>
      </c>
      <c r="F1851" t="s">
        <v>14</v>
      </c>
      <c r="G1851">
        <v>11.94</v>
      </c>
      <c r="H1851" t="s">
        <v>15</v>
      </c>
      <c r="I1851" t="s">
        <v>16</v>
      </c>
      <c r="J1851" t="s">
        <v>161</v>
      </c>
    </row>
    <row r="1852" spans="1:10" x14ac:dyDescent="0.35">
      <c r="A1852" t="s">
        <v>2032</v>
      </c>
      <c r="B1852" s="1">
        <v>45989</v>
      </c>
      <c r="C1852" t="s">
        <v>210</v>
      </c>
      <c r="D1852" t="s">
        <v>59</v>
      </c>
      <c r="E1852" t="s">
        <v>185</v>
      </c>
      <c r="F1852" t="s">
        <v>14</v>
      </c>
      <c r="G1852">
        <v>56.61</v>
      </c>
      <c r="H1852" t="s">
        <v>15</v>
      </c>
      <c r="I1852" t="s">
        <v>22</v>
      </c>
      <c r="J1852" t="s">
        <v>211</v>
      </c>
    </row>
    <row r="1853" spans="1:10" x14ac:dyDescent="0.35">
      <c r="A1853" t="s">
        <v>2033</v>
      </c>
      <c r="B1853" s="1">
        <v>45989</v>
      </c>
      <c r="C1853" t="s">
        <v>308</v>
      </c>
      <c r="D1853" t="s">
        <v>54</v>
      </c>
      <c r="E1853" t="s">
        <v>64</v>
      </c>
      <c r="F1853" t="s">
        <v>54</v>
      </c>
      <c r="G1853">
        <v>301.44</v>
      </c>
      <c r="H1853" t="s">
        <v>98</v>
      </c>
      <c r="I1853" t="s">
        <v>47</v>
      </c>
      <c r="J1853" t="s">
        <v>89</v>
      </c>
    </row>
    <row r="1854" spans="1:10" x14ac:dyDescent="0.35">
      <c r="A1854" t="s">
        <v>2034</v>
      </c>
      <c r="B1854" s="1">
        <v>45989</v>
      </c>
      <c r="C1854" t="s">
        <v>415</v>
      </c>
      <c r="D1854" t="s">
        <v>12</v>
      </c>
      <c r="E1854" t="s">
        <v>51</v>
      </c>
      <c r="F1854" t="s">
        <v>14</v>
      </c>
      <c r="G1854">
        <v>19.37</v>
      </c>
      <c r="H1854" t="s">
        <v>15</v>
      </c>
      <c r="I1854" t="s">
        <v>22</v>
      </c>
      <c r="J1854" t="s">
        <v>77</v>
      </c>
    </row>
    <row r="1855" spans="1:10" x14ac:dyDescent="0.35">
      <c r="A1855" t="s">
        <v>2035</v>
      </c>
      <c r="B1855" s="1">
        <v>45990</v>
      </c>
      <c r="C1855" t="s">
        <v>179</v>
      </c>
      <c r="D1855" t="s">
        <v>80</v>
      </c>
      <c r="E1855" t="s">
        <v>117</v>
      </c>
      <c r="F1855" t="s">
        <v>14</v>
      </c>
      <c r="G1855">
        <v>102.91</v>
      </c>
      <c r="H1855" t="s">
        <v>15</v>
      </c>
      <c r="I1855" t="s">
        <v>22</v>
      </c>
      <c r="J1855" t="s">
        <v>180</v>
      </c>
    </row>
    <row r="1856" spans="1:10" x14ac:dyDescent="0.35">
      <c r="A1856" t="s">
        <v>2036</v>
      </c>
      <c r="B1856" s="1">
        <v>45990</v>
      </c>
      <c r="C1856" t="s">
        <v>28</v>
      </c>
      <c r="D1856" t="s">
        <v>29</v>
      </c>
      <c r="E1856" t="s">
        <v>30</v>
      </c>
      <c r="F1856" t="s">
        <v>14</v>
      </c>
      <c r="G1856">
        <v>25.28</v>
      </c>
      <c r="H1856" t="s">
        <v>21</v>
      </c>
      <c r="I1856" t="s">
        <v>22</v>
      </c>
      <c r="J1856" t="s">
        <v>31</v>
      </c>
    </row>
    <row r="1857" spans="1:10" x14ac:dyDescent="0.35">
      <c r="A1857" t="s">
        <v>2037</v>
      </c>
      <c r="B1857" s="1">
        <v>45990</v>
      </c>
      <c r="C1857" t="s">
        <v>163</v>
      </c>
      <c r="D1857" t="s">
        <v>80</v>
      </c>
      <c r="E1857" t="s">
        <v>92</v>
      </c>
      <c r="F1857" t="s">
        <v>14</v>
      </c>
      <c r="G1857">
        <v>74.89</v>
      </c>
      <c r="H1857" t="s">
        <v>98</v>
      </c>
      <c r="I1857" t="s">
        <v>84</v>
      </c>
      <c r="J1857" t="s">
        <v>118</v>
      </c>
    </row>
    <row r="1858" spans="1:10" x14ac:dyDescent="0.35">
      <c r="A1858" t="s">
        <v>2038</v>
      </c>
      <c r="B1858" s="1">
        <v>45990</v>
      </c>
      <c r="C1858" t="s">
        <v>140</v>
      </c>
      <c r="D1858" t="s">
        <v>80</v>
      </c>
      <c r="E1858" t="s">
        <v>81</v>
      </c>
      <c r="F1858" t="s">
        <v>14</v>
      </c>
      <c r="G1858">
        <v>28.31</v>
      </c>
      <c r="H1858" t="s">
        <v>21</v>
      </c>
      <c r="I1858" t="s">
        <v>47</v>
      </c>
      <c r="J1858" t="s">
        <v>141</v>
      </c>
    </row>
    <row r="1859" spans="1:10" x14ac:dyDescent="0.35">
      <c r="A1859" t="s">
        <v>2039</v>
      </c>
      <c r="B1859" s="1">
        <v>45990</v>
      </c>
      <c r="C1859" t="s">
        <v>121</v>
      </c>
      <c r="D1859" t="s">
        <v>34</v>
      </c>
      <c r="E1859" t="s">
        <v>122</v>
      </c>
      <c r="F1859" t="s">
        <v>14</v>
      </c>
      <c r="G1859">
        <v>413.26</v>
      </c>
      <c r="H1859" t="s">
        <v>15</v>
      </c>
      <c r="I1859" t="s">
        <v>22</v>
      </c>
      <c r="J1859" t="s">
        <v>123</v>
      </c>
    </row>
    <row r="1860" spans="1:10" x14ac:dyDescent="0.35">
      <c r="A1860" t="s">
        <v>2040</v>
      </c>
      <c r="B1860" s="1">
        <v>45990</v>
      </c>
      <c r="C1860" t="s">
        <v>298</v>
      </c>
      <c r="D1860" t="s">
        <v>59</v>
      </c>
      <c r="E1860" t="s">
        <v>185</v>
      </c>
      <c r="F1860" t="s">
        <v>14</v>
      </c>
      <c r="G1860">
        <v>417.65</v>
      </c>
      <c r="H1860" t="s">
        <v>15</v>
      </c>
      <c r="I1860" t="s">
        <v>47</v>
      </c>
      <c r="J1860" t="s">
        <v>170</v>
      </c>
    </row>
    <row r="1861" spans="1:10" x14ac:dyDescent="0.35">
      <c r="A1861" t="s">
        <v>2041</v>
      </c>
      <c r="B1861" s="1">
        <v>45990</v>
      </c>
      <c r="C1861" t="s">
        <v>94</v>
      </c>
      <c r="D1861" t="s">
        <v>29</v>
      </c>
      <c r="E1861" t="s">
        <v>95</v>
      </c>
      <c r="F1861" t="s">
        <v>14</v>
      </c>
      <c r="G1861">
        <v>92.37</v>
      </c>
      <c r="H1861" t="s">
        <v>15</v>
      </c>
      <c r="I1861" t="s">
        <v>47</v>
      </c>
      <c r="J1861" t="s">
        <v>96</v>
      </c>
    </row>
    <row r="1862" spans="1:10" x14ac:dyDescent="0.35">
      <c r="A1862" t="s">
        <v>2042</v>
      </c>
      <c r="B1862" s="1">
        <v>45990</v>
      </c>
      <c r="C1862" t="s">
        <v>125</v>
      </c>
      <c r="D1862" t="s">
        <v>12</v>
      </c>
      <c r="E1862" t="s">
        <v>13</v>
      </c>
      <c r="F1862" t="s">
        <v>14</v>
      </c>
      <c r="G1862">
        <v>19.399999999999999</v>
      </c>
      <c r="H1862" t="s">
        <v>21</v>
      </c>
      <c r="I1862" t="s">
        <v>84</v>
      </c>
      <c r="J1862" t="s">
        <v>44</v>
      </c>
    </row>
    <row r="1863" spans="1:10" x14ac:dyDescent="0.35">
      <c r="A1863" t="s">
        <v>2043</v>
      </c>
      <c r="B1863" s="1">
        <v>45990</v>
      </c>
      <c r="C1863" t="s">
        <v>345</v>
      </c>
      <c r="D1863" t="s">
        <v>59</v>
      </c>
      <c r="E1863" t="s">
        <v>60</v>
      </c>
      <c r="F1863" t="s">
        <v>14</v>
      </c>
      <c r="G1863">
        <v>368.83</v>
      </c>
      <c r="H1863" t="s">
        <v>98</v>
      </c>
      <c r="I1863" t="s">
        <v>16</v>
      </c>
      <c r="J1863" t="s">
        <v>211</v>
      </c>
    </row>
    <row r="1864" spans="1:10" x14ac:dyDescent="0.35">
      <c r="A1864" t="s">
        <v>2044</v>
      </c>
      <c r="B1864" s="1">
        <v>45991</v>
      </c>
      <c r="C1864" t="s">
        <v>350</v>
      </c>
      <c r="D1864" t="s">
        <v>29</v>
      </c>
      <c r="E1864" t="s">
        <v>151</v>
      </c>
      <c r="F1864" t="s">
        <v>14</v>
      </c>
      <c r="G1864">
        <v>48.07</v>
      </c>
      <c r="H1864" t="s">
        <v>15</v>
      </c>
      <c r="I1864" t="s">
        <v>22</v>
      </c>
      <c r="J1864" t="s">
        <v>158</v>
      </c>
    </row>
    <row r="1865" spans="1:10" x14ac:dyDescent="0.35">
      <c r="A1865" t="s">
        <v>2045</v>
      </c>
      <c r="B1865" s="1">
        <v>45991</v>
      </c>
      <c r="C1865" t="s">
        <v>415</v>
      </c>
      <c r="D1865" t="s">
        <v>12</v>
      </c>
      <c r="E1865" t="s">
        <v>51</v>
      </c>
      <c r="F1865" t="s">
        <v>14</v>
      </c>
      <c r="G1865">
        <v>86.23</v>
      </c>
      <c r="H1865" t="s">
        <v>15</v>
      </c>
      <c r="I1865" t="s">
        <v>22</v>
      </c>
      <c r="J1865" t="s">
        <v>77</v>
      </c>
    </row>
    <row r="1866" spans="1:10" x14ac:dyDescent="0.35">
      <c r="A1866" t="s">
        <v>2046</v>
      </c>
      <c r="B1866" s="1">
        <v>45991</v>
      </c>
      <c r="C1866" t="s">
        <v>160</v>
      </c>
      <c r="D1866" t="s">
        <v>80</v>
      </c>
      <c r="E1866" t="s">
        <v>117</v>
      </c>
      <c r="F1866" t="s">
        <v>14</v>
      </c>
      <c r="G1866">
        <v>64.52</v>
      </c>
      <c r="H1866" t="s">
        <v>21</v>
      </c>
      <c r="I1866" t="s">
        <v>36</v>
      </c>
      <c r="J1866" t="s">
        <v>161</v>
      </c>
    </row>
    <row r="1867" spans="1:10" x14ac:dyDescent="0.35">
      <c r="A1867" t="s">
        <v>2047</v>
      </c>
      <c r="B1867" s="1">
        <v>45991</v>
      </c>
      <c r="C1867" t="s">
        <v>220</v>
      </c>
      <c r="D1867" t="s">
        <v>59</v>
      </c>
      <c r="E1867" t="s">
        <v>199</v>
      </c>
      <c r="F1867" t="s">
        <v>14</v>
      </c>
      <c r="G1867">
        <v>222.73</v>
      </c>
      <c r="H1867" t="s">
        <v>21</v>
      </c>
      <c r="I1867" t="s">
        <v>22</v>
      </c>
      <c r="J1867" t="s">
        <v>211</v>
      </c>
    </row>
    <row r="1868" spans="1:10" x14ac:dyDescent="0.35">
      <c r="A1868" t="s">
        <v>2048</v>
      </c>
      <c r="B1868" s="1">
        <v>45991</v>
      </c>
      <c r="C1868" t="s">
        <v>125</v>
      </c>
      <c r="D1868" t="s">
        <v>12</v>
      </c>
      <c r="E1868" t="s">
        <v>13</v>
      </c>
      <c r="F1868" t="s">
        <v>14</v>
      </c>
      <c r="G1868">
        <v>70.69</v>
      </c>
      <c r="H1868" t="s">
        <v>21</v>
      </c>
      <c r="I1868" t="s">
        <v>84</v>
      </c>
      <c r="J1868" t="s">
        <v>44</v>
      </c>
    </row>
    <row r="1869" spans="1:10" x14ac:dyDescent="0.35">
      <c r="A1869" t="s">
        <v>2049</v>
      </c>
      <c r="B1869" s="1">
        <v>45991</v>
      </c>
      <c r="C1869" t="s">
        <v>11</v>
      </c>
      <c r="D1869" t="s">
        <v>12</v>
      </c>
      <c r="E1869" t="s">
        <v>13</v>
      </c>
      <c r="F1869" t="s">
        <v>14</v>
      </c>
      <c r="G1869">
        <v>75.989999999999995</v>
      </c>
      <c r="H1869" t="s">
        <v>21</v>
      </c>
      <c r="I1869" t="s">
        <v>47</v>
      </c>
      <c r="J1869" t="s">
        <v>17</v>
      </c>
    </row>
    <row r="1870" spans="1:10" x14ac:dyDescent="0.35">
      <c r="A1870" t="s">
        <v>2050</v>
      </c>
      <c r="B1870" s="1">
        <v>45991</v>
      </c>
      <c r="C1870" t="s">
        <v>143</v>
      </c>
      <c r="D1870" t="s">
        <v>54</v>
      </c>
      <c r="E1870" t="s">
        <v>55</v>
      </c>
      <c r="F1870" t="s">
        <v>54</v>
      </c>
      <c r="G1870">
        <v>598.45000000000005</v>
      </c>
      <c r="H1870" t="s">
        <v>98</v>
      </c>
      <c r="I1870" t="s">
        <v>22</v>
      </c>
      <c r="J1870" t="s">
        <v>89</v>
      </c>
    </row>
    <row r="1871" spans="1:10" x14ac:dyDescent="0.35">
      <c r="A1871" t="s">
        <v>2051</v>
      </c>
      <c r="B1871" s="1">
        <v>45991</v>
      </c>
      <c r="C1871" t="s">
        <v>198</v>
      </c>
      <c r="D1871" t="s">
        <v>59</v>
      </c>
      <c r="E1871" t="s">
        <v>199</v>
      </c>
      <c r="F1871" t="s">
        <v>14</v>
      </c>
      <c r="G1871">
        <v>342.2</v>
      </c>
      <c r="H1871" t="s">
        <v>15</v>
      </c>
      <c r="I1871" t="s">
        <v>22</v>
      </c>
      <c r="J1871" t="s">
        <v>61</v>
      </c>
    </row>
    <row r="1872" spans="1:10" x14ac:dyDescent="0.35">
      <c r="A1872" t="s">
        <v>2052</v>
      </c>
      <c r="B1872" s="1">
        <v>45991</v>
      </c>
      <c r="C1872" t="s">
        <v>143</v>
      </c>
      <c r="D1872" t="s">
        <v>54</v>
      </c>
      <c r="E1872" t="s">
        <v>55</v>
      </c>
      <c r="F1872" t="s">
        <v>54</v>
      </c>
      <c r="G1872">
        <v>663.94</v>
      </c>
      <c r="H1872" t="s">
        <v>15</v>
      </c>
      <c r="I1872" t="s">
        <v>22</v>
      </c>
      <c r="J1872" t="s">
        <v>89</v>
      </c>
    </row>
    <row r="1873" spans="1:10" x14ac:dyDescent="0.35">
      <c r="A1873" t="s">
        <v>2053</v>
      </c>
      <c r="B1873" s="1">
        <v>45991</v>
      </c>
      <c r="C1873" t="s">
        <v>25</v>
      </c>
      <c r="D1873" t="s">
        <v>12</v>
      </c>
      <c r="E1873" t="s">
        <v>26</v>
      </c>
      <c r="F1873" t="s">
        <v>14</v>
      </c>
      <c r="G1873">
        <v>55.82</v>
      </c>
      <c r="H1873" t="s">
        <v>15</v>
      </c>
      <c r="I1873" t="s">
        <v>84</v>
      </c>
      <c r="J1873" t="s">
        <v>17</v>
      </c>
    </row>
    <row r="1874" spans="1:10" x14ac:dyDescent="0.35">
      <c r="A1874" t="s">
        <v>2054</v>
      </c>
      <c r="B1874" s="1">
        <v>45992</v>
      </c>
      <c r="C1874" t="s">
        <v>53</v>
      </c>
      <c r="D1874" t="s">
        <v>54</v>
      </c>
      <c r="E1874" t="s">
        <v>55</v>
      </c>
      <c r="F1874" t="s">
        <v>54</v>
      </c>
      <c r="G1874">
        <v>902.04</v>
      </c>
      <c r="H1874" t="s">
        <v>98</v>
      </c>
      <c r="I1874" t="s">
        <v>36</v>
      </c>
      <c r="J1874" t="s">
        <v>56</v>
      </c>
    </row>
    <row r="1875" spans="1:10" x14ac:dyDescent="0.35">
      <c r="A1875" t="s">
        <v>2055</v>
      </c>
      <c r="B1875" s="1">
        <v>45992</v>
      </c>
      <c r="C1875" t="s">
        <v>272</v>
      </c>
      <c r="D1875" t="s">
        <v>54</v>
      </c>
      <c r="E1875" t="s">
        <v>55</v>
      </c>
      <c r="F1875" t="s">
        <v>54</v>
      </c>
      <c r="G1875">
        <v>792.96</v>
      </c>
      <c r="H1875" t="s">
        <v>15</v>
      </c>
      <c r="I1875" t="s">
        <v>22</v>
      </c>
      <c r="J1875" t="s">
        <v>65</v>
      </c>
    </row>
    <row r="1876" spans="1:10" x14ac:dyDescent="0.35">
      <c r="A1876" t="s">
        <v>2056</v>
      </c>
      <c r="B1876" s="1">
        <v>45992</v>
      </c>
      <c r="C1876" t="s">
        <v>256</v>
      </c>
      <c r="D1876" t="s">
        <v>34</v>
      </c>
      <c r="E1876" t="s">
        <v>40</v>
      </c>
      <c r="F1876" t="s">
        <v>14</v>
      </c>
      <c r="G1876">
        <v>95.54</v>
      </c>
      <c r="H1876" t="s">
        <v>15</v>
      </c>
      <c r="I1876" t="s">
        <v>36</v>
      </c>
      <c r="J1876" t="s">
        <v>239</v>
      </c>
    </row>
    <row r="1877" spans="1:10" x14ac:dyDescent="0.35">
      <c r="A1877" t="s">
        <v>2057</v>
      </c>
      <c r="B1877" s="1">
        <v>45992</v>
      </c>
      <c r="C1877" t="s">
        <v>157</v>
      </c>
      <c r="D1877" t="s">
        <v>29</v>
      </c>
      <c r="E1877" t="s">
        <v>95</v>
      </c>
      <c r="F1877" t="s">
        <v>14</v>
      </c>
      <c r="G1877">
        <v>36.4</v>
      </c>
      <c r="H1877" t="s">
        <v>21</v>
      </c>
      <c r="I1877" t="s">
        <v>47</v>
      </c>
      <c r="J1877" t="s">
        <v>158</v>
      </c>
    </row>
    <row r="1878" spans="1:10" x14ac:dyDescent="0.35">
      <c r="A1878" t="s">
        <v>2058</v>
      </c>
      <c r="B1878" s="1">
        <v>45992</v>
      </c>
      <c r="C1878" t="s">
        <v>155</v>
      </c>
      <c r="D1878" t="s">
        <v>12</v>
      </c>
      <c r="E1878" t="s">
        <v>51</v>
      </c>
      <c r="F1878" t="s">
        <v>14</v>
      </c>
      <c r="G1878">
        <v>16.190000000000001</v>
      </c>
      <c r="H1878" t="s">
        <v>15</v>
      </c>
      <c r="I1878" t="s">
        <v>22</v>
      </c>
      <c r="J1878" t="s">
        <v>48</v>
      </c>
    </row>
    <row r="1879" spans="1:10" x14ac:dyDescent="0.35">
      <c r="A1879" t="s">
        <v>2059</v>
      </c>
      <c r="B1879" s="1">
        <v>45992</v>
      </c>
      <c r="C1879" t="s">
        <v>267</v>
      </c>
      <c r="D1879" t="s">
        <v>29</v>
      </c>
      <c r="E1879" t="s">
        <v>30</v>
      </c>
      <c r="F1879" t="s">
        <v>14</v>
      </c>
      <c r="G1879">
        <v>31.21</v>
      </c>
      <c r="H1879" t="s">
        <v>15</v>
      </c>
      <c r="I1879" t="s">
        <v>22</v>
      </c>
      <c r="J1879" t="s">
        <v>96</v>
      </c>
    </row>
    <row r="1880" spans="1:10" x14ac:dyDescent="0.35">
      <c r="A1880" t="s">
        <v>2060</v>
      </c>
      <c r="B1880" s="1">
        <v>45992</v>
      </c>
      <c r="C1880" t="s">
        <v>53</v>
      </c>
      <c r="D1880" t="s">
        <v>54</v>
      </c>
      <c r="E1880" t="s">
        <v>55</v>
      </c>
      <c r="F1880" t="s">
        <v>54</v>
      </c>
      <c r="G1880">
        <v>758.85</v>
      </c>
      <c r="H1880" t="s">
        <v>15</v>
      </c>
      <c r="I1880" t="s">
        <v>36</v>
      </c>
      <c r="J1880" t="s">
        <v>56</v>
      </c>
    </row>
    <row r="1881" spans="1:10" x14ac:dyDescent="0.35">
      <c r="A1881" t="s">
        <v>2061</v>
      </c>
      <c r="B1881" s="1">
        <v>45993</v>
      </c>
      <c r="C1881" t="s">
        <v>259</v>
      </c>
      <c r="D1881" t="s">
        <v>59</v>
      </c>
      <c r="E1881" t="s">
        <v>199</v>
      </c>
      <c r="F1881" t="s">
        <v>14</v>
      </c>
      <c r="G1881">
        <v>143.99</v>
      </c>
      <c r="H1881" t="s">
        <v>15</v>
      </c>
      <c r="I1881" t="s">
        <v>47</v>
      </c>
      <c r="J1881" t="s">
        <v>170</v>
      </c>
    </row>
    <row r="1882" spans="1:10" x14ac:dyDescent="0.35">
      <c r="A1882" t="s">
        <v>2062</v>
      </c>
      <c r="B1882" s="1">
        <v>45993</v>
      </c>
      <c r="C1882" t="s">
        <v>177</v>
      </c>
      <c r="D1882" t="s">
        <v>54</v>
      </c>
      <c r="E1882" t="s">
        <v>74</v>
      </c>
      <c r="F1882" t="s">
        <v>54</v>
      </c>
      <c r="G1882">
        <v>2498.7199999999998</v>
      </c>
      <c r="H1882" t="s">
        <v>15</v>
      </c>
      <c r="I1882" t="s">
        <v>47</v>
      </c>
      <c r="J1882" t="s">
        <v>56</v>
      </c>
    </row>
    <row r="1883" spans="1:10" x14ac:dyDescent="0.35">
      <c r="A1883" t="s">
        <v>2063</v>
      </c>
      <c r="B1883" s="1">
        <v>45993</v>
      </c>
      <c r="C1883" t="s">
        <v>1491</v>
      </c>
      <c r="D1883" t="s">
        <v>69</v>
      </c>
      <c r="E1883" t="s">
        <v>233</v>
      </c>
      <c r="F1883" t="s">
        <v>14</v>
      </c>
      <c r="G1883">
        <v>211.31</v>
      </c>
      <c r="H1883" t="s">
        <v>15</v>
      </c>
      <c r="I1883" t="s">
        <v>16</v>
      </c>
      <c r="J1883" t="s">
        <v>396</v>
      </c>
    </row>
    <row r="1884" spans="1:10" x14ac:dyDescent="0.35">
      <c r="A1884" t="s">
        <v>2064</v>
      </c>
      <c r="B1884" s="1">
        <v>45993</v>
      </c>
      <c r="C1884" t="s">
        <v>25</v>
      </c>
      <c r="D1884" t="s">
        <v>12</v>
      </c>
      <c r="E1884" t="s">
        <v>26</v>
      </c>
      <c r="F1884" t="s">
        <v>14</v>
      </c>
      <c r="G1884">
        <v>86.91</v>
      </c>
      <c r="H1884" t="s">
        <v>15</v>
      </c>
      <c r="I1884" t="s">
        <v>36</v>
      </c>
      <c r="J1884" t="s">
        <v>17</v>
      </c>
    </row>
    <row r="1885" spans="1:10" x14ac:dyDescent="0.35">
      <c r="A1885" t="s">
        <v>2065</v>
      </c>
      <c r="B1885" s="1">
        <v>45994</v>
      </c>
      <c r="C1885" t="s">
        <v>135</v>
      </c>
      <c r="D1885" t="s">
        <v>101</v>
      </c>
      <c r="E1885" t="s">
        <v>102</v>
      </c>
      <c r="F1885" t="s">
        <v>14</v>
      </c>
      <c r="G1885">
        <v>70.66</v>
      </c>
      <c r="H1885" t="s">
        <v>15</v>
      </c>
      <c r="I1885" t="s">
        <v>47</v>
      </c>
      <c r="J1885" t="s">
        <v>136</v>
      </c>
    </row>
    <row r="1886" spans="1:10" x14ac:dyDescent="0.35">
      <c r="A1886" t="s">
        <v>2066</v>
      </c>
      <c r="B1886" s="1">
        <v>45994</v>
      </c>
      <c r="C1886" t="s">
        <v>73</v>
      </c>
      <c r="D1886" t="s">
        <v>54</v>
      </c>
      <c r="E1886" t="s">
        <v>74</v>
      </c>
      <c r="F1886" t="s">
        <v>54</v>
      </c>
      <c r="G1886">
        <v>2499.83</v>
      </c>
      <c r="H1886" t="s">
        <v>15</v>
      </c>
      <c r="I1886" t="s">
        <v>47</v>
      </c>
      <c r="J1886" t="s">
        <v>65</v>
      </c>
    </row>
    <row r="1887" spans="1:10" x14ac:dyDescent="0.35">
      <c r="A1887" t="s">
        <v>2067</v>
      </c>
      <c r="B1887" s="1">
        <v>45994</v>
      </c>
      <c r="C1887" t="s">
        <v>227</v>
      </c>
      <c r="D1887" t="s">
        <v>12</v>
      </c>
      <c r="E1887" t="s">
        <v>51</v>
      </c>
      <c r="F1887" t="s">
        <v>14</v>
      </c>
      <c r="G1887">
        <v>38.01</v>
      </c>
      <c r="H1887" t="s">
        <v>15</v>
      </c>
      <c r="I1887" t="s">
        <v>22</v>
      </c>
      <c r="J1887" t="s">
        <v>17</v>
      </c>
    </row>
    <row r="1888" spans="1:10" x14ac:dyDescent="0.35">
      <c r="A1888" t="s">
        <v>2068</v>
      </c>
      <c r="B1888" s="1">
        <v>45996</v>
      </c>
      <c r="C1888" t="s">
        <v>132</v>
      </c>
      <c r="D1888" t="s">
        <v>69</v>
      </c>
      <c r="E1888" t="s">
        <v>70</v>
      </c>
      <c r="F1888" t="s">
        <v>14</v>
      </c>
      <c r="G1888">
        <v>979.93</v>
      </c>
      <c r="H1888" t="s">
        <v>15</v>
      </c>
      <c r="I1888" t="s">
        <v>36</v>
      </c>
      <c r="J1888" t="s">
        <v>133</v>
      </c>
    </row>
    <row r="1889" spans="1:10" x14ac:dyDescent="0.35">
      <c r="A1889" t="s">
        <v>2069</v>
      </c>
      <c r="B1889" s="1">
        <v>45996</v>
      </c>
      <c r="C1889" t="s">
        <v>39</v>
      </c>
      <c r="D1889" t="s">
        <v>34</v>
      </c>
      <c r="E1889" t="s">
        <v>40</v>
      </c>
      <c r="F1889" t="s">
        <v>14</v>
      </c>
      <c r="G1889">
        <v>159.06</v>
      </c>
      <c r="H1889" t="s">
        <v>15</v>
      </c>
      <c r="I1889" t="s">
        <v>36</v>
      </c>
      <c r="J1889" t="s">
        <v>41</v>
      </c>
    </row>
    <row r="1890" spans="1:10" x14ac:dyDescent="0.35">
      <c r="A1890" t="s">
        <v>2070</v>
      </c>
      <c r="B1890" s="1">
        <v>45996</v>
      </c>
      <c r="C1890" t="s">
        <v>177</v>
      </c>
      <c r="D1890" t="s">
        <v>54</v>
      </c>
      <c r="E1890" t="s">
        <v>74</v>
      </c>
      <c r="F1890" t="s">
        <v>54</v>
      </c>
      <c r="G1890">
        <v>2893.05</v>
      </c>
      <c r="H1890" t="s">
        <v>98</v>
      </c>
      <c r="I1890" t="s">
        <v>84</v>
      </c>
      <c r="J1890" t="s">
        <v>56</v>
      </c>
    </row>
    <row r="1891" spans="1:10" x14ac:dyDescent="0.35">
      <c r="A1891" t="s">
        <v>2071</v>
      </c>
      <c r="B1891" s="1">
        <v>45996</v>
      </c>
      <c r="C1891" t="s">
        <v>331</v>
      </c>
      <c r="D1891" t="s">
        <v>29</v>
      </c>
      <c r="E1891" t="s">
        <v>95</v>
      </c>
      <c r="F1891" t="s">
        <v>14</v>
      </c>
      <c r="G1891">
        <v>19.28</v>
      </c>
      <c r="H1891" t="s">
        <v>15</v>
      </c>
      <c r="I1891" t="s">
        <v>22</v>
      </c>
      <c r="J1891" t="s">
        <v>151</v>
      </c>
    </row>
    <row r="1892" spans="1:10" x14ac:dyDescent="0.35">
      <c r="A1892" t="s">
        <v>2072</v>
      </c>
      <c r="B1892" s="1">
        <v>45996</v>
      </c>
      <c r="C1892" t="s">
        <v>79</v>
      </c>
      <c r="D1892" t="s">
        <v>80</v>
      </c>
      <c r="E1892" t="s">
        <v>81</v>
      </c>
      <c r="F1892" t="s">
        <v>14</v>
      </c>
      <c r="G1892">
        <v>94.83</v>
      </c>
      <c r="H1892" t="s">
        <v>21</v>
      </c>
      <c r="I1892" t="s">
        <v>22</v>
      </c>
      <c r="J1892" t="s">
        <v>82</v>
      </c>
    </row>
    <row r="1893" spans="1:10" x14ac:dyDescent="0.35">
      <c r="A1893" t="s">
        <v>2073</v>
      </c>
      <c r="B1893" s="1">
        <v>45996</v>
      </c>
      <c r="C1893" t="s">
        <v>73</v>
      </c>
      <c r="D1893" t="s">
        <v>54</v>
      </c>
      <c r="E1893" t="s">
        <v>74</v>
      </c>
      <c r="F1893" t="s">
        <v>54</v>
      </c>
      <c r="G1893">
        <v>2476.52</v>
      </c>
      <c r="H1893" t="s">
        <v>21</v>
      </c>
      <c r="I1893" t="s">
        <v>22</v>
      </c>
      <c r="J1893" t="s">
        <v>65</v>
      </c>
    </row>
    <row r="1894" spans="1:10" x14ac:dyDescent="0.35">
      <c r="A1894" t="s">
        <v>2074</v>
      </c>
      <c r="B1894" s="1">
        <v>45996</v>
      </c>
      <c r="C1894" t="s">
        <v>267</v>
      </c>
      <c r="D1894" t="s">
        <v>29</v>
      </c>
      <c r="E1894" t="s">
        <v>30</v>
      </c>
      <c r="F1894" t="s">
        <v>14</v>
      </c>
      <c r="G1894">
        <v>26.48</v>
      </c>
      <c r="H1894" t="s">
        <v>15</v>
      </c>
      <c r="I1894" t="s">
        <v>22</v>
      </c>
      <c r="J1894" t="s">
        <v>96</v>
      </c>
    </row>
    <row r="1895" spans="1:10" x14ac:dyDescent="0.35">
      <c r="A1895" t="s">
        <v>2075</v>
      </c>
      <c r="B1895" s="1">
        <v>45997</v>
      </c>
      <c r="C1895" t="s">
        <v>281</v>
      </c>
      <c r="D1895" t="s">
        <v>34</v>
      </c>
      <c r="E1895" t="s">
        <v>40</v>
      </c>
      <c r="F1895" t="s">
        <v>14</v>
      </c>
      <c r="G1895">
        <v>110</v>
      </c>
      <c r="H1895" t="s">
        <v>15</v>
      </c>
      <c r="I1895" t="s">
        <v>22</v>
      </c>
      <c r="J1895" t="s">
        <v>123</v>
      </c>
    </row>
    <row r="1896" spans="1:10" x14ac:dyDescent="0.35">
      <c r="A1896" t="s">
        <v>2076</v>
      </c>
      <c r="B1896" s="1">
        <v>45997</v>
      </c>
      <c r="C1896" t="s">
        <v>140</v>
      </c>
      <c r="D1896" t="s">
        <v>80</v>
      </c>
      <c r="E1896" t="s">
        <v>81</v>
      </c>
      <c r="F1896" t="s">
        <v>14</v>
      </c>
      <c r="G1896">
        <v>49.71</v>
      </c>
      <c r="H1896" t="s">
        <v>15</v>
      </c>
      <c r="I1896" t="s">
        <v>47</v>
      </c>
      <c r="J1896" t="s">
        <v>141</v>
      </c>
    </row>
    <row r="1897" spans="1:10" x14ac:dyDescent="0.35">
      <c r="A1897" t="s">
        <v>2077</v>
      </c>
      <c r="B1897" s="1">
        <v>45997</v>
      </c>
      <c r="C1897" t="s">
        <v>163</v>
      </c>
      <c r="D1897" t="s">
        <v>80</v>
      </c>
      <c r="E1897" t="s">
        <v>92</v>
      </c>
      <c r="F1897" t="s">
        <v>14</v>
      </c>
      <c r="G1897">
        <v>10.23</v>
      </c>
      <c r="H1897" t="s">
        <v>15</v>
      </c>
      <c r="I1897" t="s">
        <v>22</v>
      </c>
      <c r="J1897" t="s">
        <v>118</v>
      </c>
    </row>
    <row r="1898" spans="1:10" x14ac:dyDescent="0.35">
      <c r="A1898" t="s">
        <v>2078</v>
      </c>
      <c r="B1898" s="1">
        <v>45997</v>
      </c>
      <c r="C1898" t="s">
        <v>132</v>
      </c>
      <c r="D1898" t="s">
        <v>69</v>
      </c>
      <c r="E1898" t="s">
        <v>70</v>
      </c>
      <c r="F1898" t="s">
        <v>14</v>
      </c>
      <c r="G1898">
        <v>397.11</v>
      </c>
      <c r="H1898" t="s">
        <v>15</v>
      </c>
      <c r="I1898" t="s">
        <v>16</v>
      </c>
      <c r="J1898" t="s">
        <v>133</v>
      </c>
    </row>
    <row r="1899" spans="1:10" x14ac:dyDescent="0.35">
      <c r="A1899" t="s">
        <v>2079</v>
      </c>
      <c r="B1899" s="1">
        <v>45997</v>
      </c>
      <c r="C1899" t="s">
        <v>125</v>
      </c>
      <c r="D1899" t="s">
        <v>12</v>
      </c>
      <c r="E1899" t="s">
        <v>13</v>
      </c>
      <c r="F1899" t="s">
        <v>14</v>
      </c>
      <c r="G1899">
        <v>73.150000000000006</v>
      </c>
      <c r="H1899" t="s">
        <v>15</v>
      </c>
      <c r="I1899" t="s">
        <v>22</v>
      </c>
      <c r="J1899" t="s">
        <v>44</v>
      </c>
    </row>
    <row r="1900" spans="1:10" x14ac:dyDescent="0.35">
      <c r="A1900" t="s">
        <v>2080</v>
      </c>
      <c r="B1900" s="1">
        <v>45998</v>
      </c>
      <c r="C1900" t="s">
        <v>50</v>
      </c>
      <c r="D1900" t="s">
        <v>12</v>
      </c>
      <c r="E1900" t="s">
        <v>51</v>
      </c>
      <c r="F1900" t="s">
        <v>14</v>
      </c>
      <c r="G1900">
        <v>77.48</v>
      </c>
      <c r="H1900" t="s">
        <v>21</v>
      </c>
      <c r="I1900" t="s">
        <v>22</v>
      </c>
      <c r="J1900" t="s">
        <v>44</v>
      </c>
    </row>
    <row r="1901" spans="1:10" x14ac:dyDescent="0.35">
      <c r="A1901" t="s">
        <v>2081</v>
      </c>
      <c r="B1901" s="1">
        <v>45998</v>
      </c>
      <c r="C1901" t="s">
        <v>411</v>
      </c>
      <c r="D1901" t="s">
        <v>29</v>
      </c>
      <c r="E1901" t="s">
        <v>151</v>
      </c>
      <c r="F1901" t="s">
        <v>14</v>
      </c>
      <c r="G1901">
        <v>23.37</v>
      </c>
      <c r="H1901" t="s">
        <v>15</v>
      </c>
      <c r="I1901" t="s">
        <v>22</v>
      </c>
      <c r="J1901" t="s">
        <v>151</v>
      </c>
    </row>
    <row r="1902" spans="1:10" x14ac:dyDescent="0.35">
      <c r="A1902" t="s">
        <v>2082</v>
      </c>
      <c r="B1902" s="1">
        <v>45999</v>
      </c>
      <c r="C1902" t="s">
        <v>350</v>
      </c>
      <c r="D1902" t="s">
        <v>29</v>
      </c>
      <c r="E1902" t="s">
        <v>151</v>
      </c>
      <c r="F1902" t="s">
        <v>14</v>
      </c>
      <c r="G1902">
        <v>56.05</v>
      </c>
      <c r="H1902" t="s">
        <v>15</v>
      </c>
      <c r="I1902" t="s">
        <v>22</v>
      </c>
      <c r="J1902" t="s">
        <v>158</v>
      </c>
    </row>
    <row r="1903" spans="1:10" x14ac:dyDescent="0.35">
      <c r="A1903" t="s">
        <v>2083</v>
      </c>
      <c r="B1903" s="1">
        <v>45999</v>
      </c>
      <c r="C1903" t="s">
        <v>272</v>
      </c>
      <c r="D1903" t="s">
        <v>54</v>
      </c>
      <c r="E1903" t="s">
        <v>55</v>
      </c>
      <c r="F1903" t="s">
        <v>54</v>
      </c>
      <c r="G1903">
        <v>813.22</v>
      </c>
      <c r="H1903" t="s">
        <v>21</v>
      </c>
      <c r="I1903" t="s">
        <v>36</v>
      </c>
      <c r="J1903" t="s">
        <v>65</v>
      </c>
    </row>
    <row r="1904" spans="1:10" x14ac:dyDescent="0.35">
      <c r="A1904" t="s">
        <v>2084</v>
      </c>
      <c r="B1904" s="1">
        <v>45999</v>
      </c>
      <c r="C1904" t="s">
        <v>73</v>
      </c>
      <c r="D1904" t="s">
        <v>54</v>
      </c>
      <c r="E1904" t="s">
        <v>74</v>
      </c>
      <c r="F1904" t="s">
        <v>54</v>
      </c>
      <c r="G1904">
        <v>2178.4699999999998</v>
      </c>
      <c r="H1904" t="s">
        <v>15</v>
      </c>
      <c r="I1904" t="s">
        <v>47</v>
      </c>
      <c r="J1904" t="s">
        <v>65</v>
      </c>
    </row>
    <row r="1905" spans="1:10" x14ac:dyDescent="0.35">
      <c r="A1905" t="s">
        <v>2085</v>
      </c>
      <c r="B1905" s="1">
        <v>46000</v>
      </c>
      <c r="C1905" t="s">
        <v>347</v>
      </c>
      <c r="D1905" t="s">
        <v>29</v>
      </c>
      <c r="E1905" t="s">
        <v>151</v>
      </c>
      <c r="F1905" t="s">
        <v>14</v>
      </c>
      <c r="G1905">
        <v>17.920000000000002</v>
      </c>
      <c r="H1905" t="s">
        <v>21</v>
      </c>
      <c r="I1905" t="s">
        <v>84</v>
      </c>
      <c r="J1905" t="s">
        <v>96</v>
      </c>
    </row>
    <row r="1906" spans="1:10" x14ac:dyDescent="0.35">
      <c r="A1906" t="s">
        <v>2086</v>
      </c>
      <c r="B1906" s="1">
        <v>46000</v>
      </c>
      <c r="C1906" t="s">
        <v>157</v>
      </c>
      <c r="D1906" t="s">
        <v>29</v>
      </c>
      <c r="E1906" t="s">
        <v>95</v>
      </c>
      <c r="F1906" t="s">
        <v>14</v>
      </c>
      <c r="G1906">
        <v>40.24</v>
      </c>
      <c r="H1906" t="s">
        <v>15</v>
      </c>
      <c r="I1906" t="s">
        <v>22</v>
      </c>
      <c r="J1906" t="s">
        <v>158</v>
      </c>
    </row>
    <row r="1907" spans="1:10" x14ac:dyDescent="0.35">
      <c r="A1907" t="s">
        <v>2087</v>
      </c>
      <c r="B1907" s="1">
        <v>46000</v>
      </c>
      <c r="C1907" t="s">
        <v>53</v>
      </c>
      <c r="D1907" t="s">
        <v>54</v>
      </c>
      <c r="E1907" t="s">
        <v>55</v>
      </c>
      <c r="F1907" t="s">
        <v>54</v>
      </c>
      <c r="G1907">
        <v>668</v>
      </c>
      <c r="H1907" t="s">
        <v>98</v>
      </c>
      <c r="I1907" t="s">
        <v>22</v>
      </c>
      <c r="J1907" t="s">
        <v>56</v>
      </c>
    </row>
    <row r="1908" spans="1:10" x14ac:dyDescent="0.35">
      <c r="A1908" t="s">
        <v>2088</v>
      </c>
      <c r="B1908" s="1">
        <v>46000</v>
      </c>
      <c r="C1908" t="s">
        <v>177</v>
      </c>
      <c r="D1908" t="s">
        <v>54</v>
      </c>
      <c r="E1908" t="s">
        <v>74</v>
      </c>
      <c r="F1908" t="s">
        <v>54</v>
      </c>
      <c r="G1908">
        <v>2418.84</v>
      </c>
      <c r="H1908" t="s">
        <v>15</v>
      </c>
      <c r="I1908" t="s">
        <v>16</v>
      </c>
      <c r="J1908" t="s">
        <v>56</v>
      </c>
    </row>
    <row r="1909" spans="1:10" x14ac:dyDescent="0.35">
      <c r="A1909" t="s">
        <v>2089</v>
      </c>
      <c r="B1909" s="1">
        <v>46000</v>
      </c>
      <c r="C1909" t="s">
        <v>63</v>
      </c>
      <c r="D1909" t="s">
        <v>54</v>
      </c>
      <c r="E1909" t="s">
        <v>64</v>
      </c>
      <c r="F1909" t="s">
        <v>54</v>
      </c>
      <c r="G1909">
        <v>289.8</v>
      </c>
      <c r="H1909" t="s">
        <v>21</v>
      </c>
      <c r="I1909" t="s">
        <v>22</v>
      </c>
      <c r="J1909" t="s">
        <v>65</v>
      </c>
    </row>
    <row r="1910" spans="1:10" x14ac:dyDescent="0.35">
      <c r="A1910" t="s">
        <v>2090</v>
      </c>
      <c r="B1910" s="1">
        <v>46000</v>
      </c>
      <c r="C1910" t="s">
        <v>251</v>
      </c>
      <c r="D1910" t="s">
        <v>29</v>
      </c>
      <c r="E1910" t="s">
        <v>151</v>
      </c>
      <c r="F1910" t="s">
        <v>14</v>
      </c>
      <c r="G1910">
        <v>20.07</v>
      </c>
      <c r="H1910" t="s">
        <v>15</v>
      </c>
      <c r="I1910" t="s">
        <v>16</v>
      </c>
      <c r="J1910" t="s">
        <v>31</v>
      </c>
    </row>
    <row r="1911" spans="1:10" x14ac:dyDescent="0.35">
      <c r="A1911" t="s">
        <v>2091</v>
      </c>
      <c r="B1911" s="1">
        <v>46000</v>
      </c>
      <c r="C1911" t="s">
        <v>121</v>
      </c>
      <c r="D1911" t="s">
        <v>34</v>
      </c>
      <c r="E1911" t="s">
        <v>122</v>
      </c>
      <c r="F1911" t="s">
        <v>14</v>
      </c>
      <c r="G1911">
        <v>85.17</v>
      </c>
      <c r="H1911" t="s">
        <v>21</v>
      </c>
      <c r="I1911" t="s">
        <v>47</v>
      </c>
      <c r="J1911" t="s">
        <v>123</v>
      </c>
    </row>
    <row r="1912" spans="1:10" x14ac:dyDescent="0.35">
      <c r="A1912" t="s">
        <v>2092</v>
      </c>
      <c r="B1912" s="1">
        <v>46000</v>
      </c>
      <c r="C1912" t="s">
        <v>138</v>
      </c>
      <c r="D1912" t="s">
        <v>12</v>
      </c>
      <c r="E1912" t="s">
        <v>26</v>
      </c>
      <c r="F1912" t="s">
        <v>14</v>
      </c>
      <c r="G1912">
        <v>28.47</v>
      </c>
      <c r="H1912" t="s">
        <v>21</v>
      </c>
      <c r="I1912" t="s">
        <v>47</v>
      </c>
      <c r="J1912" t="s">
        <v>77</v>
      </c>
    </row>
    <row r="1913" spans="1:10" x14ac:dyDescent="0.35">
      <c r="A1913" t="s">
        <v>2093</v>
      </c>
      <c r="B1913" s="1">
        <v>46001</v>
      </c>
      <c r="C1913" t="s">
        <v>94</v>
      </c>
      <c r="D1913" t="s">
        <v>29</v>
      </c>
      <c r="E1913" t="s">
        <v>95</v>
      </c>
      <c r="F1913" t="s">
        <v>14</v>
      </c>
      <c r="G1913">
        <v>64.02</v>
      </c>
      <c r="H1913" t="s">
        <v>21</v>
      </c>
      <c r="I1913" t="s">
        <v>36</v>
      </c>
      <c r="J1913" t="s">
        <v>96</v>
      </c>
    </row>
    <row r="1914" spans="1:10" x14ac:dyDescent="0.35">
      <c r="A1914" t="s">
        <v>2094</v>
      </c>
      <c r="B1914" s="1">
        <v>46001</v>
      </c>
      <c r="C1914" t="s">
        <v>308</v>
      </c>
      <c r="D1914" t="s">
        <v>54</v>
      </c>
      <c r="E1914" t="s">
        <v>64</v>
      </c>
      <c r="F1914" t="s">
        <v>54</v>
      </c>
      <c r="G1914">
        <v>344.5</v>
      </c>
      <c r="H1914" t="s">
        <v>21</v>
      </c>
      <c r="I1914" t="s">
        <v>84</v>
      </c>
      <c r="J1914" t="s">
        <v>89</v>
      </c>
    </row>
    <row r="1915" spans="1:10" x14ac:dyDescent="0.35">
      <c r="A1915" t="s">
        <v>2095</v>
      </c>
      <c r="B1915" s="1">
        <v>46001</v>
      </c>
      <c r="C1915" t="s">
        <v>248</v>
      </c>
      <c r="D1915" t="s">
        <v>80</v>
      </c>
      <c r="E1915" t="s">
        <v>81</v>
      </c>
      <c r="F1915" t="s">
        <v>14</v>
      </c>
      <c r="G1915">
        <v>72.06</v>
      </c>
      <c r="H1915" t="s">
        <v>15</v>
      </c>
      <c r="I1915" t="s">
        <v>36</v>
      </c>
      <c r="J1915" t="s">
        <v>161</v>
      </c>
    </row>
    <row r="1916" spans="1:10" x14ac:dyDescent="0.35">
      <c r="A1916" t="s">
        <v>2096</v>
      </c>
      <c r="B1916" s="1">
        <v>46001</v>
      </c>
      <c r="C1916" t="s">
        <v>46</v>
      </c>
      <c r="D1916" t="s">
        <v>12</v>
      </c>
      <c r="E1916" t="s">
        <v>13</v>
      </c>
      <c r="F1916" t="s">
        <v>14</v>
      </c>
      <c r="G1916">
        <v>61.43</v>
      </c>
      <c r="H1916" t="s">
        <v>15</v>
      </c>
      <c r="I1916" t="s">
        <v>16</v>
      </c>
      <c r="J1916" t="s">
        <v>48</v>
      </c>
    </row>
    <row r="1917" spans="1:10" x14ac:dyDescent="0.35">
      <c r="A1917" t="s">
        <v>2097</v>
      </c>
      <c r="B1917" s="1">
        <v>46001</v>
      </c>
      <c r="C1917" t="s">
        <v>143</v>
      </c>
      <c r="D1917" t="s">
        <v>54</v>
      </c>
      <c r="E1917" t="s">
        <v>55</v>
      </c>
      <c r="F1917" t="s">
        <v>54</v>
      </c>
      <c r="G1917">
        <v>598.98</v>
      </c>
      <c r="H1917" t="s">
        <v>15</v>
      </c>
      <c r="I1917" t="s">
        <v>22</v>
      </c>
      <c r="J1917" t="s">
        <v>89</v>
      </c>
    </row>
    <row r="1918" spans="1:10" x14ac:dyDescent="0.35">
      <c r="A1918" t="s">
        <v>2098</v>
      </c>
      <c r="B1918" s="1">
        <v>46001</v>
      </c>
      <c r="C1918" t="s">
        <v>168</v>
      </c>
      <c r="D1918" t="s">
        <v>59</v>
      </c>
      <c r="E1918" t="s">
        <v>60</v>
      </c>
      <c r="F1918" t="s">
        <v>14</v>
      </c>
      <c r="G1918">
        <v>448.51</v>
      </c>
      <c r="H1918" t="s">
        <v>21</v>
      </c>
      <c r="I1918" t="s">
        <v>16</v>
      </c>
      <c r="J1918" t="s">
        <v>170</v>
      </c>
    </row>
    <row r="1919" spans="1:10" x14ac:dyDescent="0.35">
      <c r="A1919" t="s">
        <v>2099</v>
      </c>
      <c r="B1919" s="1">
        <v>46002</v>
      </c>
      <c r="C1919" t="s">
        <v>50</v>
      </c>
      <c r="D1919" t="s">
        <v>12</v>
      </c>
      <c r="E1919" t="s">
        <v>51</v>
      </c>
      <c r="F1919" t="s">
        <v>14</v>
      </c>
      <c r="G1919">
        <v>67.52</v>
      </c>
      <c r="H1919" t="s">
        <v>15</v>
      </c>
      <c r="I1919" t="s">
        <v>22</v>
      </c>
      <c r="J1919" t="s">
        <v>44</v>
      </c>
    </row>
    <row r="1920" spans="1:10" x14ac:dyDescent="0.35">
      <c r="A1920" t="s">
        <v>2100</v>
      </c>
      <c r="B1920" s="1">
        <v>46002</v>
      </c>
      <c r="C1920" t="s">
        <v>215</v>
      </c>
      <c r="D1920" t="s">
        <v>80</v>
      </c>
      <c r="E1920" t="s">
        <v>117</v>
      </c>
      <c r="F1920" t="s">
        <v>14</v>
      </c>
      <c r="G1920">
        <v>119.9</v>
      </c>
      <c r="H1920" t="s">
        <v>15</v>
      </c>
      <c r="I1920" t="s">
        <v>47</v>
      </c>
      <c r="J1920" t="s">
        <v>141</v>
      </c>
    </row>
    <row r="1921" spans="1:10" x14ac:dyDescent="0.35">
      <c r="A1921" t="s">
        <v>2101</v>
      </c>
      <c r="B1921" s="1">
        <v>46002</v>
      </c>
      <c r="C1921" t="s">
        <v>116</v>
      </c>
      <c r="D1921" t="s">
        <v>80</v>
      </c>
      <c r="E1921" t="s">
        <v>117</v>
      </c>
      <c r="F1921" t="s">
        <v>14</v>
      </c>
      <c r="G1921">
        <v>23.26</v>
      </c>
      <c r="H1921" t="s">
        <v>15</v>
      </c>
      <c r="I1921" t="s">
        <v>22</v>
      </c>
      <c r="J1921" t="s">
        <v>118</v>
      </c>
    </row>
    <row r="1922" spans="1:10" x14ac:dyDescent="0.35">
      <c r="A1922" t="s">
        <v>2102</v>
      </c>
      <c r="B1922" s="1">
        <v>46003</v>
      </c>
      <c r="C1922" t="s">
        <v>272</v>
      </c>
      <c r="D1922" t="s">
        <v>54</v>
      </c>
      <c r="E1922" t="s">
        <v>55</v>
      </c>
      <c r="F1922" t="s">
        <v>54</v>
      </c>
      <c r="G1922">
        <v>568.49</v>
      </c>
      <c r="H1922" t="s">
        <v>21</v>
      </c>
      <c r="I1922" t="s">
        <v>16</v>
      </c>
      <c r="J1922" t="s">
        <v>65</v>
      </c>
    </row>
    <row r="1923" spans="1:10" x14ac:dyDescent="0.35">
      <c r="A1923" t="s">
        <v>2103</v>
      </c>
      <c r="B1923" s="1">
        <v>46003</v>
      </c>
      <c r="C1923" t="s">
        <v>143</v>
      </c>
      <c r="D1923" t="s">
        <v>54</v>
      </c>
      <c r="E1923" t="s">
        <v>55</v>
      </c>
      <c r="F1923" t="s">
        <v>54</v>
      </c>
      <c r="G1923">
        <v>667.24</v>
      </c>
      <c r="H1923" t="s">
        <v>15</v>
      </c>
      <c r="I1923" t="s">
        <v>36</v>
      </c>
      <c r="J1923" t="s">
        <v>89</v>
      </c>
    </row>
    <row r="1924" spans="1:10" x14ac:dyDescent="0.35">
      <c r="A1924" t="s">
        <v>2104</v>
      </c>
      <c r="B1924" s="1">
        <v>46003</v>
      </c>
      <c r="C1924" t="s">
        <v>331</v>
      </c>
      <c r="D1924" t="s">
        <v>29</v>
      </c>
      <c r="E1924" t="s">
        <v>95</v>
      </c>
      <c r="F1924" t="s">
        <v>14</v>
      </c>
      <c r="G1924">
        <v>41.37</v>
      </c>
      <c r="H1924" t="s">
        <v>15</v>
      </c>
      <c r="I1924" t="s">
        <v>22</v>
      </c>
      <c r="J1924" t="s">
        <v>151</v>
      </c>
    </row>
    <row r="1925" spans="1:10" x14ac:dyDescent="0.35">
      <c r="A1925" t="s">
        <v>2105</v>
      </c>
      <c r="B1925" s="1">
        <v>46003</v>
      </c>
      <c r="C1925" t="s">
        <v>308</v>
      </c>
      <c r="D1925" t="s">
        <v>54</v>
      </c>
      <c r="E1925" t="s">
        <v>64</v>
      </c>
      <c r="F1925" t="s">
        <v>54</v>
      </c>
      <c r="G1925">
        <v>393.88</v>
      </c>
      <c r="H1925" t="s">
        <v>15</v>
      </c>
      <c r="I1925" t="s">
        <v>22</v>
      </c>
      <c r="J1925" t="s">
        <v>89</v>
      </c>
    </row>
    <row r="1926" spans="1:10" x14ac:dyDescent="0.35">
      <c r="A1926" t="s">
        <v>2106</v>
      </c>
      <c r="B1926" s="1">
        <v>46003</v>
      </c>
      <c r="C1926" t="s">
        <v>88</v>
      </c>
      <c r="D1926" t="s">
        <v>54</v>
      </c>
      <c r="E1926" t="s">
        <v>74</v>
      </c>
      <c r="F1926" t="s">
        <v>54</v>
      </c>
      <c r="G1926">
        <v>2237.94</v>
      </c>
      <c r="H1926" t="s">
        <v>15</v>
      </c>
      <c r="I1926" t="s">
        <v>22</v>
      </c>
      <c r="J1926" t="s">
        <v>89</v>
      </c>
    </row>
    <row r="1927" spans="1:10" x14ac:dyDescent="0.35">
      <c r="A1927" t="s">
        <v>2107</v>
      </c>
      <c r="B1927" s="1">
        <v>46003</v>
      </c>
      <c r="C1927" t="s">
        <v>350</v>
      </c>
      <c r="D1927" t="s">
        <v>29</v>
      </c>
      <c r="E1927" t="s">
        <v>151</v>
      </c>
      <c r="F1927" t="s">
        <v>14</v>
      </c>
      <c r="G1927">
        <v>44.05</v>
      </c>
      <c r="H1927" t="s">
        <v>21</v>
      </c>
      <c r="I1927" t="s">
        <v>16</v>
      </c>
      <c r="J1927" t="s">
        <v>158</v>
      </c>
    </row>
    <row r="1928" spans="1:10" x14ac:dyDescent="0.35">
      <c r="A1928" t="s">
        <v>2108</v>
      </c>
      <c r="B1928" s="1">
        <v>46003</v>
      </c>
      <c r="C1928" t="s">
        <v>238</v>
      </c>
      <c r="D1928" t="s">
        <v>34</v>
      </c>
      <c r="E1928" t="s">
        <v>35</v>
      </c>
      <c r="F1928" t="s">
        <v>14</v>
      </c>
      <c r="G1928">
        <v>158.19</v>
      </c>
      <c r="H1928" t="s">
        <v>15</v>
      </c>
      <c r="I1928" t="s">
        <v>22</v>
      </c>
      <c r="J1928" t="s">
        <v>239</v>
      </c>
    </row>
    <row r="1929" spans="1:10" x14ac:dyDescent="0.35">
      <c r="A1929" t="s">
        <v>2109</v>
      </c>
      <c r="B1929" s="1">
        <v>46003</v>
      </c>
      <c r="C1929" t="s">
        <v>267</v>
      </c>
      <c r="D1929" t="s">
        <v>29</v>
      </c>
      <c r="E1929" t="s">
        <v>30</v>
      </c>
      <c r="F1929" t="s">
        <v>14</v>
      </c>
      <c r="G1929">
        <v>10.42</v>
      </c>
      <c r="H1929" t="s">
        <v>15</v>
      </c>
      <c r="I1929" t="s">
        <v>36</v>
      </c>
      <c r="J1929" t="s">
        <v>96</v>
      </c>
    </row>
    <row r="1930" spans="1:10" x14ac:dyDescent="0.35">
      <c r="A1930" t="s">
        <v>2110</v>
      </c>
      <c r="B1930" s="1">
        <v>46003</v>
      </c>
      <c r="C1930" t="s">
        <v>308</v>
      </c>
      <c r="D1930" t="s">
        <v>54</v>
      </c>
      <c r="E1930" t="s">
        <v>64</v>
      </c>
      <c r="F1930" t="s">
        <v>54</v>
      </c>
      <c r="G1930">
        <v>365.89</v>
      </c>
      <c r="H1930" t="s">
        <v>21</v>
      </c>
      <c r="I1930" t="s">
        <v>22</v>
      </c>
      <c r="J1930" t="s">
        <v>89</v>
      </c>
    </row>
    <row r="1931" spans="1:10" x14ac:dyDescent="0.35">
      <c r="A1931" t="s">
        <v>2111</v>
      </c>
      <c r="B1931" s="1">
        <v>46004</v>
      </c>
      <c r="C1931" t="s">
        <v>464</v>
      </c>
      <c r="D1931" t="s">
        <v>34</v>
      </c>
      <c r="E1931" t="s">
        <v>122</v>
      </c>
      <c r="F1931" t="s">
        <v>14</v>
      </c>
      <c r="G1931">
        <v>278.19</v>
      </c>
      <c r="H1931" t="s">
        <v>15</v>
      </c>
      <c r="I1931" t="s">
        <v>47</v>
      </c>
      <c r="J1931" t="s">
        <v>239</v>
      </c>
    </row>
    <row r="1932" spans="1:10" x14ac:dyDescent="0.35">
      <c r="A1932" t="s">
        <v>2112</v>
      </c>
      <c r="B1932" s="1">
        <v>46004</v>
      </c>
      <c r="C1932" t="s">
        <v>411</v>
      </c>
      <c r="D1932" t="s">
        <v>29</v>
      </c>
      <c r="E1932" t="s">
        <v>151</v>
      </c>
      <c r="F1932" t="s">
        <v>14</v>
      </c>
      <c r="G1932">
        <v>39.58</v>
      </c>
      <c r="H1932" t="s">
        <v>15</v>
      </c>
      <c r="I1932" t="s">
        <v>16</v>
      </c>
      <c r="J1932" t="s">
        <v>151</v>
      </c>
    </row>
    <row r="1933" spans="1:10" x14ac:dyDescent="0.35">
      <c r="A1933" t="s">
        <v>2113</v>
      </c>
      <c r="B1933" s="1">
        <v>46005</v>
      </c>
      <c r="C1933" t="s">
        <v>153</v>
      </c>
      <c r="D1933" t="s">
        <v>34</v>
      </c>
      <c r="E1933" t="s">
        <v>122</v>
      </c>
      <c r="F1933" t="s">
        <v>14</v>
      </c>
      <c r="G1933">
        <v>177.31</v>
      </c>
      <c r="H1933" t="s">
        <v>15</v>
      </c>
      <c r="I1933" t="s">
        <v>22</v>
      </c>
      <c r="J1933" t="s">
        <v>41</v>
      </c>
    </row>
    <row r="1934" spans="1:10" x14ac:dyDescent="0.35">
      <c r="A1934" t="s">
        <v>2114</v>
      </c>
      <c r="B1934" s="1">
        <v>46005</v>
      </c>
      <c r="C1934" t="s">
        <v>19</v>
      </c>
      <c r="D1934" t="s">
        <v>12</v>
      </c>
      <c r="E1934" t="s">
        <v>13</v>
      </c>
      <c r="F1934" t="s">
        <v>14</v>
      </c>
      <c r="G1934">
        <v>96.05</v>
      </c>
      <c r="H1934" t="s">
        <v>15</v>
      </c>
      <c r="I1934" t="s">
        <v>47</v>
      </c>
      <c r="J1934" t="s">
        <v>23</v>
      </c>
    </row>
    <row r="1935" spans="1:10" x14ac:dyDescent="0.35">
      <c r="A1935" t="s">
        <v>2115</v>
      </c>
      <c r="B1935" s="1">
        <v>46005</v>
      </c>
      <c r="C1935" t="s">
        <v>238</v>
      </c>
      <c r="D1935" t="s">
        <v>2116</v>
      </c>
      <c r="E1935" t="s">
        <v>35</v>
      </c>
      <c r="F1935" t="s">
        <v>14</v>
      </c>
      <c r="G1935">
        <v>340.03</v>
      </c>
      <c r="H1935" t="s">
        <v>15</v>
      </c>
      <c r="I1935" t="s">
        <v>84</v>
      </c>
      <c r="J1935" t="s">
        <v>239</v>
      </c>
    </row>
    <row r="1936" spans="1:10" x14ac:dyDescent="0.35">
      <c r="A1936" t="s">
        <v>2117</v>
      </c>
      <c r="B1936" s="1">
        <v>46005</v>
      </c>
      <c r="C1936" t="s">
        <v>88</v>
      </c>
      <c r="D1936" t="s">
        <v>54</v>
      </c>
      <c r="E1936" t="s">
        <v>74</v>
      </c>
      <c r="F1936" t="s">
        <v>54</v>
      </c>
      <c r="G1936">
        <v>2702.25</v>
      </c>
      <c r="H1936" t="s">
        <v>21</v>
      </c>
      <c r="I1936" t="s">
        <v>22</v>
      </c>
      <c r="J1936" t="s">
        <v>89</v>
      </c>
    </row>
    <row r="1937" spans="1:10" x14ac:dyDescent="0.35">
      <c r="A1937" t="s">
        <v>2118</v>
      </c>
      <c r="B1937" s="1">
        <v>46005</v>
      </c>
      <c r="C1937" t="s">
        <v>140</v>
      </c>
      <c r="D1937" t="s">
        <v>80</v>
      </c>
      <c r="E1937" t="s">
        <v>81</v>
      </c>
      <c r="F1937" t="s">
        <v>14</v>
      </c>
      <c r="G1937">
        <v>51.73</v>
      </c>
      <c r="H1937" t="s">
        <v>21</v>
      </c>
      <c r="I1937" t="s">
        <v>47</v>
      </c>
      <c r="J1937" t="s">
        <v>141</v>
      </c>
    </row>
    <row r="1938" spans="1:10" x14ac:dyDescent="0.35">
      <c r="A1938" t="s">
        <v>2119</v>
      </c>
      <c r="B1938" s="1">
        <v>46006</v>
      </c>
      <c r="C1938" t="s">
        <v>125</v>
      </c>
      <c r="D1938" t="s">
        <v>12</v>
      </c>
      <c r="E1938" t="s">
        <v>13</v>
      </c>
      <c r="F1938" t="s">
        <v>14</v>
      </c>
      <c r="G1938">
        <v>60.13</v>
      </c>
      <c r="H1938" t="s">
        <v>15</v>
      </c>
      <c r="I1938" t="s">
        <v>22</v>
      </c>
      <c r="J1938" t="s">
        <v>44</v>
      </c>
    </row>
    <row r="1939" spans="1:10" x14ac:dyDescent="0.35">
      <c r="A1939" t="s">
        <v>2120</v>
      </c>
      <c r="B1939" s="1">
        <v>46006</v>
      </c>
      <c r="C1939" t="s">
        <v>345</v>
      </c>
      <c r="D1939" t="s">
        <v>59</v>
      </c>
      <c r="E1939" t="s">
        <v>60</v>
      </c>
      <c r="F1939" t="s">
        <v>14</v>
      </c>
      <c r="G1939">
        <v>123.17</v>
      </c>
      <c r="H1939" t="s">
        <v>15</v>
      </c>
      <c r="I1939" t="s">
        <v>22</v>
      </c>
      <c r="J1939" t="s">
        <v>211</v>
      </c>
    </row>
    <row r="1940" spans="1:10" x14ac:dyDescent="0.35">
      <c r="A1940" t="s">
        <v>2121</v>
      </c>
      <c r="B1940" s="1">
        <v>46006</v>
      </c>
      <c r="C1940" t="s">
        <v>100</v>
      </c>
      <c r="D1940" t="s">
        <v>101</v>
      </c>
      <c r="E1940" t="s">
        <v>102</v>
      </c>
      <c r="F1940" t="s">
        <v>14</v>
      </c>
      <c r="G1940">
        <v>49.27</v>
      </c>
      <c r="H1940" t="s">
        <v>15</v>
      </c>
      <c r="I1940" t="s">
        <v>36</v>
      </c>
      <c r="J1940" t="s">
        <v>103</v>
      </c>
    </row>
    <row r="1941" spans="1:10" x14ac:dyDescent="0.35">
      <c r="A1941" t="s">
        <v>2122</v>
      </c>
      <c r="B1941" s="1">
        <v>46007</v>
      </c>
      <c r="C1941" t="s">
        <v>308</v>
      </c>
      <c r="D1941" t="s">
        <v>54</v>
      </c>
      <c r="E1941" t="s">
        <v>64</v>
      </c>
      <c r="F1941" t="s">
        <v>54</v>
      </c>
      <c r="G1941">
        <v>394.73</v>
      </c>
      <c r="H1941" t="s">
        <v>21</v>
      </c>
      <c r="I1941" t="s">
        <v>47</v>
      </c>
      <c r="J1941" t="s">
        <v>89</v>
      </c>
    </row>
    <row r="1942" spans="1:10" x14ac:dyDescent="0.35">
      <c r="A1942" t="s">
        <v>2123</v>
      </c>
      <c r="B1942" s="1">
        <v>46007</v>
      </c>
      <c r="C1942" t="s">
        <v>43</v>
      </c>
      <c r="D1942" t="s">
        <v>12</v>
      </c>
      <c r="E1942" t="s">
        <v>26</v>
      </c>
      <c r="F1942" t="s">
        <v>14</v>
      </c>
      <c r="G1942">
        <v>32.700000000000003</v>
      </c>
      <c r="H1942" t="s">
        <v>15</v>
      </c>
      <c r="I1942" t="s">
        <v>22</v>
      </c>
      <c r="J1942" t="s">
        <v>44</v>
      </c>
    </row>
    <row r="1943" spans="1:10" x14ac:dyDescent="0.35">
      <c r="A1943" t="s">
        <v>2124</v>
      </c>
      <c r="B1943" s="1">
        <v>46008</v>
      </c>
      <c r="C1943" t="s">
        <v>281</v>
      </c>
      <c r="D1943" t="s">
        <v>34</v>
      </c>
      <c r="E1943" t="s">
        <v>40</v>
      </c>
      <c r="F1943" t="s">
        <v>14</v>
      </c>
      <c r="G1943">
        <v>86.48</v>
      </c>
      <c r="H1943" t="s">
        <v>21</v>
      </c>
      <c r="I1943" t="s">
        <v>36</v>
      </c>
      <c r="J1943" t="s">
        <v>123</v>
      </c>
    </row>
    <row r="1944" spans="1:10" x14ac:dyDescent="0.35">
      <c r="A1944" t="s">
        <v>2125</v>
      </c>
      <c r="B1944" s="1">
        <v>46008</v>
      </c>
      <c r="C1944" t="s">
        <v>160</v>
      </c>
      <c r="D1944" t="s">
        <v>80</v>
      </c>
      <c r="E1944" t="s">
        <v>117</v>
      </c>
      <c r="F1944" t="s">
        <v>14</v>
      </c>
      <c r="G1944">
        <v>107.65</v>
      </c>
      <c r="H1944" t="s">
        <v>21</v>
      </c>
      <c r="I1944" t="s">
        <v>16</v>
      </c>
      <c r="J1944" t="s">
        <v>161</v>
      </c>
    </row>
    <row r="1945" spans="1:10" x14ac:dyDescent="0.35">
      <c r="A1945" t="s">
        <v>2126</v>
      </c>
      <c r="B1945" s="1">
        <v>46009</v>
      </c>
      <c r="C1945" t="s">
        <v>210</v>
      </c>
      <c r="D1945" t="s">
        <v>59</v>
      </c>
      <c r="E1945" t="s">
        <v>185</v>
      </c>
      <c r="F1945" t="s">
        <v>14</v>
      </c>
      <c r="G1945">
        <v>273.74</v>
      </c>
      <c r="H1945" t="s">
        <v>15</v>
      </c>
      <c r="I1945" t="s">
        <v>22</v>
      </c>
      <c r="J1945" t="s">
        <v>211</v>
      </c>
    </row>
    <row r="1946" spans="1:10" x14ac:dyDescent="0.35">
      <c r="A1946" t="s">
        <v>2127</v>
      </c>
      <c r="B1946" s="1">
        <v>46009</v>
      </c>
      <c r="C1946" t="s">
        <v>308</v>
      </c>
      <c r="D1946" t="s">
        <v>54</v>
      </c>
      <c r="E1946" t="s">
        <v>64</v>
      </c>
      <c r="F1946" t="s">
        <v>54</v>
      </c>
      <c r="G1946">
        <v>363.01</v>
      </c>
      <c r="H1946" t="s">
        <v>21</v>
      </c>
      <c r="I1946" t="s">
        <v>16</v>
      </c>
      <c r="J1946" t="s">
        <v>89</v>
      </c>
    </row>
    <row r="1947" spans="1:10" x14ac:dyDescent="0.35">
      <c r="A1947" t="s">
        <v>2128</v>
      </c>
      <c r="B1947" s="1">
        <v>46009</v>
      </c>
      <c r="C1947" t="s">
        <v>175</v>
      </c>
      <c r="D1947" t="s">
        <v>80</v>
      </c>
      <c r="E1947" t="s">
        <v>92</v>
      </c>
      <c r="F1947" t="s">
        <v>14</v>
      </c>
      <c r="G1947">
        <v>25.52</v>
      </c>
      <c r="H1947" t="s">
        <v>15</v>
      </c>
      <c r="I1947" t="s">
        <v>22</v>
      </c>
      <c r="J1947" t="s">
        <v>141</v>
      </c>
    </row>
    <row r="1948" spans="1:10" x14ac:dyDescent="0.35">
      <c r="A1948" t="s">
        <v>2129</v>
      </c>
      <c r="B1948" s="1">
        <v>46010</v>
      </c>
      <c r="C1948" t="s">
        <v>125</v>
      </c>
      <c r="D1948" t="s">
        <v>12</v>
      </c>
      <c r="E1948" t="s">
        <v>13</v>
      </c>
      <c r="F1948" t="s">
        <v>14</v>
      </c>
      <c r="G1948">
        <v>44.14</v>
      </c>
      <c r="H1948" t="s">
        <v>15</v>
      </c>
      <c r="I1948" t="s">
        <v>36</v>
      </c>
      <c r="J1948" t="s">
        <v>44</v>
      </c>
    </row>
    <row r="1949" spans="1:10" x14ac:dyDescent="0.35">
      <c r="A1949" t="s">
        <v>2130</v>
      </c>
      <c r="B1949" s="1">
        <v>46010</v>
      </c>
      <c r="C1949" t="s">
        <v>88</v>
      </c>
      <c r="D1949" t="s">
        <v>54</v>
      </c>
      <c r="E1949" t="s">
        <v>74</v>
      </c>
      <c r="F1949" t="s">
        <v>54</v>
      </c>
      <c r="G1949">
        <v>2743.85</v>
      </c>
      <c r="H1949" t="s">
        <v>15</v>
      </c>
      <c r="I1949" t="s">
        <v>22</v>
      </c>
      <c r="J1949" t="s">
        <v>89</v>
      </c>
    </row>
    <row r="1950" spans="1:10" x14ac:dyDescent="0.35">
      <c r="A1950" t="s">
        <v>2131</v>
      </c>
      <c r="B1950" s="1">
        <v>46011</v>
      </c>
      <c r="C1950" t="s">
        <v>135</v>
      </c>
      <c r="D1950" t="s">
        <v>101</v>
      </c>
      <c r="E1950" t="s">
        <v>102</v>
      </c>
      <c r="F1950" t="s">
        <v>14</v>
      </c>
      <c r="G1950">
        <v>154.47999999999999</v>
      </c>
      <c r="H1950" t="s">
        <v>15</v>
      </c>
      <c r="I1950" t="s">
        <v>36</v>
      </c>
      <c r="J1950" t="s">
        <v>136</v>
      </c>
    </row>
    <row r="1951" spans="1:10" x14ac:dyDescent="0.35">
      <c r="A1951" t="s">
        <v>2132</v>
      </c>
      <c r="B1951" s="1">
        <v>46011</v>
      </c>
      <c r="C1951" t="s">
        <v>220</v>
      </c>
      <c r="D1951" t="s">
        <v>59</v>
      </c>
      <c r="E1951" t="s">
        <v>199</v>
      </c>
      <c r="F1951" t="s">
        <v>14</v>
      </c>
      <c r="G1951">
        <v>283.57</v>
      </c>
      <c r="H1951" t="s">
        <v>21</v>
      </c>
      <c r="I1951" t="s">
        <v>47</v>
      </c>
      <c r="J1951" t="s">
        <v>211</v>
      </c>
    </row>
    <row r="1952" spans="1:10" x14ac:dyDescent="0.35">
      <c r="A1952" t="s">
        <v>2133</v>
      </c>
      <c r="B1952" s="1">
        <v>46011</v>
      </c>
      <c r="C1952" t="s">
        <v>113</v>
      </c>
      <c r="D1952" t="s">
        <v>34</v>
      </c>
      <c r="E1952" t="s">
        <v>40</v>
      </c>
      <c r="F1952" t="s">
        <v>14</v>
      </c>
      <c r="G1952">
        <v>157.69</v>
      </c>
      <c r="H1952" t="s">
        <v>21</v>
      </c>
      <c r="I1952" t="s">
        <v>16</v>
      </c>
      <c r="J1952" t="s">
        <v>37</v>
      </c>
    </row>
    <row r="1953" spans="1:10" x14ac:dyDescent="0.35">
      <c r="A1953" t="s">
        <v>2134</v>
      </c>
      <c r="B1953" s="1">
        <v>46011</v>
      </c>
      <c r="C1953" t="s">
        <v>296</v>
      </c>
      <c r="D1953" t="s">
        <v>101</v>
      </c>
      <c r="E1953" t="s">
        <v>136</v>
      </c>
      <c r="F1953" t="s">
        <v>14</v>
      </c>
      <c r="G1953">
        <v>35.71</v>
      </c>
      <c r="H1953" t="s">
        <v>15</v>
      </c>
      <c r="I1953" t="s">
        <v>84</v>
      </c>
      <c r="J1953" t="s">
        <v>136</v>
      </c>
    </row>
    <row r="1954" spans="1:10" x14ac:dyDescent="0.35">
      <c r="A1954" t="s">
        <v>2135</v>
      </c>
      <c r="B1954" s="1">
        <v>46011</v>
      </c>
      <c r="C1954" t="s">
        <v>184</v>
      </c>
      <c r="D1954" t="s">
        <v>59</v>
      </c>
      <c r="E1954" t="s">
        <v>185</v>
      </c>
      <c r="F1954" t="s">
        <v>14</v>
      </c>
      <c r="G1954">
        <v>90.91</v>
      </c>
      <c r="H1954" t="s">
        <v>15</v>
      </c>
      <c r="I1954" t="s">
        <v>22</v>
      </c>
      <c r="J1954" t="s">
        <v>61</v>
      </c>
    </row>
    <row r="1955" spans="1:10" x14ac:dyDescent="0.35">
      <c r="A1955" t="s">
        <v>2136</v>
      </c>
      <c r="B1955" s="1">
        <v>46011</v>
      </c>
      <c r="C1955" t="s">
        <v>215</v>
      </c>
      <c r="D1955" t="s">
        <v>80</v>
      </c>
      <c r="E1955" t="s">
        <v>117</v>
      </c>
      <c r="F1955" t="s">
        <v>14</v>
      </c>
      <c r="G1955">
        <v>109.1</v>
      </c>
      <c r="H1955" t="s">
        <v>21</v>
      </c>
      <c r="I1955" t="s">
        <v>47</v>
      </c>
      <c r="J1955" t="s">
        <v>141</v>
      </c>
    </row>
    <row r="1956" spans="1:10" x14ac:dyDescent="0.35">
      <c r="A1956" t="s">
        <v>2137</v>
      </c>
      <c r="B1956" s="1">
        <v>46011</v>
      </c>
      <c r="C1956" t="s">
        <v>25</v>
      </c>
      <c r="D1956" t="s">
        <v>12</v>
      </c>
      <c r="E1956" t="s">
        <v>26</v>
      </c>
      <c r="F1956" t="s">
        <v>14</v>
      </c>
      <c r="G1956">
        <v>54.73</v>
      </c>
      <c r="H1956" t="s">
        <v>15</v>
      </c>
      <c r="I1956" t="s">
        <v>36</v>
      </c>
      <c r="J1956" t="s">
        <v>17</v>
      </c>
    </row>
    <row r="1957" spans="1:10" x14ac:dyDescent="0.35">
      <c r="A1957" t="s">
        <v>2138</v>
      </c>
      <c r="B1957" s="1">
        <v>46011</v>
      </c>
      <c r="C1957" t="s">
        <v>135</v>
      </c>
      <c r="D1957" t="s">
        <v>101</v>
      </c>
      <c r="E1957" t="s">
        <v>102</v>
      </c>
      <c r="F1957" t="s">
        <v>14</v>
      </c>
      <c r="G1957">
        <v>23.26</v>
      </c>
      <c r="H1957" t="s">
        <v>15</v>
      </c>
      <c r="I1957" t="s">
        <v>22</v>
      </c>
      <c r="J1957" t="s">
        <v>136</v>
      </c>
    </row>
    <row r="1958" spans="1:10" x14ac:dyDescent="0.35">
      <c r="A1958" t="s">
        <v>2139</v>
      </c>
      <c r="B1958" s="1">
        <v>46012</v>
      </c>
      <c r="C1958" t="s">
        <v>229</v>
      </c>
      <c r="D1958" t="s">
        <v>54</v>
      </c>
      <c r="E1958" t="s">
        <v>64</v>
      </c>
      <c r="F1958" t="s">
        <v>54</v>
      </c>
      <c r="G1958">
        <v>325.42</v>
      </c>
      <c r="H1958" t="s">
        <v>15</v>
      </c>
      <c r="I1958" t="s">
        <v>22</v>
      </c>
      <c r="J1958" t="s">
        <v>56</v>
      </c>
    </row>
    <row r="1959" spans="1:10" x14ac:dyDescent="0.35">
      <c r="A1959" t="s">
        <v>2140</v>
      </c>
      <c r="B1959" s="1">
        <v>46012</v>
      </c>
      <c r="C1959" t="s">
        <v>572</v>
      </c>
      <c r="D1959" t="s">
        <v>69</v>
      </c>
      <c r="E1959" t="s">
        <v>233</v>
      </c>
      <c r="F1959" t="s">
        <v>14</v>
      </c>
      <c r="G1959">
        <v>1048.96</v>
      </c>
      <c r="H1959" t="s">
        <v>15</v>
      </c>
      <c r="I1959" t="s">
        <v>16</v>
      </c>
      <c r="J1959" t="s">
        <v>292</v>
      </c>
    </row>
    <row r="1960" spans="1:10" x14ac:dyDescent="0.35">
      <c r="A1960" t="s">
        <v>2141</v>
      </c>
      <c r="B1960" s="1">
        <v>46012</v>
      </c>
      <c r="C1960" t="s">
        <v>53</v>
      </c>
      <c r="D1960" t="s">
        <v>54</v>
      </c>
      <c r="E1960" t="s">
        <v>55</v>
      </c>
      <c r="F1960" t="s">
        <v>54</v>
      </c>
      <c r="G1960">
        <v>737.3</v>
      </c>
      <c r="H1960" t="s">
        <v>21</v>
      </c>
      <c r="I1960" t="s">
        <v>22</v>
      </c>
      <c r="J1960" t="s">
        <v>56</v>
      </c>
    </row>
    <row r="1961" spans="1:10" x14ac:dyDescent="0.35">
      <c r="A1961" t="s">
        <v>2142</v>
      </c>
      <c r="B1961" s="1">
        <v>46012</v>
      </c>
      <c r="C1961" t="s">
        <v>875</v>
      </c>
      <c r="D1961" t="s">
        <v>69</v>
      </c>
      <c r="E1961" t="s">
        <v>291</v>
      </c>
      <c r="F1961" t="s">
        <v>14</v>
      </c>
      <c r="G1961">
        <v>165.47</v>
      </c>
      <c r="H1961" t="s">
        <v>21</v>
      </c>
      <c r="I1961" t="s">
        <v>47</v>
      </c>
      <c r="J1961" t="s">
        <v>133</v>
      </c>
    </row>
    <row r="1962" spans="1:10" x14ac:dyDescent="0.35">
      <c r="A1962" t="s">
        <v>2143</v>
      </c>
      <c r="B1962" s="1">
        <v>46012</v>
      </c>
      <c r="C1962" t="s">
        <v>111</v>
      </c>
      <c r="D1962" t="s">
        <v>12</v>
      </c>
      <c r="E1962" t="s">
        <v>26</v>
      </c>
      <c r="F1962" t="s">
        <v>14</v>
      </c>
      <c r="G1962">
        <v>33.97</v>
      </c>
      <c r="H1962" t="s">
        <v>21</v>
      </c>
      <c r="I1962" t="s">
        <v>22</v>
      </c>
      <c r="J1962" t="s">
        <v>23</v>
      </c>
    </row>
    <row r="1963" spans="1:10" x14ac:dyDescent="0.35">
      <c r="A1963" t="s">
        <v>2144</v>
      </c>
      <c r="B1963" s="1">
        <v>46012</v>
      </c>
      <c r="C1963" t="s">
        <v>251</v>
      </c>
      <c r="D1963" t="s">
        <v>29</v>
      </c>
      <c r="E1963" t="s">
        <v>151</v>
      </c>
      <c r="F1963" t="s">
        <v>14</v>
      </c>
      <c r="G1963">
        <v>19.22</v>
      </c>
      <c r="H1963" t="s">
        <v>15</v>
      </c>
      <c r="I1963" t="s">
        <v>36</v>
      </c>
      <c r="J1963" t="s">
        <v>31</v>
      </c>
    </row>
    <row r="1964" spans="1:10" x14ac:dyDescent="0.35">
      <c r="A1964" t="s">
        <v>2145</v>
      </c>
      <c r="B1964" s="1">
        <v>46012</v>
      </c>
      <c r="C1964" t="s">
        <v>227</v>
      </c>
      <c r="D1964" t="s">
        <v>12</v>
      </c>
      <c r="E1964" t="s">
        <v>51</v>
      </c>
      <c r="F1964" t="s">
        <v>14</v>
      </c>
      <c r="G1964">
        <v>25.3</v>
      </c>
      <c r="H1964" t="s">
        <v>15</v>
      </c>
      <c r="I1964" t="s">
        <v>47</v>
      </c>
      <c r="J1964" t="s">
        <v>17</v>
      </c>
    </row>
    <row r="1965" spans="1:10" x14ac:dyDescent="0.35">
      <c r="A1965" t="s">
        <v>2146</v>
      </c>
      <c r="B1965" s="1">
        <v>46013</v>
      </c>
      <c r="C1965" t="s">
        <v>163</v>
      </c>
      <c r="D1965" t="s">
        <v>80</v>
      </c>
      <c r="E1965" t="s">
        <v>92</v>
      </c>
      <c r="F1965" t="s">
        <v>14</v>
      </c>
      <c r="G1965">
        <v>143.09</v>
      </c>
      <c r="H1965" t="s">
        <v>15</v>
      </c>
      <c r="I1965" t="s">
        <v>36</v>
      </c>
      <c r="J1965" t="s">
        <v>118</v>
      </c>
    </row>
    <row r="1966" spans="1:10" x14ac:dyDescent="0.35">
      <c r="A1966" t="s">
        <v>2147</v>
      </c>
      <c r="B1966" s="1">
        <v>46013</v>
      </c>
      <c r="C1966" t="s">
        <v>94</v>
      </c>
      <c r="D1966" t="s">
        <v>2148</v>
      </c>
      <c r="E1966" t="s">
        <v>95</v>
      </c>
      <c r="F1966" t="s">
        <v>14</v>
      </c>
      <c r="G1966">
        <v>28.31</v>
      </c>
      <c r="H1966" t="s">
        <v>15</v>
      </c>
      <c r="I1966" t="s">
        <v>22</v>
      </c>
      <c r="J1966" t="s">
        <v>96</v>
      </c>
    </row>
    <row r="1967" spans="1:10" x14ac:dyDescent="0.35">
      <c r="A1967" t="s">
        <v>2149</v>
      </c>
      <c r="B1967" s="1">
        <v>46013</v>
      </c>
      <c r="C1967" t="s">
        <v>296</v>
      </c>
      <c r="D1967" t="s">
        <v>101</v>
      </c>
      <c r="E1967" t="s">
        <v>136</v>
      </c>
      <c r="F1967" t="s">
        <v>14</v>
      </c>
      <c r="G1967">
        <v>23.91</v>
      </c>
      <c r="H1967" t="s">
        <v>15</v>
      </c>
      <c r="I1967" t="s">
        <v>22</v>
      </c>
      <c r="J1967" t="s">
        <v>136</v>
      </c>
    </row>
    <row r="1968" spans="1:10" x14ac:dyDescent="0.35">
      <c r="A1968" t="s">
        <v>2150</v>
      </c>
      <c r="B1968" s="1">
        <v>46013</v>
      </c>
      <c r="C1968" t="s">
        <v>308</v>
      </c>
      <c r="D1968" t="s">
        <v>54</v>
      </c>
      <c r="E1968" t="s">
        <v>64</v>
      </c>
      <c r="F1968" t="s">
        <v>54</v>
      </c>
      <c r="G1968">
        <v>384.74</v>
      </c>
      <c r="H1968" t="s">
        <v>15</v>
      </c>
      <c r="I1968" t="s">
        <v>36</v>
      </c>
      <c r="J1968" t="s">
        <v>89</v>
      </c>
    </row>
    <row r="1969" spans="1:10" x14ac:dyDescent="0.35">
      <c r="A1969" t="s">
        <v>2151</v>
      </c>
      <c r="B1969" s="1">
        <v>46013</v>
      </c>
      <c r="C1969" t="s">
        <v>262</v>
      </c>
      <c r="D1969" t="s">
        <v>101</v>
      </c>
      <c r="E1969" t="s">
        <v>244</v>
      </c>
      <c r="F1969" t="s">
        <v>14</v>
      </c>
      <c r="G1969">
        <v>79.099999999999994</v>
      </c>
      <c r="H1969" t="s">
        <v>21</v>
      </c>
      <c r="I1969" t="s">
        <v>47</v>
      </c>
      <c r="J1969" t="s">
        <v>136</v>
      </c>
    </row>
    <row r="1970" spans="1:10" x14ac:dyDescent="0.35">
      <c r="A1970" t="s">
        <v>2152</v>
      </c>
      <c r="B1970" s="1">
        <v>46013</v>
      </c>
      <c r="C1970" t="s">
        <v>138</v>
      </c>
      <c r="D1970" t="s">
        <v>12</v>
      </c>
      <c r="E1970" t="s">
        <v>26</v>
      </c>
      <c r="F1970" t="s">
        <v>14</v>
      </c>
      <c r="G1970">
        <v>55.1</v>
      </c>
      <c r="H1970" t="s">
        <v>15</v>
      </c>
      <c r="I1970" t="s">
        <v>22</v>
      </c>
      <c r="J1970" t="s">
        <v>77</v>
      </c>
    </row>
    <row r="1971" spans="1:10" x14ac:dyDescent="0.35">
      <c r="A1971" t="s">
        <v>2153</v>
      </c>
      <c r="B1971" s="1">
        <v>46015</v>
      </c>
      <c r="C1971" t="s">
        <v>543</v>
      </c>
      <c r="D1971" t="s">
        <v>69</v>
      </c>
      <c r="E1971" t="s">
        <v>70</v>
      </c>
      <c r="F1971" t="s">
        <v>14</v>
      </c>
      <c r="G1971">
        <v>57.98</v>
      </c>
      <c r="H1971" t="s">
        <v>21</v>
      </c>
      <c r="I1971" t="s">
        <v>22</v>
      </c>
      <c r="J1971" t="s">
        <v>292</v>
      </c>
    </row>
    <row r="1972" spans="1:10" x14ac:dyDescent="0.35">
      <c r="A1972" t="s">
        <v>2154</v>
      </c>
      <c r="B1972" s="1">
        <v>46015</v>
      </c>
      <c r="C1972" t="s">
        <v>204</v>
      </c>
      <c r="D1972" t="s">
        <v>12</v>
      </c>
      <c r="E1972" t="s">
        <v>51</v>
      </c>
      <c r="F1972" t="s">
        <v>14</v>
      </c>
      <c r="G1972">
        <v>68.150000000000006</v>
      </c>
      <c r="H1972" t="s">
        <v>98</v>
      </c>
      <c r="I1972" t="s">
        <v>36</v>
      </c>
      <c r="J1972" t="s">
        <v>23</v>
      </c>
    </row>
    <row r="1973" spans="1:10" x14ac:dyDescent="0.35">
      <c r="A1973" t="s">
        <v>2155</v>
      </c>
      <c r="B1973" s="1">
        <v>46015</v>
      </c>
      <c r="C1973" t="s">
        <v>345</v>
      </c>
      <c r="D1973" t="s">
        <v>59</v>
      </c>
      <c r="E1973" t="s">
        <v>60</v>
      </c>
      <c r="F1973" t="s">
        <v>14</v>
      </c>
      <c r="G1973">
        <v>157.68</v>
      </c>
      <c r="H1973" t="s">
        <v>15</v>
      </c>
      <c r="I1973" t="s">
        <v>22</v>
      </c>
      <c r="J1973" t="s">
        <v>211</v>
      </c>
    </row>
    <row r="1974" spans="1:10" x14ac:dyDescent="0.35">
      <c r="A1974" t="s">
        <v>2156</v>
      </c>
      <c r="B1974" s="1">
        <v>46015</v>
      </c>
      <c r="C1974" t="s">
        <v>113</v>
      </c>
      <c r="D1974" t="s">
        <v>34</v>
      </c>
      <c r="E1974" t="s">
        <v>40</v>
      </c>
      <c r="F1974" t="s">
        <v>14</v>
      </c>
      <c r="G1974">
        <v>56.13</v>
      </c>
      <c r="H1974" t="s">
        <v>15</v>
      </c>
      <c r="I1974" t="s">
        <v>36</v>
      </c>
      <c r="J1974" t="s">
        <v>37</v>
      </c>
    </row>
    <row r="1975" spans="1:10" x14ac:dyDescent="0.35">
      <c r="A1975" t="s">
        <v>2157</v>
      </c>
      <c r="B1975" s="1">
        <v>46015</v>
      </c>
      <c r="C1975" t="s">
        <v>269</v>
      </c>
      <c r="D1975" t="s">
        <v>34</v>
      </c>
      <c r="E1975" t="s">
        <v>35</v>
      </c>
      <c r="F1975" t="s">
        <v>14</v>
      </c>
      <c r="G1975">
        <v>43.89</v>
      </c>
      <c r="H1975" t="s">
        <v>15</v>
      </c>
      <c r="I1975" t="s">
        <v>47</v>
      </c>
      <c r="J1975" t="s">
        <v>123</v>
      </c>
    </row>
    <row r="1976" spans="1:10" x14ac:dyDescent="0.35">
      <c r="A1976" t="s">
        <v>2158</v>
      </c>
      <c r="B1976" s="1">
        <v>46015</v>
      </c>
      <c r="C1976" t="s">
        <v>272</v>
      </c>
      <c r="D1976" t="s">
        <v>54</v>
      </c>
      <c r="E1976" t="s">
        <v>55</v>
      </c>
      <c r="F1976" t="s">
        <v>54</v>
      </c>
      <c r="G1976">
        <v>886.57</v>
      </c>
      <c r="H1976" t="s">
        <v>15</v>
      </c>
      <c r="I1976" t="s">
        <v>22</v>
      </c>
      <c r="J1976" t="s">
        <v>65</v>
      </c>
    </row>
    <row r="1977" spans="1:10" x14ac:dyDescent="0.35">
      <c r="A1977" t="s">
        <v>2159</v>
      </c>
      <c r="B1977" s="1">
        <v>46015</v>
      </c>
      <c r="C1977" t="s">
        <v>73</v>
      </c>
      <c r="D1977" t="s">
        <v>54</v>
      </c>
      <c r="E1977" t="s">
        <v>74</v>
      </c>
      <c r="F1977" t="s">
        <v>54</v>
      </c>
      <c r="G1977">
        <v>2373.4899999999998</v>
      </c>
      <c r="H1977" t="s">
        <v>21</v>
      </c>
      <c r="I1977" t="s">
        <v>47</v>
      </c>
      <c r="J1977" t="s">
        <v>65</v>
      </c>
    </row>
    <row r="1978" spans="1:10" x14ac:dyDescent="0.35">
      <c r="A1978" t="s">
        <v>2160</v>
      </c>
      <c r="B1978" s="1">
        <v>46015</v>
      </c>
      <c r="C1978" t="s">
        <v>53</v>
      </c>
      <c r="D1978" t="s">
        <v>54</v>
      </c>
      <c r="E1978" t="s">
        <v>55</v>
      </c>
      <c r="F1978" t="s">
        <v>54</v>
      </c>
      <c r="G1978">
        <v>735.33</v>
      </c>
      <c r="H1978" t="s">
        <v>15</v>
      </c>
      <c r="I1978" t="s">
        <v>36</v>
      </c>
      <c r="J1978" t="s">
        <v>56</v>
      </c>
    </row>
    <row r="1979" spans="1:10" x14ac:dyDescent="0.35">
      <c r="A1979" t="s">
        <v>2161</v>
      </c>
      <c r="B1979" s="1">
        <v>46015</v>
      </c>
      <c r="C1979" t="s">
        <v>116</v>
      </c>
      <c r="D1979" t="s">
        <v>80</v>
      </c>
      <c r="E1979" t="s">
        <v>117</v>
      </c>
      <c r="F1979" t="s">
        <v>14</v>
      </c>
      <c r="G1979">
        <v>67.47</v>
      </c>
      <c r="H1979" t="s">
        <v>98</v>
      </c>
      <c r="I1979" t="s">
        <v>47</v>
      </c>
      <c r="J1979" t="s">
        <v>118</v>
      </c>
    </row>
    <row r="1980" spans="1:10" x14ac:dyDescent="0.35">
      <c r="A1980" t="s">
        <v>2162</v>
      </c>
      <c r="B1980" s="1">
        <v>46016</v>
      </c>
      <c r="C1980" t="s">
        <v>253</v>
      </c>
      <c r="D1980" t="s">
        <v>29</v>
      </c>
      <c r="E1980" t="s">
        <v>30</v>
      </c>
      <c r="F1980" t="s">
        <v>14</v>
      </c>
      <c r="G1980">
        <v>21.91</v>
      </c>
      <c r="H1980" t="s">
        <v>15</v>
      </c>
      <c r="I1980" t="s">
        <v>36</v>
      </c>
      <c r="J1980" t="s">
        <v>158</v>
      </c>
    </row>
    <row r="1981" spans="1:10" x14ac:dyDescent="0.35">
      <c r="A1981" t="s">
        <v>2163</v>
      </c>
      <c r="B1981" s="1">
        <v>46016</v>
      </c>
      <c r="C1981" t="s">
        <v>53</v>
      </c>
      <c r="D1981" t="s">
        <v>54</v>
      </c>
      <c r="E1981" t="s">
        <v>55</v>
      </c>
      <c r="F1981" t="s">
        <v>54</v>
      </c>
      <c r="G1981">
        <v>699.2</v>
      </c>
      <c r="H1981" t="s">
        <v>15</v>
      </c>
      <c r="I1981" t="s">
        <v>16</v>
      </c>
      <c r="J1981" t="s">
        <v>56</v>
      </c>
    </row>
    <row r="1982" spans="1:10" x14ac:dyDescent="0.35">
      <c r="A1982" t="s">
        <v>2164</v>
      </c>
      <c r="B1982" s="1">
        <v>46016</v>
      </c>
      <c r="C1982" t="s">
        <v>229</v>
      </c>
      <c r="D1982" t="s">
        <v>54</v>
      </c>
      <c r="E1982" t="s">
        <v>64</v>
      </c>
      <c r="F1982" t="s">
        <v>54</v>
      </c>
      <c r="G1982">
        <v>345.77</v>
      </c>
      <c r="H1982" t="s">
        <v>98</v>
      </c>
      <c r="I1982" t="s">
        <v>22</v>
      </c>
      <c r="J1982" t="s">
        <v>56</v>
      </c>
    </row>
    <row r="1983" spans="1:10" x14ac:dyDescent="0.35">
      <c r="A1983" t="s">
        <v>2165</v>
      </c>
      <c r="B1983" s="1">
        <v>46016</v>
      </c>
      <c r="C1983" t="s">
        <v>143</v>
      </c>
      <c r="D1983" t="s">
        <v>54</v>
      </c>
      <c r="E1983" t="s">
        <v>55</v>
      </c>
      <c r="F1983" t="s">
        <v>54</v>
      </c>
      <c r="G1983">
        <v>634.55999999999995</v>
      </c>
      <c r="H1983" t="s">
        <v>21</v>
      </c>
      <c r="I1983" t="s">
        <v>47</v>
      </c>
      <c r="J1983" t="s">
        <v>89</v>
      </c>
    </row>
    <row r="1984" spans="1:10" x14ac:dyDescent="0.35">
      <c r="A1984" t="s">
        <v>2166</v>
      </c>
      <c r="B1984" s="1">
        <v>46017</v>
      </c>
      <c r="C1984" t="s">
        <v>88</v>
      </c>
      <c r="D1984" t="s">
        <v>54</v>
      </c>
      <c r="E1984" t="s">
        <v>74</v>
      </c>
      <c r="F1984" t="s">
        <v>54</v>
      </c>
      <c r="G1984">
        <v>2179.13</v>
      </c>
      <c r="H1984" t="s">
        <v>21</v>
      </c>
      <c r="I1984" t="s">
        <v>47</v>
      </c>
      <c r="J1984" t="s">
        <v>89</v>
      </c>
    </row>
    <row r="1985" spans="1:10" x14ac:dyDescent="0.35">
      <c r="A1985" t="s">
        <v>2167</v>
      </c>
      <c r="B1985" s="1">
        <v>46017</v>
      </c>
      <c r="C1985" t="s">
        <v>130</v>
      </c>
      <c r="D1985" t="s">
        <v>12</v>
      </c>
      <c r="E1985" t="s">
        <v>26</v>
      </c>
      <c r="F1985" t="s">
        <v>14</v>
      </c>
      <c r="G1985">
        <v>22.06</v>
      </c>
      <c r="H1985" t="s">
        <v>15</v>
      </c>
      <c r="I1985" t="s">
        <v>84</v>
      </c>
      <c r="J1985" t="s">
        <v>48</v>
      </c>
    </row>
    <row r="1986" spans="1:10" x14ac:dyDescent="0.35">
      <c r="A1986" t="s">
        <v>2168</v>
      </c>
      <c r="B1986" s="1">
        <v>46017</v>
      </c>
      <c r="C1986" t="s">
        <v>464</v>
      </c>
      <c r="D1986" t="s">
        <v>34</v>
      </c>
      <c r="E1986" t="s">
        <v>122</v>
      </c>
      <c r="F1986" t="s">
        <v>14</v>
      </c>
      <c r="G1986">
        <v>205.88</v>
      </c>
      <c r="H1986" t="s">
        <v>15</v>
      </c>
      <c r="I1986" t="s">
        <v>36</v>
      </c>
      <c r="J1986" t="s">
        <v>239</v>
      </c>
    </row>
    <row r="1987" spans="1:10" x14ac:dyDescent="0.35">
      <c r="A1987" t="s">
        <v>2169</v>
      </c>
      <c r="B1987" s="1">
        <v>46017</v>
      </c>
      <c r="C1987" t="s">
        <v>168</v>
      </c>
      <c r="D1987" t="s">
        <v>59</v>
      </c>
      <c r="E1987" t="s">
        <v>60</v>
      </c>
      <c r="F1987" t="s">
        <v>14</v>
      </c>
      <c r="G1987">
        <v>625.55999999999995</v>
      </c>
      <c r="H1987" t="s">
        <v>21</v>
      </c>
      <c r="I1987" t="s">
        <v>16</v>
      </c>
      <c r="J1987" t="s">
        <v>170</v>
      </c>
    </row>
    <row r="1988" spans="1:10" x14ac:dyDescent="0.35">
      <c r="A1988" t="s">
        <v>2170</v>
      </c>
      <c r="B1988" s="1">
        <v>46017</v>
      </c>
      <c r="C1988" t="s">
        <v>111</v>
      </c>
      <c r="D1988" t="s">
        <v>12</v>
      </c>
      <c r="E1988" t="s">
        <v>26</v>
      </c>
      <c r="F1988" t="s">
        <v>14</v>
      </c>
      <c r="G1988">
        <v>93.31</v>
      </c>
      <c r="H1988" t="s">
        <v>15</v>
      </c>
      <c r="I1988" t="s">
        <v>22</v>
      </c>
      <c r="J1988" t="s">
        <v>23</v>
      </c>
    </row>
    <row r="1989" spans="1:10" x14ac:dyDescent="0.35">
      <c r="A1989" t="s">
        <v>2171</v>
      </c>
      <c r="B1989" s="1">
        <v>46017</v>
      </c>
      <c r="C1989" t="s">
        <v>73</v>
      </c>
      <c r="D1989" t="s">
        <v>54</v>
      </c>
      <c r="E1989" t="s">
        <v>74</v>
      </c>
      <c r="F1989" t="s">
        <v>54</v>
      </c>
      <c r="G1989">
        <v>2684.29</v>
      </c>
      <c r="H1989" t="s">
        <v>15</v>
      </c>
      <c r="I1989" t="s">
        <v>22</v>
      </c>
      <c r="J1989" t="s">
        <v>65</v>
      </c>
    </row>
    <row r="1990" spans="1:10" x14ac:dyDescent="0.35">
      <c r="A1990" t="s">
        <v>2172</v>
      </c>
      <c r="B1990" s="1">
        <v>46018</v>
      </c>
      <c r="C1990" t="s">
        <v>125</v>
      </c>
      <c r="D1990" t="s">
        <v>12</v>
      </c>
      <c r="E1990" t="s">
        <v>13</v>
      </c>
      <c r="F1990" t="s">
        <v>14</v>
      </c>
      <c r="G1990">
        <v>31.37</v>
      </c>
      <c r="H1990" t="s">
        <v>15</v>
      </c>
      <c r="I1990" t="s">
        <v>22</v>
      </c>
      <c r="J1990" t="s">
        <v>44</v>
      </c>
    </row>
    <row r="1991" spans="1:10" x14ac:dyDescent="0.35">
      <c r="A1991" t="s">
        <v>2173</v>
      </c>
      <c r="B1991" s="1">
        <v>46018</v>
      </c>
      <c r="C1991" t="s">
        <v>272</v>
      </c>
      <c r="D1991" t="s">
        <v>54</v>
      </c>
      <c r="E1991" t="s">
        <v>55</v>
      </c>
      <c r="F1991" t="s">
        <v>54</v>
      </c>
      <c r="G1991">
        <v>716.02</v>
      </c>
      <c r="H1991" t="s">
        <v>98</v>
      </c>
      <c r="I1991" t="s">
        <v>22</v>
      </c>
      <c r="J1991" t="s">
        <v>65</v>
      </c>
    </row>
    <row r="1992" spans="1:10" x14ac:dyDescent="0.35">
      <c r="A1992" t="s">
        <v>2174</v>
      </c>
      <c r="B1992" s="1">
        <v>46018</v>
      </c>
      <c r="C1992" t="s">
        <v>73</v>
      </c>
      <c r="D1992" t="s">
        <v>54</v>
      </c>
      <c r="E1992" t="s">
        <v>74</v>
      </c>
      <c r="F1992" t="s">
        <v>54</v>
      </c>
      <c r="G1992">
        <v>2564.61</v>
      </c>
      <c r="H1992" t="s">
        <v>15</v>
      </c>
      <c r="I1992" t="s">
        <v>16</v>
      </c>
      <c r="J1992" t="s">
        <v>65</v>
      </c>
    </row>
    <row r="1993" spans="1:10" x14ac:dyDescent="0.35">
      <c r="A1993" t="s">
        <v>2175</v>
      </c>
      <c r="B1993" s="1">
        <v>46018</v>
      </c>
      <c r="C1993" t="s">
        <v>262</v>
      </c>
      <c r="D1993" t="s">
        <v>101</v>
      </c>
      <c r="E1993" t="s">
        <v>244</v>
      </c>
      <c r="F1993" t="s">
        <v>14</v>
      </c>
      <c r="G1993">
        <v>19.940000000000001</v>
      </c>
      <c r="H1993" t="s">
        <v>21</v>
      </c>
      <c r="I1993" t="s">
        <v>22</v>
      </c>
      <c r="J1993" t="s">
        <v>136</v>
      </c>
    </row>
    <row r="1994" spans="1:10" x14ac:dyDescent="0.35">
      <c r="A1994" t="s">
        <v>2176</v>
      </c>
      <c r="B1994" s="1">
        <v>46018</v>
      </c>
      <c r="C1994" t="s">
        <v>33</v>
      </c>
      <c r="D1994" t="s">
        <v>34</v>
      </c>
      <c r="E1994" t="s">
        <v>35</v>
      </c>
      <c r="F1994" t="s">
        <v>14</v>
      </c>
      <c r="G1994">
        <v>192.96</v>
      </c>
      <c r="H1994" t="s">
        <v>15</v>
      </c>
      <c r="I1994" t="s">
        <v>22</v>
      </c>
      <c r="J1994" t="s">
        <v>37</v>
      </c>
    </row>
    <row r="1995" spans="1:10" x14ac:dyDescent="0.35">
      <c r="A1995" t="s">
        <v>2177</v>
      </c>
      <c r="B1995" s="1">
        <v>46018</v>
      </c>
      <c r="C1995" t="s">
        <v>192</v>
      </c>
      <c r="D1995" t="s">
        <v>80</v>
      </c>
      <c r="E1995" t="s">
        <v>92</v>
      </c>
      <c r="F1995" t="s">
        <v>14</v>
      </c>
      <c r="G1995">
        <v>40.58</v>
      </c>
      <c r="H1995" t="s">
        <v>98</v>
      </c>
      <c r="I1995" t="s">
        <v>16</v>
      </c>
      <c r="J1995" t="s">
        <v>180</v>
      </c>
    </row>
    <row r="1996" spans="1:10" x14ac:dyDescent="0.35">
      <c r="A1996" t="s">
        <v>2178</v>
      </c>
      <c r="B1996" s="1">
        <v>46018</v>
      </c>
      <c r="C1996" t="s">
        <v>424</v>
      </c>
      <c r="D1996" t="s">
        <v>101</v>
      </c>
      <c r="E1996" t="s">
        <v>136</v>
      </c>
      <c r="F1996" t="s">
        <v>14</v>
      </c>
      <c r="G1996">
        <v>93.69</v>
      </c>
      <c r="H1996" t="s">
        <v>15</v>
      </c>
      <c r="I1996" t="s">
        <v>22</v>
      </c>
      <c r="J1996" t="s">
        <v>102</v>
      </c>
    </row>
    <row r="1997" spans="1:10" x14ac:dyDescent="0.35">
      <c r="A1997" t="s">
        <v>2179</v>
      </c>
      <c r="B1997" s="1">
        <v>46019</v>
      </c>
      <c r="C1997" t="s">
        <v>177</v>
      </c>
      <c r="D1997" t="s">
        <v>54</v>
      </c>
      <c r="E1997" t="s">
        <v>74</v>
      </c>
      <c r="F1997" t="s">
        <v>54</v>
      </c>
      <c r="G1997">
        <v>1647.76</v>
      </c>
      <c r="H1997" t="s">
        <v>15</v>
      </c>
      <c r="I1997" t="s">
        <v>16</v>
      </c>
      <c r="J1997" t="s">
        <v>56</v>
      </c>
    </row>
    <row r="1998" spans="1:10" x14ac:dyDescent="0.35">
      <c r="A1998" t="s">
        <v>2180</v>
      </c>
      <c r="B1998" s="1">
        <v>46019</v>
      </c>
      <c r="C1998" t="s">
        <v>308</v>
      </c>
      <c r="D1998" t="s">
        <v>54</v>
      </c>
      <c r="E1998" t="s">
        <v>64</v>
      </c>
      <c r="F1998" t="s">
        <v>54</v>
      </c>
      <c r="G1998">
        <v>374.31</v>
      </c>
      <c r="H1998" t="s">
        <v>15</v>
      </c>
      <c r="I1998" t="s">
        <v>16</v>
      </c>
      <c r="J1998" t="s">
        <v>89</v>
      </c>
    </row>
    <row r="1999" spans="1:10" x14ac:dyDescent="0.35">
      <c r="A1999" t="s">
        <v>2181</v>
      </c>
      <c r="B1999" s="1">
        <v>46019</v>
      </c>
      <c r="C1999" t="s">
        <v>272</v>
      </c>
      <c r="D1999" t="s">
        <v>54</v>
      </c>
      <c r="E1999" t="s">
        <v>55</v>
      </c>
      <c r="F1999" t="s">
        <v>54</v>
      </c>
      <c r="G1999">
        <v>587.46</v>
      </c>
      <c r="H1999" t="s">
        <v>21</v>
      </c>
      <c r="I1999" t="s">
        <v>36</v>
      </c>
      <c r="J1999" t="s">
        <v>65</v>
      </c>
    </row>
    <row r="2000" spans="1:10" x14ac:dyDescent="0.35">
      <c r="A2000" t="s">
        <v>2182</v>
      </c>
      <c r="B2000" s="1">
        <v>46019</v>
      </c>
      <c r="C2000" t="s">
        <v>155</v>
      </c>
      <c r="D2000" t="s">
        <v>12</v>
      </c>
      <c r="E2000" t="s">
        <v>51</v>
      </c>
      <c r="F2000" t="s">
        <v>14</v>
      </c>
      <c r="G2000">
        <v>27.52</v>
      </c>
      <c r="H2000" t="s">
        <v>21</v>
      </c>
      <c r="I2000" t="s">
        <v>22</v>
      </c>
      <c r="J2000" t="s">
        <v>48</v>
      </c>
    </row>
    <row r="2001" spans="1:10" x14ac:dyDescent="0.35">
      <c r="A2001" t="s">
        <v>2183</v>
      </c>
      <c r="B2001" s="1">
        <v>46020</v>
      </c>
      <c r="C2001" t="s">
        <v>121</v>
      </c>
      <c r="D2001" t="s">
        <v>34</v>
      </c>
      <c r="E2001" t="s">
        <v>122</v>
      </c>
      <c r="F2001" t="s">
        <v>14</v>
      </c>
      <c r="G2001">
        <v>168.16</v>
      </c>
      <c r="H2001" t="s">
        <v>21</v>
      </c>
      <c r="I2001" t="s">
        <v>84</v>
      </c>
      <c r="J2001" t="s">
        <v>123</v>
      </c>
    </row>
    <row r="2002" spans="1:10" x14ac:dyDescent="0.35">
      <c r="A2002" t="s">
        <v>2184</v>
      </c>
      <c r="B2002" s="1">
        <v>46020</v>
      </c>
      <c r="C2002" t="s">
        <v>113</v>
      </c>
      <c r="D2002" t="s">
        <v>34</v>
      </c>
      <c r="E2002" t="s">
        <v>40</v>
      </c>
      <c r="F2002" t="s">
        <v>14</v>
      </c>
      <c r="G2002">
        <v>173.84</v>
      </c>
      <c r="H2002" t="s">
        <v>98</v>
      </c>
      <c r="I2002" t="s">
        <v>36</v>
      </c>
      <c r="J2002" t="s">
        <v>37</v>
      </c>
    </row>
    <row r="2003" spans="1:10" x14ac:dyDescent="0.35">
      <c r="A2003" t="s">
        <v>2185</v>
      </c>
      <c r="B2003" s="1">
        <v>46020</v>
      </c>
      <c r="C2003" t="s">
        <v>11</v>
      </c>
      <c r="D2003" t="s">
        <v>12</v>
      </c>
      <c r="E2003" t="s">
        <v>13</v>
      </c>
      <c r="F2003" t="s">
        <v>14</v>
      </c>
      <c r="G2003">
        <v>52.53</v>
      </c>
      <c r="H2003" t="s">
        <v>15</v>
      </c>
      <c r="I2003" t="s">
        <v>36</v>
      </c>
      <c r="J2003" t="s">
        <v>17</v>
      </c>
    </row>
    <row r="2004" spans="1:10" x14ac:dyDescent="0.35">
      <c r="A2004" t="s">
        <v>2186</v>
      </c>
      <c r="B2004" s="1">
        <v>46020</v>
      </c>
      <c r="C2004" t="s">
        <v>215</v>
      </c>
      <c r="D2004" t="s">
        <v>80</v>
      </c>
      <c r="E2004" t="s">
        <v>117</v>
      </c>
      <c r="F2004" t="s">
        <v>14</v>
      </c>
      <c r="G2004">
        <v>45.32</v>
      </c>
      <c r="H2004" t="s">
        <v>98</v>
      </c>
      <c r="I2004" t="s">
        <v>22</v>
      </c>
      <c r="J2004" t="s">
        <v>141</v>
      </c>
    </row>
    <row r="2005" spans="1:10" x14ac:dyDescent="0.35">
      <c r="A2005" t="s">
        <v>2187</v>
      </c>
      <c r="B2005" s="1">
        <v>46021</v>
      </c>
      <c r="C2005" t="s">
        <v>204</v>
      </c>
      <c r="D2005" t="s">
        <v>12</v>
      </c>
      <c r="E2005" t="s">
        <v>51</v>
      </c>
      <c r="F2005" t="s">
        <v>14</v>
      </c>
      <c r="G2005">
        <v>53.54</v>
      </c>
      <c r="H2005" t="s">
        <v>15</v>
      </c>
      <c r="I2005" t="s">
        <v>22</v>
      </c>
      <c r="J2005" t="s">
        <v>23</v>
      </c>
    </row>
    <row r="2006" spans="1:10" x14ac:dyDescent="0.35">
      <c r="A2006" t="s">
        <v>2188</v>
      </c>
      <c r="B2006" s="1">
        <v>46021</v>
      </c>
      <c r="C2006" t="s">
        <v>153</v>
      </c>
      <c r="D2006" t="s">
        <v>34</v>
      </c>
      <c r="E2006" t="s">
        <v>122</v>
      </c>
      <c r="F2006" t="s">
        <v>14</v>
      </c>
      <c r="G2006">
        <v>45.99</v>
      </c>
      <c r="H2006" t="s">
        <v>15</v>
      </c>
      <c r="I2006" t="s">
        <v>36</v>
      </c>
      <c r="J2006" t="s">
        <v>41</v>
      </c>
    </row>
    <row r="2007" spans="1:10" x14ac:dyDescent="0.35">
      <c r="A2007" t="s">
        <v>2189</v>
      </c>
      <c r="B2007" s="1">
        <v>46021</v>
      </c>
      <c r="C2007" t="s">
        <v>140</v>
      </c>
      <c r="D2007" t="s">
        <v>80</v>
      </c>
      <c r="E2007" t="s">
        <v>81</v>
      </c>
      <c r="F2007" t="s">
        <v>14</v>
      </c>
      <c r="G2007">
        <v>45.23</v>
      </c>
      <c r="H2007" t="s">
        <v>15</v>
      </c>
      <c r="I2007" t="s">
        <v>47</v>
      </c>
      <c r="J2007" t="s">
        <v>141</v>
      </c>
    </row>
    <row r="2008" spans="1:10" x14ac:dyDescent="0.35">
      <c r="A2008" t="s">
        <v>2190</v>
      </c>
      <c r="B2008" s="1">
        <v>46021</v>
      </c>
      <c r="C2008" t="s">
        <v>253</v>
      </c>
      <c r="D2008" t="s">
        <v>29</v>
      </c>
      <c r="E2008" t="s">
        <v>30</v>
      </c>
      <c r="F2008" t="s">
        <v>14</v>
      </c>
      <c r="G2008">
        <v>69.260000000000005</v>
      </c>
      <c r="H2008" t="s">
        <v>15</v>
      </c>
      <c r="I2008" t="s">
        <v>36</v>
      </c>
      <c r="J2008" t="s">
        <v>158</v>
      </c>
    </row>
    <row r="2009" spans="1:10" x14ac:dyDescent="0.35">
      <c r="A2009" t="s">
        <v>2191</v>
      </c>
      <c r="B2009" s="1">
        <v>46022</v>
      </c>
      <c r="C2009" t="s">
        <v>308</v>
      </c>
      <c r="D2009" t="s">
        <v>54</v>
      </c>
      <c r="E2009" t="s">
        <v>64</v>
      </c>
      <c r="F2009" t="s">
        <v>54</v>
      </c>
      <c r="G2009">
        <v>384.76</v>
      </c>
      <c r="H2009" t="s">
        <v>15</v>
      </c>
      <c r="I2009" t="s">
        <v>16</v>
      </c>
      <c r="J2009" t="s">
        <v>89</v>
      </c>
    </row>
    <row r="2010" spans="1:10" x14ac:dyDescent="0.35">
      <c r="A2010" t="s">
        <v>2192</v>
      </c>
      <c r="B2010" s="1">
        <v>46022</v>
      </c>
      <c r="C2010" t="s">
        <v>298</v>
      </c>
      <c r="D2010" t="s">
        <v>59</v>
      </c>
      <c r="E2010" t="s">
        <v>185</v>
      </c>
      <c r="F2010" t="s">
        <v>14</v>
      </c>
      <c r="G2010">
        <v>503.94</v>
      </c>
      <c r="H2010" t="s">
        <v>15</v>
      </c>
      <c r="I2010" t="s">
        <v>22</v>
      </c>
      <c r="J2010" t="s">
        <v>170</v>
      </c>
    </row>
    <row r="2011" spans="1:10" x14ac:dyDescent="0.35">
      <c r="A2011" t="s">
        <v>2193</v>
      </c>
      <c r="B2011" s="1">
        <v>46022</v>
      </c>
      <c r="C2011" t="s">
        <v>140</v>
      </c>
      <c r="D2011" t="s">
        <v>80</v>
      </c>
      <c r="E2011" t="s">
        <v>81</v>
      </c>
      <c r="F2011" t="s">
        <v>14</v>
      </c>
      <c r="G2011">
        <v>143.99</v>
      </c>
      <c r="H2011" t="s">
        <v>15</v>
      </c>
      <c r="I2011" t="s">
        <v>22</v>
      </c>
      <c r="J2011" t="s">
        <v>141</v>
      </c>
    </row>
    <row r="2012" spans="1:10" x14ac:dyDescent="0.35">
      <c r="A2012" t="s">
        <v>2194</v>
      </c>
      <c r="B2012" s="1">
        <v>46022</v>
      </c>
      <c r="C2012" t="s">
        <v>281</v>
      </c>
      <c r="D2012" t="s">
        <v>34</v>
      </c>
      <c r="E2012" t="s">
        <v>40</v>
      </c>
      <c r="F2012" t="s">
        <v>14</v>
      </c>
      <c r="G2012">
        <v>320.29000000000002</v>
      </c>
      <c r="H2012" t="s">
        <v>15</v>
      </c>
      <c r="I2012" t="s">
        <v>22</v>
      </c>
      <c r="J2012" t="s">
        <v>123</v>
      </c>
    </row>
    <row r="2013" spans="1:10" x14ac:dyDescent="0.35">
      <c r="A2013" t="s">
        <v>2195</v>
      </c>
      <c r="B2013" s="1">
        <v>46022</v>
      </c>
      <c r="C2013" t="s">
        <v>232</v>
      </c>
      <c r="D2013" t="s">
        <v>69</v>
      </c>
      <c r="E2013" t="s">
        <v>233</v>
      </c>
      <c r="F2013" t="s">
        <v>14</v>
      </c>
      <c r="G2013">
        <v>673.17</v>
      </c>
      <c r="H2013" t="s">
        <v>15</v>
      </c>
      <c r="I2013" t="s">
        <v>16</v>
      </c>
      <c r="J2013" t="s">
        <v>71</v>
      </c>
    </row>
    <row r="2014" spans="1:10" x14ac:dyDescent="0.35">
      <c r="A2014" t="s">
        <v>2196</v>
      </c>
      <c r="B2014" s="1">
        <v>46023</v>
      </c>
      <c r="C2014" t="s">
        <v>347</v>
      </c>
      <c r="D2014" t="s">
        <v>29</v>
      </c>
      <c r="E2014" t="s">
        <v>151</v>
      </c>
      <c r="F2014" t="s">
        <v>14</v>
      </c>
      <c r="G2014">
        <v>32.340000000000003</v>
      </c>
      <c r="H2014" t="s">
        <v>15</v>
      </c>
      <c r="I2014" t="s">
        <v>47</v>
      </c>
      <c r="J2014" t="s">
        <v>96</v>
      </c>
    </row>
    <row r="2015" spans="1:10" x14ac:dyDescent="0.35">
      <c r="A2015" t="s">
        <v>2197</v>
      </c>
      <c r="B2015" s="1">
        <v>46023</v>
      </c>
      <c r="C2015" t="s">
        <v>308</v>
      </c>
      <c r="D2015" t="s">
        <v>54</v>
      </c>
      <c r="E2015" t="s">
        <v>64</v>
      </c>
      <c r="F2015" t="s">
        <v>54</v>
      </c>
      <c r="G2015">
        <v>385.61</v>
      </c>
      <c r="H2015" t="s">
        <v>21</v>
      </c>
      <c r="I2015" t="s">
        <v>16</v>
      </c>
      <c r="J2015" t="s">
        <v>89</v>
      </c>
    </row>
    <row r="2016" spans="1:10" x14ac:dyDescent="0.35">
      <c r="A2016" t="s">
        <v>2198</v>
      </c>
      <c r="B2016" s="1">
        <v>46023</v>
      </c>
      <c r="C2016" t="s">
        <v>415</v>
      </c>
      <c r="D2016" t="s">
        <v>12</v>
      </c>
      <c r="E2016" t="s">
        <v>51</v>
      </c>
      <c r="F2016" t="s">
        <v>14</v>
      </c>
      <c r="G2016">
        <v>56.43</v>
      </c>
      <c r="H2016" t="s">
        <v>15</v>
      </c>
      <c r="I2016" t="s">
        <v>22</v>
      </c>
      <c r="J2016" t="s">
        <v>77</v>
      </c>
    </row>
    <row r="2017" spans="1:10" x14ac:dyDescent="0.35">
      <c r="A2017" t="s">
        <v>2199</v>
      </c>
      <c r="B2017" s="1">
        <v>46023</v>
      </c>
      <c r="C2017" t="s">
        <v>192</v>
      </c>
      <c r="D2017" t="s">
        <v>80</v>
      </c>
      <c r="E2017" t="s">
        <v>92</v>
      </c>
      <c r="F2017" t="s">
        <v>14</v>
      </c>
      <c r="G2017">
        <v>225.54</v>
      </c>
      <c r="H2017" t="s">
        <v>21</v>
      </c>
      <c r="I2017" t="s">
        <v>22</v>
      </c>
      <c r="J2017" t="s">
        <v>180</v>
      </c>
    </row>
    <row r="2018" spans="1:10" x14ac:dyDescent="0.35">
      <c r="A2018" t="s">
        <v>2200</v>
      </c>
      <c r="B2018" s="1">
        <v>46023</v>
      </c>
      <c r="C2018" t="s">
        <v>227</v>
      </c>
      <c r="D2018" t="s">
        <v>12</v>
      </c>
      <c r="E2018" t="s">
        <v>51</v>
      </c>
      <c r="F2018" t="s">
        <v>14</v>
      </c>
      <c r="G2018">
        <v>50.31</v>
      </c>
      <c r="H2018" t="s">
        <v>15</v>
      </c>
      <c r="I2018" t="s">
        <v>47</v>
      </c>
      <c r="J2018" t="s">
        <v>17</v>
      </c>
    </row>
    <row r="2019" spans="1:10" x14ac:dyDescent="0.35">
      <c r="A2019" t="s">
        <v>2201</v>
      </c>
      <c r="B2019" s="1">
        <v>46023</v>
      </c>
      <c r="C2019" t="s">
        <v>11</v>
      </c>
      <c r="D2019" t="s">
        <v>12</v>
      </c>
      <c r="E2019" t="s">
        <v>13</v>
      </c>
      <c r="F2019" t="s">
        <v>14</v>
      </c>
      <c r="G2019">
        <v>30.73</v>
      </c>
      <c r="H2019" t="s">
        <v>21</v>
      </c>
      <c r="I2019" t="s">
        <v>36</v>
      </c>
      <c r="J2019" t="s">
        <v>2202</v>
      </c>
    </row>
    <row r="2020" spans="1:10" x14ac:dyDescent="0.35">
      <c r="A2020" t="s">
        <v>2203</v>
      </c>
      <c r="B2020" s="1">
        <v>46023</v>
      </c>
      <c r="C2020" t="s">
        <v>160</v>
      </c>
      <c r="D2020" t="s">
        <v>80</v>
      </c>
      <c r="E2020" t="s">
        <v>117</v>
      </c>
      <c r="F2020" t="s">
        <v>14</v>
      </c>
      <c r="G2020">
        <v>31.95</v>
      </c>
      <c r="H2020" t="s">
        <v>15</v>
      </c>
      <c r="I2020" t="s">
        <v>84</v>
      </c>
      <c r="J2020" t="s">
        <v>161</v>
      </c>
    </row>
    <row r="2021" spans="1:10" x14ac:dyDescent="0.35">
      <c r="A2021" t="s">
        <v>2204</v>
      </c>
      <c r="B2021" s="1">
        <v>46024</v>
      </c>
      <c r="C2021" t="s">
        <v>308</v>
      </c>
      <c r="D2021" t="s">
        <v>54</v>
      </c>
      <c r="E2021" t="s">
        <v>64</v>
      </c>
      <c r="F2021" t="s">
        <v>54</v>
      </c>
      <c r="G2021">
        <v>333.71</v>
      </c>
      <c r="H2021" t="s">
        <v>21</v>
      </c>
      <c r="I2021" t="s">
        <v>36</v>
      </c>
      <c r="J2021" t="s">
        <v>89</v>
      </c>
    </row>
    <row r="2022" spans="1:10" x14ac:dyDescent="0.35">
      <c r="A2022" t="s">
        <v>2205</v>
      </c>
      <c r="B2022" s="1">
        <v>46024</v>
      </c>
      <c r="C2022" t="s">
        <v>345</v>
      </c>
      <c r="D2022" t="s">
        <v>59</v>
      </c>
      <c r="E2022" t="s">
        <v>60</v>
      </c>
      <c r="F2022" t="s">
        <v>14</v>
      </c>
      <c r="G2022">
        <v>193.28</v>
      </c>
      <c r="H2022" t="s">
        <v>15</v>
      </c>
      <c r="I2022" t="s">
        <v>16</v>
      </c>
      <c r="J2022" t="s">
        <v>211</v>
      </c>
    </row>
    <row r="2023" spans="1:10" x14ac:dyDescent="0.35">
      <c r="A2023" t="s">
        <v>2206</v>
      </c>
      <c r="B2023" s="1">
        <v>46024</v>
      </c>
      <c r="C2023" t="s">
        <v>88</v>
      </c>
      <c r="D2023" t="s">
        <v>54</v>
      </c>
      <c r="E2023" t="s">
        <v>74</v>
      </c>
      <c r="F2023" t="s">
        <v>54</v>
      </c>
      <c r="G2023">
        <v>2858.71</v>
      </c>
      <c r="H2023" t="s">
        <v>15</v>
      </c>
      <c r="I2023" t="s">
        <v>47</v>
      </c>
      <c r="J2023" t="s">
        <v>89</v>
      </c>
    </row>
    <row r="2024" spans="1:10" x14ac:dyDescent="0.35">
      <c r="A2024" t="s">
        <v>2207</v>
      </c>
      <c r="B2024" s="1">
        <v>46024</v>
      </c>
      <c r="C2024" t="s">
        <v>88</v>
      </c>
      <c r="D2024" t="s">
        <v>54</v>
      </c>
      <c r="E2024" t="s">
        <v>74</v>
      </c>
      <c r="F2024" t="s">
        <v>54</v>
      </c>
      <c r="G2024">
        <v>2298.73</v>
      </c>
      <c r="H2024" t="s">
        <v>15</v>
      </c>
      <c r="I2024" t="s">
        <v>36</v>
      </c>
      <c r="J2024" t="s">
        <v>89</v>
      </c>
    </row>
    <row r="2025" spans="1:10" x14ac:dyDescent="0.35">
      <c r="A2025" t="s">
        <v>2208</v>
      </c>
      <c r="B2025" s="1">
        <v>46024</v>
      </c>
      <c r="C2025" t="s">
        <v>210</v>
      </c>
      <c r="D2025" t="s">
        <v>59</v>
      </c>
      <c r="E2025" t="s">
        <v>185</v>
      </c>
      <c r="F2025" t="s">
        <v>14</v>
      </c>
      <c r="G2025">
        <v>136.52000000000001</v>
      </c>
      <c r="H2025" t="s">
        <v>15</v>
      </c>
      <c r="I2025" t="s">
        <v>47</v>
      </c>
      <c r="J2025" t="s">
        <v>211</v>
      </c>
    </row>
    <row r="2026" spans="1:10" x14ac:dyDescent="0.35">
      <c r="A2026" t="s">
        <v>2209</v>
      </c>
      <c r="B2026" s="1">
        <v>46024</v>
      </c>
      <c r="C2026" t="s">
        <v>43</v>
      </c>
      <c r="D2026" t="s">
        <v>12</v>
      </c>
      <c r="E2026" t="s">
        <v>26</v>
      </c>
      <c r="F2026" t="s">
        <v>14</v>
      </c>
      <c r="G2026">
        <v>57.04</v>
      </c>
      <c r="H2026" t="s">
        <v>15</v>
      </c>
      <c r="I2026" t="s">
        <v>22</v>
      </c>
      <c r="J2026" t="s">
        <v>44</v>
      </c>
    </row>
    <row r="2027" spans="1:10" x14ac:dyDescent="0.35">
      <c r="A2027" t="s">
        <v>2210</v>
      </c>
      <c r="B2027" s="1">
        <v>46024</v>
      </c>
      <c r="C2027" t="s">
        <v>395</v>
      </c>
      <c r="D2027" t="s">
        <v>69</v>
      </c>
      <c r="E2027" t="s">
        <v>291</v>
      </c>
      <c r="F2027" t="s">
        <v>14</v>
      </c>
      <c r="G2027">
        <v>261.37</v>
      </c>
      <c r="H2027" t="s">
        <v>15</v>
      </c>
      <c r="I2027" t="s">
        <v>47</v>
      </c>
      <c r="J2027" t="s">
        <v>396</v>
      </c>
    </row>
    <row r="2028" spans="1:10" x14ac:dyDescent="0.35">
      <c r="A2028" t="s">
        <v>2211</v>
      </c>
      <c r="B2028" s="1">
        <v>46024</v>
      </c>
      <c r="C2028" t="s">
        <v>238</v>
      </c>
      <c r="D2028" t="s">
        <v>34</v>
      </c>
      <c r="E2028" t="s">
        <v>35</v>
      </c>
      <c r="F2028" t="s">
        <v>14</v>
      </c>
      <c r="G2028">
        <v>38.630000000000003</v>
      </c>
      <c r="H2028" t="s">
        <v>21</v>
      </c>
      <c r="I2028" t="s">
        <v>16</v>
      </c>
      <c r="J2028" t="s">
        <v>239</v>
      </c>
    </row>
    <row r="2029" spans="1:10" x14ac:dyDescent="0.35">
      <c r="A2029" t="s">
        <v>2212</v>
      </c>
      <c r="B2029" s="1">
        <v>46025</v>
      </c>
      <c r="C2029" t="s">
        <v>168</v>
      </c>
      <c r="D2029" t="s">
        <v>59</v>
      </c>
      <c r="E2029" t="s">
        <v>60</v>
      </c>
      <c r="F2029" t="s">
        <v>14</v>
      </c>
      <c r="G2029">
        <v>454.61</v>
      </c>
      <c r="H2029" t="s">
        <v>21</v>
      </c>
      <c r="I2029" t="s">
        <v>22</v>
      </c>
      <c r="J2029" t="s">
        <v>170</v>
      </c>
    </row>
    <row r="2030" spans="1:10" x14ac:dyDescent="0.35">
      <c r="A2030" t="s">
        <v>2213</v>
      </c>
      <c r="B2030" s="1">
        <v>46025</v>
      </c>
      <c r="C2030" t="s">
        <v>227</v>
      </c>
      <c r="D2030" t="s">
        <v>12</v>
      </c>
      <c r="E2030" t="s">
        <v>51</v>
      </c>
      <c r="F2030" t="s">
        <v>14</v>
      </c>
      <c r="G2030">
        <v>107.72</v>
      </c>
      <c r="H2030" t="s">
        <v>15</v>
      </c>
      <c r="I2030" t="s">
        <v>36</v>
      </c>
      <c r="J2030" t="s">
        <v>17</v>
      </c>
    </row>
    <row r="2031" spans="1:10" x14ac:dyDescent="0.35">
      <c r="A2031" t="s">
        <v>2214</v>
      </c>
      <c r="B2031" s="1">
        <v>46025</v>
      </c>
      <c r="C2031" t="s">
        <v>155</v>
      </c>
      <c r="D2031" t="s">
        <v>12</v>
      </c>
      <c r="E2031" t="s">
        <v>51</v>
      </c>
      <c r="F2031" t="s">
        <v>14</v>
      </c>
      <c r="G2031">
        <v>63.18</v>
      </c>
      <c r="H2031" t="s">
        <v>15</v>
      </c>
      <c r="I2031" t="s">
        <v>36</v>
      </c>
      <c r="J2031" t="s">
        <v>48</v>
      </c>
    </row>
    <row r="2032" spans="1:10" x14ac:dyDescent="0.35">
      <c r="A2032" t="s">
        <v>2215</v>
      </c>
      <c r="B2032" s="1">
        <v>46025</v>
      </c>
      <c r="C2032" t="s">
        <v>43</v>
      </c>
      <c r="D2032" t="s">
        <v>12</v>
      </c>
      <c r="E2032" t="s">
        <v>26</v>
      </c>
      <c r="F2032" t="s">
        <v>14</v>
      </c>
      <c r="G2032">
        <v>74.44</v>
      </c>
      <c r="H2032" t="s">
        <v>15</v>
      </c>
      <c r="I2032" t="s">
        <v>22</v>
      </c>
      <c r="J2032" t="s">
        <v>44</v>
      </c>
    </row>
    <row r="2033" spans="1:10" x14ac:dyDescent="0.35">
      <c r="A2033" t="s">
        <v>2216</v>
      </c>
      <c r="B2033" s="1">
        <v>46025</v>
      </c>
      <c r="C2033" t="s">
        <v>206</v>
      </c>
      <c r="D2033" t="s">
        <v>29</v>
      </c>
      <c r="E2033" t="s">
        <v>95</v>
      </c>
      <c r="F2033" t="s">
        <v>14</v>
      </c>
      <c r="G2033">
        <v>8.31</v>
      </c>
      <c r="H2033" t="s">
        <v>21</v>
      </c>
      <c r="I2033" t="s">
        <v>36</v>
      </c>
      <c r="J2033" t="s">
        <v>31</v>
      </c>
    </row>
    <row r="2034" spans="1:10" x14ac:dyDescent="0.35">
      <c r="A2034" t="s">
        <v>2217</v>
      </c>
      <c r="B2034" s="1">
        <v>46025</v>
      </c>
      <c r="C2034" t="s">
        <v>58</v>
      </c>
      <c r="D2034" t="s">
        <v>59</v>
      </c>
      <c r="E2034" t="s">
        <v>60</v>
      </c>
      <c r="F2034" t="s">
        <v>14</v>
      </c>
      <c r="G2034">
        <v>950</v>
      </c>
      <c r="H2034" t="s">
        <v>21</v>
      </c>
      <c r="I2034" t="s">
        <v>84</v>
      </c>
      <c r="J2034" t="s">
        <v>61</v>
      </c>
    </row>
    <row r="2035" spans="1:10" x14ac:dyDescent="0.35">
      <c r="A2035" t="s">
        <v>2218</v>
      </c>
      <c r="B2035" s="1">
        <v>46025</v>
      </c>
      <c r="C2035" t="s">
        <v>204</v>
      </c>
      <c r="D2035" t="s">
        <v>12</v>
      </c>
      <c r="E2035" t="s">
        <v>51</v>
      </c>
      <c r="F2035" t="s">
        <v>14</v>
      </c>
      <c r="G2035">
        <v>23.72</v>
      </c>
      <c r="H2035" t="s">
        <v>21</v>
      </c>
      <c r="I2035" t="s">
        <v>22</v>
      </c>
      <c r="J2035" t="s">
        <v>23</v>
      </c>
    </row>
    <row r="2036" spans="1:10" x14ac:dyDescent="0.35">
      <c r="A2036" t="s">
        <v>2219</v>
      </c>
      <c r="B2036" s="1">
        <v>46025</v>
      </c>
      <c r="C2036" t="s">
        <v>43</v>
      </c>
      <c r="D2036" t="s">
        <v>12</v>
      </c>
      <c r="E2036" t="s">
        <v>26</v>
      </c>
      <c r="F2036" t="s">
        <v>14</v>
      </c>
      <c r="G2036">
        <v>37.409999999999997</v>
      </c>
      <c r="H2036" t="s">
        <v>15</v>
      </c>
      <c r="I2036" t="s">
        <v>47</v>
      </c>
      <c r="J2036" t="s">
        <v>44</v>
      </c>
    </row>
    <row r="2037" spans="1:10" x14ac:dyDescent="0.35">
      <c r="A2037" t="s">
        <v>2220</v>
      </c>
      <c r="B2037" s="1">
        <v>46026</v>
      </c>
      <c r="C2037" t="s">
        <v>25</v>
      </c>
      <c r="D2037" t="s">
        <v>20</v>
      </c>
      <c r="E2037" t="s">
        <v>26</v>
      </c>
      <c r="F2037" t="s">
        <v>14</v>
      </c>
      <c r="G2037">
        <v>56.98</v>
      </c>
      <c r="H2037" t="s">
        <v>15</v>
      </c>
      <c r="I2037" t="s">
        <v>16</v>
      </c>
      <c r="J2037" t="s">
        <v>17</v>
      </c>
    </row>
    <row r="2038" spans="1:10" x14ac:dyDescent="0.35">
      <c r="A2038" t="s">
        <v>2221</v>
      </c>
      <c r="B2038" s="1">
        <v>46026</v>
      </c>
      <c r="C2038" t="s">
        <v>308</v>
      </c>
      <c r="D2038" t="s">
        <v>54</v>
      </c>
      <c r="E2038" t="s">
        <v>64</v>
      </c>
      <c r="F2038" t="s">
        <v>54</v>
      </c>
      <c r="G2038">
        <v>345.09</v>
      </c>
      <c r="H2038" t="s">
        <v>21</v>
      </c>
      <c r="I2038" t="s">
        <v>22</v>
      </c>
      <c r="J2038" t="s">
        <v>89</v>
      </c>
    </row>
    <row r="2039" spans="1:10" x14ac:dyDescent="0.35">
      <c r="A2039" t="s">
        <v>2222</v>
      </c>
      <c r="B2039" s="1">
        <v>46026</v>
      </c>
      <c r="C2039" t="s">
        <v>350</v>
      </c>
      <c r="D2039" t="s">
        <v>29</v>
      </c>
      <c r="E2039" t="s">
        <v>151</v>
      </c>
      <c r="F2039" t="s">
        <v>14</v>
      </c>
      <c r="G2039">
        <v>25.32</v>
      </c>
      <c r="H2039" t="s">
        <v>21</v>
      </c>
      <c r="I2039" t="s">
        <v>22</v>
      </c>
      <c r="J2039" t="s">
        <v>158</v>
      </c>
    </row>
    <row r="2040" spans="1:10" x14ac:dyDescent="0.35">
      <c r="A2040" t="s">
        <v>2223</v>
      </c>
      <c r="B2040" s="1">
        <v>46026</v>
      </c>
      <c r="C2040" t="s">
        <v>580</v>
      </c>
      <c r="D2040" t="s">
        <v>80</v>
      </c>
      <c r="E2040" t="s">
        <v>81</v>
      </c>
      <c r="F2040" t="s">
        <v>14</v>
      </c>
      <c r="G2040">
        <v>81.06</v>
      </c>
      <c r="H2040" t="s">
        <v>15</v>
      </c>
      <c r="I2040" t="s">
        <v>257</v>
      </c>
      <c r="J2040" t="s">
        <v>118</v>
      </c>
    </row>
    <row r="2041" spans="1:10" x14ac:dyDescent="0.35">
      <c r="A2041" t="s">
        <v>2224</v>
      </c>
      <c r="B2041" s="1">
        <v>46027</v>
      </c>
      <c r="C2041" t="s">
        <v>281</v>
      </c>
      <c r="D2041" t="s">
        <v>34</v>
      </c>
      <c r="E2041" t="s">
        <v>40</v>
      </c>
      <c r="F2041" t="s">
        <v>14</v>
      </c>
      <c r="G2041">
        <v>80.290000000000006</v>
      </c>
      <c r="H2041" t="s">
        <v>21</v>
      </c>
      <c r="I2041" t="s">
        <v>22</v>
      </c>
      <c r="J2041" t="s">
        <v>123</v>
      </c>
    </row>
    <row r="2042" spans="1:10" x14ac:dyDescent="0.35">
      <c r="A2042" t="s">
        <v>2225</v>
      </c>
      <c r="B2042" s="1">
        <v>46027</v>
      </c>
      <c r="C2042" t="s">
        <v>25</v>
      </c>
      <c r="D2042" t="s">
        <v>12</v>
      </c>
      <c r="E2042" t="s">
        <v>26</v>
      </c>
      <c r="F2042" t="s">
        <v>14</v>
      </c>
      <c r="G2042">
        <v>32.43</v>
      </c>
      <c r="H2042" t="s">
        <v>15</v>
      </c>
      <c r="I2042" t="s">
        <v>22</v>
      </c>
      <c r="J2042" t="s">
        <v>17</v>
      </c>
    </row>
    <row r="2043" spans="1:10" x14ac:dyDescent="0.35">
      <c r="A2043" t="s">
        <v>2226</v>
      </c>
      <c r="B2043" s="1">
        <v>46028</v>
      </c>
      <c r="C2043" t="s">
        <v>19</v>
      </c>
      <c r="D2043" t="s">
        <v>12</v>
      </c>
      <c r="E2043" t="s">
        <v>13</v>
      </c>
      <c r="F2043" t="s">
        <v>14</v>
      </c>
      <c r="G2043">
        <v>20.67</v>
      </c>
      <c r="H2043" t="s">
        <v>15</v>
      </c>
      <c r="I2043" t="s">
        <v>36</v>
      </c>
      <c r="J2043" t="s">
        <v>23</v>
      </c>
    </row>
    <row r="2044" spans="1:10" x14ac:dyDescent="0.35">
      <c r="A2044" t="s">
        <v>2227</v>
      </c>
      <c r="B2044" s="1">
        <v>46028</v>
      </c>
      <c r="C2044" t="s">
        <v>272</v>
      </c>
      <c r="D2044" t="s">
        <v>54</v>
      </c>
      <c r="E2044" t="s">
        <v>55</v>
      </c>
      <c r="F2044" t="s">
        <v>54</v>
      </c>
      <c r="G2044">
        <v>793.6</v>
      </c>
      <c r="H2044" t="s">
        <v>98</v>
      </c>
      <c r="I2044" t="s">
        <v>16</v>
      </c>
      <c r="J2044" t="s">
        <v>65</v>
      </c>
    </row>
    <row r="2045" spans="1:10" x14ac:dyDescent="0.35">
      <c r="A2045" t="s">
        <v>2228</v>
      </c>
      <c r="B2045" s="1">
        <v>46028</v>
      </c>
      <c r="C2045" t="s">
        <v>262</v>
      </c>
      <c r="D2045" t="s">
        <v>101</v>
      </c>
      <c r="E2045" t="s">
        <v>244</v>
      </c>
      <c r="F2045" t="s">
        <v>14</v>
      </c>
      <c r="G2045">
        <v>42.09</v>
      </c>
      <c r="H2045" t="s">
        <v>15</v>
      </c>
      <c r="I2045" t="s">
        <v>22</v>
      </c>
      <c r="J2045" t="s">
        <v>136</v>
      </c>
    </row>
    <row r="2046" spans="1:10" x14ac:dyDescent="0.35">
      <c r="A2046" t="s">
        <v>2229</v>
      </c>
      <c r="B2046" s="1">
        <v>46028</v>
      </c>
      <c r="C2046" t="s">
        <v>88</v>
      </c>
      <c r="D2046" t="s">
        <v>54</v>
      </c>
      <c r="E2046" t="s">
        <v>74</v>
      </c>
      <c r="F2046" t="s">
        <v>54</v>
      </c>
      <c r="G2046">
        <v>2628.03</v>
      </c>
      <c r="H2046" t="s">
        <v>21</v>
      </c>
      <c r="I2046" t="s">
        <v>22</v>
      </c>
      <c r="J2046" t="s">
        <v>89</v>
      </c>
    </row>
    <row r="2047" spans="1:10" x14ac:dyDescent="0.35">
      <c r="A2047" t="s">
        <v>2230</v>
      </c>
      <c r="B2047" s="1">
        <v>46028</v>
      </c>
      <c r="C2047" t="s">
        <v>53</v>
      </c>
      <c r="D2047" t="s">
        <v>54</v>
      </c>
      <c r="E2047" t="s">
        <v>55</v>
      </c>
      <c r="F2047" t="s">
        <v>54</v>
      </c>
      <c r="G2047">
        <v>702.35</v>
      </c>
      <c r="H2047" t="s">
        <v>15</v>
      </c>
      <c r="I2047" t="s">
        <v>47</v>
      </c>
      <c r="J2047" t="s">
        <v>56</v>
      </c>
    </row>
    <row r="2048" spans="1:10" x14ac:dyDescent="0.35">
      <c r="A2048" t="s">
        <v>2231</v>
      </c>
      <c r="B2048" s="1">
        <v>46028</v>
      </c>
      <c r="C2048" t="s">
        <v>543</v>
      </c>
      <c r="D2048" t="s">
        <v>69</v>
      </c>
      <c r="E2048" t="s">
        <v>70</v>
      </c>
      <c r="F2048" t="s">
        <v>14</v>
      </c>
      <c r="G2048">
        <v>310.12</v>
      </c>
      <c r="H2048" t="s">
        <v>15</v>
      </c>
      <c r="I2048" t="s">
        <v>36</v>
      </c>
      <c r="J2048" t="s">
        <v>292</v>
      </c>
    </row>
    <row r="2049" spans="1:10" x14ac:dyDescent="0.35">
      <c r="A2049" t="s">
        <v>2232</v>
      </c>
      <c r="B2049" s="1">
        <v>46028</v>
      </c>
      <c r="C2049" t="s">
        <v>11</v>
      </c>
      <c r="D2049" t="s">
        <v>12</v>
      </c>
      <c r="E2049" t="s">
        <v>13</v>
      </c>
      <c r="F2049" t="s">
        <v>14</v>
      </c>
      <c r="G2049">
        <v>47.63</v>
      </c>
      <c r="H2049" t="s">
        <v>15</v>
      </c>
      <c r="I2049" t="s">
        <v>84</v>
      </c>
      <c r="J2049" t="s">
        <v>17</v>
      </c>
    </row>
    <row r="2050" spans="1:10" x14ac:dyDescent="0.35">
      <c r="A2050" t="s">
        <v>2233</v>
      </c>
      <c r="B2050" s="1">
        <v>46029</v>
      </c>
      <c r="C2050" t="s">
        <v>50</v>
      </c>
      <c r="D2050" t="s">
        <v>12</v>
      </c>
      <c r="E2050" t="s">
        <v>51</v>
      </c>
      <c r="F2050" t="s">
        <v>14</v>
      </c>
      <c r="G2050">
        <v>44.85</v>
      </c>
      <c r="H2050" t="s">
        <v>15</v>
      </c>
      <c r="I2050" t="s">
        <v>47</v>
      </c>
      <c r="J2050" t="s">
        <v>44</v>
      </c>
    </row>
    <row r="2051" spans="1:10" x14ac:dyDescent="0.35">
      <c r="A2051" t="s">
        <v>2234</v>
      </c>
      <c r="B2051" s="1">
        <v>46029</v>
      </c>
      <c r="C2051" t="s">
        <v>46</v>
      </c>
      <c r="D2051" t="s">
        <v>12</v>
      </c>
      <c r="E2051" t="s">
        <v>13</v>
      </c>
      <c r="F2051" t="s">
        <v>14</v>
      </c>
      <c r="G2051">
        <v>10.36</v>
      </c>
      <c r="H2051" t="s">
        <v>15</v>
      </c>
      <c r="I2051" t="s">
        <v>22</v>
      </c>
      <c r="J2051" t="s">
        <v>48</v>
      </c>
    </row>
    <row r="2052" spans="1:10" x14ac:dyDescent="0.35">
      <c r="A2052" t="s">
        <v>2235</v>
      </c>
      <c r="B2052" s="1">
        <v>46029</v>
      </c>
      <c r="C2052" t="s">
        <v>135</v>
      </c>
      <c r="D2052" t="s">
        <v>101</v>
      </c>
      <c r="E2052" t="s">
        <v>102</v>
      </c>
      <c r="F2052" t="s">
        <v>14</v>
      </c>
      <c r="G2052">
        <v>250</v>
      </c>
      <c r="H2052" t="s">
        <v>15</v>
      </c>
      <c r="I2052" t="s">
        <v>22</v>
      </c>
      <c r="J2052" t="s">
        <v>136</v>
      </c>
    </row>
    <row r="2053" spans="1:10" x14ac:dyDescent="0.35">
      <c r="A2053" t="s">
        <v>2236</v>
      </c>
      <c r="B2053" s="1">
        <v>46029</v>
      </c>
      <c r="C2053" t="s">
        <v>269</v>
      </c>
      <c r="D2053" t="s">
        <v>34</v>
      </c>
      <c r="E2053" t="s">
        <v>35</v>
      </c>
      <c r="F2053" t="s">
        <v>14</v>
      </c>
      <c r="G2053">
        <v>78.83</v>
      </c>
      <c r="H2053" t="s">
        <v>21</v>
      </c>
      <c r="I2053" t="s">
        <v>84</v>
      </c>
      <c r="J2053" t="s">
        <v>123</v>
      </c>
    </row>
    <row r="2054" spans="1:10" x14ac:dyDescent="0.35">
      <c r="A2054" t="s">
        <v>2237</v>
      </c>
      <c r="B2054" s="1">
        <v>46030</v>
      </c>
      <c r="C2054" t="s">
        <v>153</v>
      </c>
      <c r="D2054" t="s">
        <v>34</v>
      </c>
      <c r="E2054" t="s">
        <v>122</v>
      </c>
      <c r="F2054" t="s">
        <v>14</v>
      </c>
      <c r="G2054">
        <v>39.950000000000003</v>
      </c>
      <c r="H2054" t="s">
        <v>15</v>
      </c>
      <c r="I2054" t="s">
        <v>16</v>
      </c>
      <c r="J2054" t="s">
        <v>41</v>
      </c>
    </row>
    <row r="2055" spans="1:10" x14ac:dyDescent="0.35">
      <c r="A2055" t="s">
        <v>2238</v>
      </c>
      <c r="B2055" s="1">
        <v>46030</v>
      </c>
      <c r="C2055" t="s">
        <v>140</v>
      </c>
      <c r="D2055" t="s">
        <v>80</v>
      </c>
      <c r="E2055" t="s">
        <v>81</v>
      </c>
      <c r="F2055" t="s">
        <v>14</v>
      </c>
      <c r="G2055">
        <v>78.61</v>
      </c>
      <c r="H2055" t="s">
        <v>15</v>
      </c>
      <c r="I2055" t="s">
        <v>22</v>
      </c>
      <c r="J2055" t="s">
        <v>141</v>
      </c>
    </row>
    <row r="2056" spans="1:10" x14ac:dyDescent="0.35">
      <c r="A2056" t="s">
        <v>2239</v>
      </c>
      <c r="B2056" s="1">
        <v>46030</v>
      </c>
      <c r="C2056" t="s">
        <v>73</v>
      </c>
      <c r="D2056" t="s">
        <v>54</v>
      </c>
      <c r="E2056" t="s">
        <v>74</v>
      </c>
      <c r="F2056" t="s">
        <v>54</v>
      </c>
      <c r="G2056">
        <v>2287.94</v>
      </c>
      <c r="H2056" t="s">
        <v>15</v>
      </c>
      <c r="I2056" t="s">
        <v>36</v>
      </c>
      <c r="J2056" t="s">
        <v>65</v>
      </c>
    </row>
    <row r="2057" spans="1:10" x14ac:dyDescent="0.35">
      <c r="A2057" t="s">
        <v>2240</v>
      </c>
      <c r="B2057" s="1">
        <v>46031</v>
      </c>
      <c r="C2057" t="s">
        <v>272</v>
      </c>
      <c r="D2057" t="s">
        <v>54</v>
      </c>
      <c r="E2057" t="s">
        <v>55</v>
      </c>
      <c r="F2057" t="s">
        <v>54</v>
      </c>
      <c r="G2057">
        <v>808.69</v>
      </c>
      <c r="H2057" t="s">
        <v>21</v>
      </c>
      <c r="I2057" t="s">
        <v>22</v>
      </c>
      <c r="J2057" t="s">
        <v>65</v>
      </c>
    </row>
    <row r="2058" spans="1:10" x14ac:dyDescent="0.35">
      <c r="A2058" t="s">
        <v>2241</v>
      </c>
      <c r="B2058" s="1">
        <v>46031</v>
      </c>
      <c r="C2058" t="s">
        <v>272</v>
      </c>
      <c r="D2058" t="s">
        <v>54</v>
      </c>
      <c r="E2058" t="s">
        <v>55</v>
      </c>
      <c r="F2058" t="s">
        <v>54</v>
      </c>
      <c r="G2058">
        <v>714.77</v>
      </c>
      <c r="H2058" t="s">
        <v>21</v>
      </c>
      <c r="I2058" t="s">
        <v>36</v>
      </c>
      <c r="J2058" t="s">
        <v>65</v>
      </c>
    </row>
    <row r="2059" spans="1:10" x14ac:dyDescent="0.35">
      <c r="A2059" t="s">
        <v>2242</v>
      </c>
      <c r="B2059" s="1">
        <v>46031</v>
      </c>
      <c r="C2059" t="s">
        <v>168</v>
      </c>
      <c r="D2059" t="s">
        <v>59</v>
      </c>
      <c r="E2059" t="s">
        <v>60</v>
      </c>
      <c r="F2059" t="s">
        <v>14</v>
      </c>
      <c r="G2059">
        <v>130.63</v>
      </c>
      <c r="H2059" t="s">
        <v>98</v>
      </c>
      <c r="I2059" t="s">
        <v>47</v>
      </c>
      <c r="J2059" t="s">
        <v>170</v>
      </c>
    </row>
    <row r="2060" spans="1:10" x14ac:dyDescent="0.35">
      <c r="A2060" t="s">
        <v>2243</v>
      </c>
      <c r="B2060" s="1">
        <v>46031</v>
      </c>
      <c r="C2060" t="s">
        <v>79</v>
      </c>
      <c r="D2060" t="s">
        <v>80</v>
      </c>
      <c r="E2060" t="s">
        <v>81</v>
      </c>
      <c r="F2060" t="s">
        <v>14</v>
      </c>
      <c r="G2060">
        <v>71.41</v>
      </c>
      <c r="H2060" t="s">
        <v>21</v>
      </c>
      <c r="I2060" t="s">
        <v>47</v>
      </c>
      <c r="J2060" t="s">
        <v>82</v>
      </c>
    </row>
    <row r="2061" spans="1:10" x14ac:dyDescent="0.35">
      <c r="A2061" t="s">
        <v>2244</v>
      </c>
      <c r="B2061" s="1">
        <v>46031</v>
      </c>
      <c r="C2061" t="s">
        <v>189</v>
      </c>
      <c r="D2061" t="s">
        <v>34</v>
      </c>
      <c r="E2061" t="s">
        <v>122</v>
      </c>
      <c r="F2061" t="s">
        <v>14</v>
      </c>
      <c r="G2061">
        <v>125.47</v>
      </c>
      <c r="H2061" t="s">
        <v>21</v>
      </c>
      <c r="I2061" t="s">
        <v>22</v>
      </c>
      <c r="J2061" t="s">
        <v>37</v>
      </c>
    </row>
    <row r="2062" spans="1:10" x14ac:dyDescent="0.35">
      <c r="A2062" t="s">
        <v>2245</v>
      </c>
      <c r="B2062" s="1">
        <v>46031</v>
      </c>
      <c r="C2062" t="s">
        <v>256</v>
      </c>
      <c r="D2062" t="s">
        <v>34</v>
      </c>
      <c r="E2062" t="s">
        <v>40</v>
      </c>
      <c r="F2062" t="s">
        <v>14</v>
      </c>
      <c r="G2062">
        <v>500</v>
      </c>
      <c r="H2062" t="s">
        <v>21</v>
      </c>
      <c r="I2062" t="s">
        <v>84</v>
      </c>
      <c r="J2062" t="s">
        <v>239</v>
      </c>
    </row>
    <row r="2063" spans="1:10" x14ac:dyDescent="0.35">
      <c r="A2063" t="s">
        <v>2246</v>
      </c>
      <c r="B2063" s="1">
        <v>46032</v>
      </c>
      <c r="C2063" t="s">
        <v>94</v>
      </c>
      <c r="D2063" t="s">
        <v>29</v>
      </c>
      <c r="E2063" t="s">
        <v>95</v>
      </c>
      <c r="F2063" t="s">
        <v>14</v>
      </c>
      <c r="G2063">
        <v>24.96</v>
      </c>
      <c r="H2063" t="s">
        <v>21</v>
      </c>
      <c r="I2063" t="s">
        <v>22</v>
      </c>
      <c r="J2063" t="s">
        <v>96</v>
      </c>
    </row>
    <row r="2064" spans="1:10" x14ac:dyDescent="0.35">
      <c r="A2064" t="s">
        <v>2247</v>
      </c>
      <c r="B2064" s="1">
        <v>46032</v>
      </c>
      <c r="C2064" t="s">
        <v>53</v>
      </c>
      <c r="D2064" t="s">
        <v>54</v>
      </c>
      <c r="E2064" t="s">
        <v>55</v>
      </c>
      <c r="F2064" t="s">
        <v>54</v>
      </c>
      <c r="G2064">
        <v>694.49</v>
      </c>
      <c r="H2064" t="s">
        <v>15</v>
      </c>
      <c r="I2064" t="s">
        <v>22</v>
      </c>
      <c r="J2064" t="s">
        <v>56</v>
      </c>
    </row>
    <row r="2065" spans="1:10" x14ac:dyDescent="0.35">
      <c r="A2065" t="s">
        <v>2248</v>
      </c>
      <c r="B2065" s="1">
        <v>46032</v>
      </c>
      <c r="C2065" t="s">
        <v>43</v>
      </c>
      <c r="D2065" t="s">
        <v>12</v>
      </c>
      <c r="E2065" t="s">
        <v>26</v>
      </c>
      <c r="F2065" t="s">
        <v>14</v>
      </c>
      <c r="G2065">
        <v>50.39</v>
      </c>
      <c r="H2065" t="s">
        <v>21</v>
      </c>
      <c r="I2065" t="s">
        <v>22</v>
      </c>
      <c r="J2065" t="s">
        <v>44</v>
      </c>
    </row>
    <row r="2066" spans="1:10" x14ac:dyDescent="0.35">
      <c r="A2066" t="s">
        <v>2249</v>
      </c>
      <c r="B2066" s="1">
        <v>46032</v>
      </c>
      <c r="C2066" t="s">
        <v>194</v>
      </c>
      <c r="D2066" t="s">
        <v>101</v>
      </c>
      <c r="E2066" t="s">
        <v>136</v>
      </c>
      <c r="F2066" t="s">
        <v>14</v>
      </c>
      <c r="G2066">
        <v>56.69</v>
      </c>
      <c r="H2066" t="s">
        <v>15</v>
      </c>
      <c r="I2066" t="s">
        <v>22</v>
      </c>
      <c r="J2066" t="s">
        <v>103</v>
      </c>
    </row>
    <row r="2067" spans="1:10" x14ac:dyDescent="0.35">
      <c r="A2067" t="s">
        <v>2250</v>
      </c>
      <c r="B2067" s="1">
        <v>46032</v>
      </c>
      <c r="C2067" t="s">
        <v>73</v>
      </c>
      <c r="D2067" t="s">
        <v>54</v>
      </c>
      <c r="E2067" t="s">
        <v>74</v>
      </c>
      <c r="F2067" t="s">
        <v>54</v>
      </c>
      <c r="G2067">
        <v>2451.38</v>
      </c>
      <c r="H2067" t="s">
        <v>21</v>
      </c>
      <c r="I2067" t="s">
        <v>36</v>
      </c>
      <c r="J2067" t="s">
        <v>65</v>
      </c>
    </row>
    <row r="2068" spans="1:10" x14ac:dyDescent="0.35">
      <c r="A2068" t="s">
        <v>2251</v>
      </c>
      <c r="B2068" s="1">
        <v>46032</v>
      </c>
      <c r="C2068" t="s">
        <v>194</v>
      </c>
      <c r="D2068" t="s">
        <v>101</v>
      </c>
      <c r="E2068" t="s">
        <v>136</v>
      </c>
      <c r="F2068" t="s">
        <v>14</v>
      </c>
      <c r="G2068">
        <v>84.87</v>
      </c>
      <c r="H2068" t="s">
        <v>21</v>
      </c>
      <c r="I2068" t="s">
        <v>36</v>
      </c>
      <c r="J2068" t="s">
        <v>103</v>
      </c>
    </row>
    <row r="2069" spans="1:10" x14ac:dyDescent="0.35">
      <c r="A2069" t="s">
        <v>2252</v>
      </c>
      <c r="B2069" s="1">
        <v>46032</v>
      </c>
      <c r="C2069" t="s">
        <v>125</v>
      </c>
      <c r="D2069" t="s">
        <v>12</v>
      </c>
      <c r="E2069" t="s">
        <v>13</v>
      </c>
      <c r="F2069" t="s">
        <v>14</v>
      </c>
      <c r="G2069">
        <v>67.17</v>
      </c>
      <c r="H2069" t="s">
        <v>15</v>
      </c>
      <c r="I2069" t="s">
        <v>16</v>
      </c>
      <c r="J2069" t="s">
        <v>44</v>
      </c>
    </row>
    <row r="2070" spans="1:10" x14ac:dyDescent="0.35">
      <c r="A2070" t="s">
        <v>2253</v>
      </c>
      <c r="B2070" s="1">
        <v>46033</v>
      </c>
      <c r="C2070" t="s">
        <v>177</v>
      </c>
      <c r="D2070" t="s">
        <v>54</v>
      </c>
      <c r="E2070" t="s">
        <v>74</v>
      </c>
      <c r="F2070" t="s">
        <v>54</v>
      </c>
      <c r="G2070">
        <v>2383.8200000000002</v>
      </c>
      <c r="H2070" t="s">
        <v>21</v>
      </c>
      <c r="I2070" t="s">
        <v>36</v>
      </c>
      <c r="J2070" t="s">
        <v>56</v>
      </c>
    </row>
    <row r="2071" spans="1:10" x14ac:dyDescent="0.35">
      <c r="A2071" t="s">
        <v>2254</v>
      </c>
      <c r="B2071" s="1">
        <v>46033</v>
      </c>
      <c r="C2071" t="s">
        <v>345</v>
      </c>
      <c r="D2071" t="s">
        <v>59</v>
      </c>
      <c r="E2071" t="s">
        <v>60</v>
      </c>
      <c r="F2071" t="s">
        <v>14</v>
      </c>
      <c r="G2071">
        <v>175.73</v>
      </c>
      <c r="H2071" t="s">
        <v>15</v>
      </c>
      <c r="I2071" t="s">
        <v>22</v>
      </c>
      <c r="J2071" t="s">
        <v>211</v>
      </c>
    </row>
    <row r="2072" spans="1:10" x14ac:dyDescent="0.35">
      <c r="A2072" t="s">
        <v>2255</v>
      </c>
      <c r="B2072" s="1">
        <v>46033</v>
      </c>
      <c r="C2072" t="s">
        <v>267</v>
      </c>
      <c r="D2072" t="s">
        <v>29</v>
      </c>
      <c r="E2072" t="s">
        <v>30</v>
      </c>
      <c r="F2072" t="s">
        <v>14</v>
      </c>
      <c r="G2072">
        <v>56.98</v>
      </c>
      <c r="H2072" t="s">
        <v>15</v>
      </c>
      <c r="I2072" t="s">
        <v>22</v>
      </c>
      <c r="J2072" t="s">
        <v>96</v>
      </c>
    </row>
    <row r="2073" spans="1:10" x14ac:dyDescent="0.35">
      <c r="A2073" t="s">
        <v>2256</v>
      </c>
      <c r="B2073" s="1">
        <v>46033</v>
      </c>
      <c r="C2073" t="s">
        <v>184</v>
      </c>
      <c r="D2073" t="s">
        <v>59</v>
      </c>
      <c r="E2073" t="s">
        <v>185</v>
      </c>
      <c r="F2073" t="s">
        <v>14</v>
      </c>
      <c r="G2073">
        <v>274.77</v>
      </c>
      <c r="H2073" t="s">
        <v>15</v>
      </c>
      <c r="I2073" t="s">
        <v>22</v>
      </c>
      <c r="J2073" t="s">
        <v>61</v>
      </c>
    </row>
    <row r="2074" spans="1:10" x14ac:dyDescent="0.35">
      <c r="A2074" t="s">
        <v>2257</v>
      </c>
      <c r="B2074" s="1">
        <v>46033</v>
      </c>
      <c r="C2074" t="s">
        <v>179</v>
      </c>
      <c r="D2074" t="s">
        <v>80</v>
      </c>
      <c r="E2074" t="s">
        <v>117</v>
      </c>
      <c r="F2074" t="s">
        <v>14</v>
      </c>
      <c r="G2074">
        <v>43.64</v>
      </c>
      <c r="H2074" t="s">
        <v>98</v>
      </c>
      <c r="I2074" t="s">
        <v>22</v>
      </c>
      <c r="J2074" t="s">
        <v>180</v>
      </c>
    </row>
    <row r="2075" spans="1:10" x14ac:dyDescent="0.35">
      <c r="A2075" t="s">
        <v>2258</v>
      </c>
      <c r="B2075" s="1">
        <v>46033</v>
      </c>
      <c r="C2075" t="s">
        <v>39</v>
      </c>
      <c r="D2075" t="s">
        <v>34</v>
      </c>
      <c r="E2075" t="s">
        <v>40</v>
      </c>
      <c r="F2075" t="s">
        <v>14</v>
      </c>
      <c r="G2075">
        <v>248.17</v>
      </c>
      <c r="H2075" t="s">
        <v>15</v>
      </c>
      <c r="I2075" t="s">
        <v>47</v>
      </c>
      <c r="J2075" t="s">
        <v>41</v>
      </c>
    </row>
    <row r="2076" spans="1:10" x14ac:dyDescent="0.35">
      <c r="A2076" t="s">
        <v>2259</v>
      </c>
      <c r="B2076" s="1">
        <v>46034</v>
      </c>
      <c r="C2076" t="s">
        <v>113</v>
      </c>
      <c r="D2076" t="s">
        <v>34</v>
      </c>
      <c r="E2076" t="s">
        <v>40</v>
      </c>
      <c r="F2076" t="s">
        <v>14</v>
      </c>
      <c r="G2076">
        <v>206.72</v>
      </c>
      <c r="H2076" t="s">
        <v>15</v>
      </c>
      <c r="I2076" t="s">
        <v>22</v>
      </c>
      <c r="J2076" t="s">
        <v>37</v>
      </c>
    </row>
    <row r="2077" spans="1:10" x14ac:dyDescent="0.35">
      <c r="A2077" t="s">
        <v>2260</v>
      </c>
      <c r="B2077" s="1">
        <v>46034</v>
      </c>
      <c r="C2077" t="s">
        <v>172</v>
      </c>
      <c r="D2077" t="s">
        <v>101</v>
      </c>
      <c r="E2077" t="s">
        <v>102</v>
      </c>
      <c r="F2077" t="s">
        <v>14</v>
      </c>
      <c r="G2077">
        <v>109.72</v>
      </c>
      <c r="H2077" t="s">
        <v>21</v>
      </c>
      <c r="I2077" t="s">
        <v>47</v>
      </c>
      <c r="J2077" t="s">
        <v>102</v>
      </c>
    </row>
    <row r="2078" spans="1:10" x14ac:dyDescent="0.35">
      <c r="A2078" t="s">
        <v>2261</v>
      </c>
      <c r="B2078" s="1">
        <v>46034</v>
      </c>
      <c r="C2078" t="s">
        <v>272</v>
      </c>
      <c r="D2078" t="s">
        <v>54</v>
      </c>
      <c r="E2078" t="s">
        <v>55</v>
      </c>
      <c r="F2078" t="s">
        <v>54</v>
      </c>
      <c r="G2078">
        <v>800.14</v>
      </c>
      <c r="H2078" t="s">
        <v>15</v>
      </c>
      <c r="I2078" t="s">
        <v>22</v>
      </c>
      <c r="J2078" t="s">
        <v>65</v>
      </c>
    </row>
    <row r="2079" spans="1:10" x14ac:dyDescent="0.35">
      <c r="A2079" t="s">
        <v>2262</v>
      </c>
      <c r="B2079" s="1">
        <v>46035</v>
      </c>
      <c r="C2079" t="s">
        <v>143</v>
      </c>
      <c r="D2079" t="s">
        <v>54</v>
      </c>
      <c r="E2079" t="s">
        <v>55</v>
      </c>
      <c r="F2079" t="s">
        <v>54</v>
      </c>
      <c r="G2079">
        <v>719.73</v>
      </c>
      <c r="H2079" t="s">
        <v>15</v>
      </c>
      <c r="I2079" t="s">
        <v>22</v>
      </c>
      <c r="J2079" t="s">
        <v>89</v>
      </c>
    </row>
    <row r="2080" spans="1:10" x14ac:dyDescent="0.35">
      <c r="A2080" t="s">
        <v>2263</v>
      </c>
      <c r="B2080" s="1">
        <v>46035</v>
      </c>
      <c r="C2080" t="s">
        <v>143</v>
      </c>
      <c r="D2080" t="s">
        <v>54</v>
      </c>
      <c r="E2080" t="s">
        <v>55</v>
      </c>
      <c r="F2080" t="s">
        <v>54</v>
      </c>
      <c r="G2080">
        <v>778.8</v>
      </c>
      <c r="H2080" t="s">
        <v>15</v>
      </c>
      <c r="I2080" t="s">
        <v>22</v>
      </c>
      <c r="J2080" t="s">
        <v>89</v>
      </c>
    </row>
    <row r="2081" spans="1:10" x14ac:dyDescent="0.35">
      <c r="A2081" t="s">
        <v>2264</v>
      </c>
      <c r="B2081" s="1">
        <v>46036</v>
      </c>
      <c r="C2081" t="s">
        <v>253</v>
      </c>
      <c r="D2081" t="s">
        <v>29</v>
      </c>
      <c r="E2081" t="s">
        <v>30</v>
      </c>
      <c r="F2081" t="s">
        <v>14</v>
      </c>
      <c r="G2081">
        <v>19.23</v>
      </c>
      <c r="H2081" t="s">
        <v>98</v>
      </c>
      <c r="I2081" t="s">
        <v>22</v>
      </c>
      <c r="J2081" t="s">
        <v>158</v>
      </c>
    </row>
    <row r="2082" spans="1:10" x14ac:dyDescent="0.35">
      <c r="A2082" t="s">
        <v>2265</v>
      </c>
      <c r="B2082" s="1">
        <v>46036</v>
      </c>
      <c r="C2082" t="s">
        <v>111</v>
      </c>
      <c r="D2082" t="s">
        <v>12</v>
      </c>
      <c r="E2082" t="s">
        <v>26</v>
      </c>
      <c r="F2082" t="s">
        <v>14</v>
      </c>
      <c r="G2082">
        <v>35.47</v>
      </c>
      <c r="H2082" t="s">
        <v>15</v>
      </c>
      <c r="I2082" t="s">
        <v>47</v>
      </c>
      <c r="J2082" t="s">
        <v>23</v>
      </c>
    </row>
    <row r="2083" spans="1:10" x14ac:dyDescent="0.35">
      <c r="A2083" t="s">
        <v>2266</v>
      </c>
      <c r="B2083" s="1">
        <v>46036</v>
      </c>
      <c r="C2083" t="s">
        <v>153</v>
      </c>
      <c r="D2083" t="s">
        <v>34</v>
      </c>
      <c r="E2083" t="s">
        <v>122</v>
      </c>
      <c r="F2083" t="s">
        <v>14</v>
      </c>
      <c r="G2083">
        <v>125.97</v>
      </c>
      <c r="H2083" t="s">
        <v>15</v>
      </c>
      <c r="I2083" t="s">
        <v>36</v>
      </c>
      <c r="J2083" t="s">
        <v>41</v>
      </c>
    </row>
    <row r="2084" spans="1:10" x14ac:dyDescent="0.35">
      <c r="A2084" t="s">
        <v>2267</v>
      </c>
      <c r="B2084" s="1">
        <v>46036</v>
      </c>
      <c r="C2084" t="s">
        <v>94</v>
      </c>
      <c r="D2084" t="s">
        <v>29</v>
      </c>
      <c r="E2084" t="s">
        <v>95</v>
      </c>
      <c r="F2084" t="s">
        <v>14</v>
      </c>
      <c r="G2084">
        <v>55.83</v>
      </c>
      <c r="H2084" t="s">
        <v>21</v>
      </c>
      <c r="I2084" t="s">
        <v>22</v>
      </c>
      <c r="J2084" t="s">
        <v>96</v>
      </c>
    </row>
    <row r="2085" spans="1:10" x14ac:dyDescent="0.35">
      <c r="A2085" t="s">
        <v>2268</v>
      </c>
      <c r="B2085" s="1">
        <v>46036</v>
      </c>
      <c r="C2085" t="s">
        <v>272</v>
      </c>
      <c r="D2085" t="s">
        <v>54</v>
      </c>
      <c r="E2085" t="s">
        <v>55</v>
      </c>
      <c r="F2085" t="s">
        <v>54</v>
      </c>
      <c r="G2085">
        <v>730.76</v>
      </c>
      <c r="H2085" t="s">
        <v>15</v>
      </c>
      <c r="I2085" t="s">
        <v>22</v>
      </c>
      <c r="J2085" t="s">
        <v>65</v>
      </c>
    </row>
    <row r="2086" spans="1:10" x14ac:dyDescent="0.35">
      <c r="A2086" t="s">
        <v>2269</v>
      </c>
      <c r="B2086" s="1">
        <v>46037</v>
      </c>
      <c r="C2086" t="s">
        <v>184</v>
      </c>
      <c r="D2086" t="s">
        <v>59</v>
      </c>
      <c r="E2086" t="s">
        <v>185</v>
      </c>
      <c r="F2086" t="s">
        <v>14</v>
      </c>
      <c r="G2086">
        <v>125.65</v>
      </c>
      <c r="H2086" t="s">
        <v>15</v>
      </c>
      <c r="I2086" t="s">
        <v>47</v>
      </c>
      <c r="J2086" t="s">
        <v>61</v>
      </c>
    </row>
    <row r="2087" spans="1:10" x14ac:dyDescent="0.35">
      <c r="A2087" t="s">
        <v>2270</v>
      </c>
      <c r="B2087" s="1">
        <v>46037</v>
      </c>
      <c r="C2087" t="s">
        <v>172</v>
      </c>
      <c r="D2087" t="s">
        <v>101</v>
      </c>
      <c r="E2087" t="s">
        <v>102</v>
      </c>
      <c r="F2087" t="s">
        <v>14</v>
      </c>
      <c r="G2087">
        <v>66.599999999999994</v>
      </c>
      <c r="H2087" t="s">
        <v>15</v>
      </c>
      <c r="I2087" t="s">
        <v>47</v>
      </c>
      <c r="J2087" t="s">
        <v>102</v>
      </c>
    </row>
    <row r="2088" spans="1:10" x14ac:dyDescent="0.35">
      <c r="A2088" t="s">
        <v>2271</v>
      </c>
      <c r="B2088" s="1">
        <v>46037</v>
      </c>
      <c r="C2088" t="s">
        <v>464</v>
      </c>
      <c r="D2088" t="s">
        <v>34</v>
      </c>
      <c r="E2088" t="s">
        <v>122</v>
      </c>
      <c r="F2088" t="s">
        <v>14</v>
      </c>
      <c r="G2088">
        <v>127.45</v>
      </c>
      <c r="H2088" t="s">
        <v>21</v>
      </c>
      <c r="I2088" t="s">
        <v>22</v>
      </c>
      <c r="J2088" t="s">
        <v>239</v>
      </c>
    </row>
    <row r="2089" spans="1:10" x14ac:dyDescent="0.35">
      <c r="A2089" t="s">
        <v>2272</v>
      </c>
      <c r="B2089" s="1">
        <v>46037</v>
      </c>
      <c r="C2089" t="s">
        <v>424</v>
      </c>
      <c r="D2089" t="s">
        <v>101</v>
      </c>
      <c r="E2089" t="s">
        <v>136</v>
      </c>
      <c r="F2089" t="s">
        <v>14</v>
      </c>
      <c r="G2089">
        <v>42.25</v>
      </c>
      <c r="H2089" t="s">
        <v>98</v>
      </c>
      <c r="I2089" t="s">
        <v>84</v>
      </c>
      <c r="J2089" t="s">
        <v>102</v>
      </c>
    </row>
    <row r="2090" spans="1:10" x14ac:dyDescent="0.35">
      <c r="A2090" t="s">
        <v>2273</v>
      </c>
      <c r="B2090" s="1">
        <v>46037</v>
      </c>
      <c r="C2090" t="s">
        <v>121</v>
      </c>
      <c r="D2090" t="s">
        <v>2116</v>
      </c>
      <c r="E2090" t="s">
        <v>122</v>
      </c>
      <c r="F2090" t="s">
        <v>14</v>
      </c>
      <c r="G2090">
        <v>113.39</v>
      </c>
      <c r="H2090" t="s">
        <v>15</v>
      </c>
      <c r="I2090" t="s">
        <v>47</v>
      </c>
      <c r="J2090" t="s">
        <v>123</v>
      </c>
    </row>
    <row r="2091" spans="1:10" x14ac:dyDescent="0.35">
      <c r="A2091" t="s">
        <v>2274</v>
      </c>
      <c r="B2091" s="1">
        <v>46037</v>
      </c>
      <c r="C2091" t="s">
        <v>63</v>
      </c>
      <c r="D2091" t="s">
        <v>54</v>
      </c>
      <c r="E2091" t="s">
        <v>64</v>
      </c>
      <c r="F2091" t="s">
        <v>54</v>
      </c>
      <c r="G2091">
        <v>387.36</v>
      </c>
      <c r="H2091" t="s">
        <v>15</v>
      </c>
      <c r="I2091" t="s">
        <v>16</v>
      </c>
      <c r="J2091" t="s">
        <v>65</v>
      </c>
    </row>
    <row r="2092" spans="1:10" x14ac:dyDescent="0.35">
      <c r="A2092" t="s">
        <v>2275</v>
      </c>
      <c r="B2092" s="1">
        <v>46037</v>
      </c>
      <c r="C2092" t="s">
        <v>272</v>
      </c>
      <c r="D2092" t="s">
        <v>54</v>
      </c>
      <c r="E2092" t="s">
        <v>55</v>
      </c>
      <c r="F2092" t="s">
        <v>54</v>
      </c>
      <c r="G2092">
        <v>833.43</v>
      </c>
      <c r="H2092" t="s">
        <v>21</v>
      </c>
      <c r="I2092" t="s">
        <v>16</v>
      </c>
      <c r="J2092" t="s">
        <v>65</v>
      </c>
    </row>
    <row r="2093" spans="1:10" x14ac:dyDescent="0.35">
      <c r="A2093" t="s">
        <v>2276</v>
      </c>
      <c r="B2093" s="1">
        <v>46037</v>
      </c>
      <c r="C2093" t="s">
        <v>267</v>
      </c>
      <c r="D2093" t="s">
        <v>29</v>
      </c>
      <c r="E2093" t="s">
        <v>30</v>
      </c>
      <c r="F2093" t="s">
        <v>14</v>
      </c>
      <c r="G2093">
        <v>107.33</v>
      </c>
      <c r="H2093" t="s">
        <v>15</v>
      </c>
      <c r="I2093" t="s">
        <v>36</v>
      </c>
      <c r="J2093" t="s">
        <v>96</v>
      </c>
    </row>
    <row r="2094" spans="1:10" x14ac:dyDescent="0.35">
      <c r="A2094" t="s">
        <v>2277</v>
      </c>
      <c r="B2094" s="1">
        <v>46038</v>
      </c>
      <c r="C2094" t="s">
        <v>184</v>
      </c>
      <c r="D2094" t="s">
        <v>59</v>
      </c>
      <c r="E2094" t="s">
        <v>185</v>
      </c>
      <c r="F2094" t="s">
        <v>14</v>
      </c>
      <c r="G2094">
        <v>224.11</v>
      </c>
      <c r="H2094" t="s">
        <v>15</v>
      </c>
      <c r="I2094" t="s">
        <v>36</v>
      </c>
      <c r="J2094" t="s">
        <v>61</v>
      </c>
    </row>
    <row r="2095" spans="1:10" x14ac:dyDescent="0.35">
      <c r="A2095" t="s">
        <v>2278</v>
      </c>
      <c r="B2095" s="1">
        <v>46038</v>
      </c>
      <c r="C2095" t="s">
        <v>272</v>
      </c>
      <c r="D2095" t="s">
        <v>54</v>
      </c>
      <c r="E2095" t="s">
        <v>55</v>
      </c>
      <c r="F2095" t="s">
        <v>54</v>
      </c>
      <c r="G2095">
        <v>631.87</v>
      </c>
      <c r="H2095" t="s">
        <v>21</v>
      </c>
      <c r="I2095" t="s">
        <v>22</v>
      </c>
      <c r="J2095" t="s">
        <v>65</v>
      </c>
    </row>
    <row r="2096" spans="1:10" x14ac:dyDescent="0.35">
      <c r="A2096" t="s">
        <v>2279</v>
      </c>
      <c r="B2096" s="1">
        <v>46038</v>
      </c>
      <c r="C2096" t="s">
        <v>113</v>
      </c>
      <c r="D2096" t="s">
        <v>34</v>
      </c>
      <c r="E2096" t="s">
        <v>40</v>
      </c>
      <c r="F2096" t="s">
        <v>14</v>
      </c>
      <c r="G2096">
        <v>320.24</v>
      </c>
      <c r="H2096" t="s">
        <v>21</v>
      </c>
      <c r="I2096" t="s">
        <v>47</v>
      </c>
      <c r="J2096" t="s">
        <v>37</v>
      </c>
    </row>
    <row r="2097" spans="1:10" x14ac:dyDescent="0.35">
      <c r="A2097" t="s">
        <v>2280</v>
      </c>
      <c r="B2097" s="1">
        <v>46038</v>
      </c>
      <c r="C2097" t="s">
        <v>50</v>
      </c>
      <c r="D2097" t="s">
        <v>12</v>
      </c>
      <c r="E2097" t="s">
        <v>51</v>
      </c>
      <c r="F2097" t="s">
        <v>14</v>
      </c>
      <c r="G2097">
        <v>26.45</v>
      </c>
      <c r="H2097" t="s">
        <v>15</v>
      </c>
      <c r="I2097" t="s">
        <v>22</v>
      </c>
      <c r="J2097" t="s">
        <v>44</v>
      </c>
    </row>
    <row r="2098" spans="1:10" x14ac:dyDescent="0.35">
      <c r="A2098" t="s">
        <v>2281</v>
      </c>
      <c r="B2098" s="1">
        <v>46038</v>
      </c>
      <c r="C2098" t="s">
        <v>138</v>
      </c>
      <c r="D2098" t="s">
        <v>12</v>
      </c>
      <c r="E2098" t="s">
        <v>26</v>
      </c>
      <c r="F2098" t="s">
        <v>14</v>
      </c>
      <c r="G2098">
        <v>122.79</v>
      </c>
      <c r="H2098" t="s">
        <v>21</v>
      </c>
      <c r="I2098" t="s">
        <v>47</v>
      </c>
      <c r="J2098" t="s">
        <v>77</v>
      </c>
    </row>
    <row r="2099" spans="1:10" x14ac:dyDescent="0.35">
      <c r="A2099" t="s">
        <v>2282</v>
      </c>
      <c r="B2099" s="1">
        <v>46038</v>
      </c>
      <c r="C2099" t="s">
        <v>415</v>
      </c>
      <c r="D2099" t="s">
        <v>12</v>
      </c>
      <c r="E2099" t="s">
        <v>51</v>
      </c>
      <c r="F2099" t="s">
        <v>14</v>
      </c>
      <c r="G2099">
        <v>53.07</v>
      </c>
      <c r="H2099" t="s">
        <v>15</v>
      </c>
      <c r="I2099" t="s">
        <v>47</v>
      </c>
      <c r="J2099" t="s">
        <v>77</v>
      </c>
    </row>
    <row r="2100" spans="1:10" x14ac:dyDescent="0.35">
      <c r="A2100" t="s">
        <v>2283</v>
      </c>
      <c r="B2100" s="1">
        <v>46038</v>
      </c>
      <c r="C2100" t="s">
        <v>227</v>
      </c>
      <c r="D2100" t="s">
        <v>12</v>
      </c>
      <c r="E2100" t="s">
        <v>51</v>
      </c>
      <c r="F2100" t="s">
        <v>14</v>
      </c>
      <c r="G2100">
        <v>50.9</v>
      </c>
      <c r="H2100" t="s">
        <v>15</v>
      </c>
      <c r="I2100" t="s">
        <v>22</v>
      </c>
      <c r="J2100" t="s">
        <v>17</v>
      </c>
    </row>
    <row r="2101" spans="1:10" x14ac:dyDescent="0.35">
      <c r="A2101" t="s">
        <v>2284</v>
      </c>
      <c r="B2101" s="1">
        <v>46038</v>
      </c>
      <c r="C2101" t="s">
        <v>253</v>
      </c>
      <c r="D2101" t="s">
        <v>29</v>
      </c>
      <c r="E2101" t="s">
        <v>30</v>
      </c>
      <c r="F2101" t="s">
        <v>14</v>
      </c>
      <c r="G2101">
        <v>36.69</v>
      </c>
      <c r="H2101" t="s">
        <v>98</v>
      </c>
      <c r="I2101" t="s">
        <v>47</v>
      </c>
      <c r="J2101" t="s">
        <v>158</v>
      </c>
    </row>
    <row r="2102" spans="1:10" x14ac:dyDescent="0.35">
      <c r="A2102" t="s">
        <v>2285</v>
      </c>
      <c r="B2102" s="1">
        <v>46039</v>
      </c>
      <c r="C2102" t="s">
        <v>19</v>
      </c>
      <c r="D2102" t="s">
        <v>12</v>
      </c>
      <c r="E2102" t="s">
        <v>13</v>
      </c>
      <c r="F2102" t="s">
        <v>14</v>
      </c>
      <c r="G2102">
        <v>37.090000000000003</v>
      </c>
      <c r="H2102" t="s">
        <v>15</v>
      </c>
      <c r="I2102" t="s">
        <v>36</v>
      </c>
      <c r="J2102" t="s">
        <v>23</v>
      </c>
    </row>
    <row r="2103" spans="1:10" x14ac:dyDescent="0.35">
      <c r="A2103" t="s">
        <v>2286</v>
      </c>
      <c r="B2103" s="1">
        <v>46039</v>
      </c>
      <c r="C2103" t="s">
        <v>63</v>
      </c>
      <c r="D2103" t="s">
        <v>54</v>
      </c>
      <c r="E2103" t="s">
        <v>64</v>
      </c>
      <c r="F2103" t="s">
        <v>54</v>
      </c>
      <c r="G2103">
        <v>306.25</v>
      </c>
      <c r="H2103" t="s">
        <v>15</v>
      </c>
      <c r="I2103" t="s">
        <v>16</v>
      </c>
      <c r="J2103" t="s">
        <v>65</v>
      </c>
    </row>
    <row r="2104" spans="1:10" x14ac:dyDescent="0.35">
      <c r="A2104" t="s">
        <v>2287</v>
      </c>
      <c r="B2104" s="1">
        <v>46039</v>
      </c>
      <c r="C2104" t="s">
        <v>88</v>
      </c>
      <c r="D2104" t="s">
        <v>54</v>
      </c>
      <c r="E2104" t="s">
        <v>74</v>
      </c>
      <c r="F2104" t="s">
        <v>54</v>
      </c>
      <c r="G2104">
        <v>2653.58</v>
      </c>
      <c r="H2104" t="s">
        <v>21</v>
      </c>
      <c r="I2104" t="s">
        <v>47</v>
      </c>
      <c r="J2104" t="s">
        <v>89</v>
      </c>
    </row>
    <row r="2105" spans="1:10" x14ac:dyDescent="0.35">
      <c r="A2105" t="s">
        <v>2288</v>
      </c>
      <c r="B2105" s="1">
        <v>46039</v>
      </c>
      <c r="C2105" t="s">
        <v>43</v>
      </c>
      <c r="D2105" t="s">
        <v>12</v>
      </c>
      <c r="E2105" t="s">
        <v>26</v>
      </c>
      <c r="F2105" t="s">
        <v>14</v>
      </c>
      <c r="G2105">
        <v>44.78</v>
      </c>
      <c r="H2105" t="s">
        <v>21</v>
      </c>
      <c r="I2105" t="s">
        <v>47</v>
      </c>
      <c r="J2105" t="s">
        <v>44</v>
      </c>
    </row>
    <row r="2106" spans="1:10" x14ac:dyDescent="0.35">
      <c r="A2106" t="s">
        <v>2289</v>
      </c>
      <c r="B2106" s="1">
        <v>46039</v>
      </c>
      <c r="C2106" t="s">
        <v>53</v>
      </c>
      <c r="D2106" t="s">
        <v>54</v>
      </c>
      <c r="E2106" t="s">
        <v>55</v>
      </c>
      <c r="F2106" t="s">
        <v>54</v>
      </c>
      <c r="G2106">
        <v>653.86</v>
      </c>
      <c r="H2106" t="s">
        <v>15</v>
      </c>
      <c r="I2106" t="s">
        <v>22</v>
      </c>
      <c r="J2106" t="s">
        <v>56</v>
      </c>
    </row>
    <row r="2107" spans="1:10" x14ac:dyDescent="0.35">
      <c r="A2107" t="s">
        <v>2290</v>
      </c>
      <c r="B2107" s="1">
        <v>46039</v>
      </c>
      <c r="C2107" t="s">
        <v>155</v>
      </c>
      <c r="D2107" t="s">
        <v>12</v>
      </c>
      <c r="E2107" t="s">
        <v>51</v>
      </c>
      <c r="F2107" t="s">
        <v>14</v>
      </c>
      <c r="G2107">
        <v>23.92</v>
      </c>
      <c r="H2107" t="s">
        <v>98</v>
      </c>
      <c r="I2107" t="s">
        <v>22</v>
      </c>
      <c r="J2107" t="s">
        <v>48</v>
      </c>
    </row>
    <row r="2108" spans="1:10" x14ac:dyDescent="0.35">
      <c r="A2108" t="s">
        <v>2291</v>
      </c>
      <c r="B2108" s="1">
        <v>46039</v>
      </c>
      <c r="C2108" t="s">
        <v>168</v>
      </c>
      <c r="D2108" t="s">
        <v>59</v>
      </c>
      <c r="E2108" t="s">
        <v>60</v>
      </c>
      <c r="F2108" t="s">
        <v>14</v>
      </c>
      <c r="G2108">
        <v>128.22999999999999</v>
      </c>
      <c r="H2108" t="s">
        <v>15</v>
      </c>
      <c r="I2108" t="s">
        <v>36</v>
      </c>
      <c r="J2108" t="s">
        <v>170</v>
      </c>
    </row>
    <row r="2109" spans="1:10" x14ac:dyDescent="0.35">
      <c r="A2109" t="s">
        <v>2292</v>
      </c>
      <c r="B2109" s="1">
        <v>46039</v>
      </c>
      <c r="C2109" t="s">
        <v>350</v>
      </c>
      <c r="D2109" t="s">
        <v>29</v>
      </c>
      <c r="E2109" t="s">
        <v>151</v>
      </c>
      <c r="F2109" t="s">
        <v>14</v>
      </c>
      <c r="G2109">
        <v>37.08</v>
      </c>
      <c r="H2109" t="s">
        <v>15</v>
      </c>
      <c r="I2109" t="s">
        <v>47</v>
      </c>
      <c r="J2109" t="s">
        <v>158</v>
      </c>
    </row>
    <row r="2110" spans="1:10" x14ac:dyDescent="0.35">
      <c r="A2110" t="s">
        <v>2293</v>
      </c>
      <c r="B2110" s="1">
        <v>46040</v>
      </c>
      <c r="C2110" t="s">
        <v>426</v>
      </c>
      <c r="D2110" t="s">
        <v>69</v>
      </c>
      <c r="E2110" t="s">
        <v>70</v>
      </c>
      <c r="F2110" t="s">
        <v>14</v>
      </c>
      <c r="G2110">
        <v>232.43</v>
      </c>
      <c r="H2110" t="s">
        <v>21</v>
      </c>
      <c r="I2110" t="s">
        <v>22</v>
      </c>
      <c r="J2110" t="s">
        <v>396</v>
      </c>
    </row>
    <row r="2111" spans="1:10" x14ac:dyDescent="0.35">
      <c r="A2111" t="s">
        <v>2294</v>
      </c>
      <c r="B2111" s="1">
        <v>46040</v>
      </c>
      <c r="C2111" t="s">
        <v>88</v>
      </c>
      <c r="D2111" t="s">
        <v>54</v>
      </c>
      <c r="E2111" t="s">
        <v>74</v>
      </c>
      <c r="F2111" t="s">
        <v>54</v>
      </c>
      <c r="G2111">
        <v>1962.65</v>
      </c>
      <c r="H2111" t="s">
        <v>15</v>
      </c>
      <c r="I2111" t="s">
        <v>84</v>
      </c>
      <c r="J2111" t="s">
        <v>89</v>
      </c>
    </row>
    <row r="2112" spans="1:10" x14ac:dyDescent="0.35">
      <c r="A2112" t="s">
        <v>2295</v>
      </c>
      <c r="B2112" s="1">
        <v>46040</v>
      </c>
      <c r="C2112" t="s">
        <v>155</v>
      </c>
      <c r="D2112" t="s">
        <v>12</v>
      </c>
      <c r="E2112" t="s">
        <v>51</v>
      </c>
      <c r="F2112" t="s">
        <v>14</v>
      </c>
      <c r="G2112">
        <v>11.91</v>
      </c>
      <c r="H2112" t="s">
        <v>15</v>
      </c>
      <c r="I2112" t="s">
        <v>84</v>
      </c>
      <c r="J2112" t="s">
        <v>48</v>
      </c>
    </row>
    <row r="2113" spans="1:10" x14ac:dyDescent="0.35">
      <c r="A2113" t="s">
        <v>2296</v>
      </c>
      <c r="B2113" s="1">
        <v>46041</v>
      </c>
      <c r="C2113" t="s">
        <v>28</v>
      </c>
      <c r="D2113" t="s">
        <v>29</v>
      </c>
      <c r="E2113" t="s">
        <v>30</v>
      </c>
      <c r="F2113" t="s">
        <v>14</v>
      </c>
      <c r="G2113">
        <v>65.16</v>
      </c>
      <c r="H2113" t="s">
        <v>15</v>
      </c>
      <c r="I2113" t="s">
        <v>36</v>
      </c>
      <c r="J2113" t="s">
        <v>31</v>
      </c>
    </row>
    <row r="2114" spans="1:10" x14ac:dyDescent="0.35">
      <c r="A2114" t="s">
        <v>2297</v>
      </c>
      <c r="B2114" s="1">
        <v>46041</v>
      </c>
      <c r="C2114" t="s">
        <v>296</v>
      </c>
      <c r="D2114" t="s">
        <v>101</v>
      </c>
      <c r="E2114" t="s">
        <v>136</v>
      </c>
      <c r="F2114" t="s">
        <v>14</v>
      </c>
      <c r="G2114">
        <v>20.36</v>
      </c>
      <c r="H2114" t="s">
        <v>15</v>
      </c>
      <c r="I2114" t="s">
        <v>22</v>
      </c>
      <c r="J2114" t="s">
        <v>136</v>
      </c>
    </row>
    <row r="2115" spans="1:10" x14ac:dyDescent="0.35">
      <c r="A2115" t="s">
        <v>2298</v>
      </c>
      <c r="B2115" s="1">
        <v>46041</v>
      </c>
      <c r="C2115" t="s">
        <v>175</v>
      </c>
      <c r="D2115" t="s">
        <v>80</v>
      </c>
      <c r="E2115" t="s">
        <v>92</v>
      </c>
      <c r="F2115" t="s">
        <v>14</v>
      </c>
      <c r="G2115">
        <v>37.979999999999997</v>
      </c>
      <c r="H2115" t="s">
        <v>15</v>
      </c>
      <c r="I2115" t="s">
        <v>47</v>
      </c>
      <c r="J2115" t="s">
        <v>141</v>
      </c>
    </row>
    <row r="2116" spans="1:10" x14ac:dyDescent="0.35">
      <c r="A2116" t="s">
        <v>2299</v>
      </c>
      <c r="B2116" s="1">
        <v>46041</v>
      </c>
      <c r="C2116" t="s">
        <v>269</v>
      </c>
      <c r="D2116" t="s">
        <v>34</v>
      </c>
      <c r="E2116" t="s">
        <v>35</v>
      </c>
      <c r="F2116" t="s">
        <v>14</v>
      </c>
      <c r="G2116">
        <v>85.47</v>
      </c>
      <c r="H2116" t="s">
        <v>15</v>
      </c>
      <c r="I2116" t="s">
        <v>47</v>
      </c>
      <c r="J2116" t="s">
        <v>123</v>
      </c>
    </row>
    <row r="2117" spans="1:10" x14ac:dyDescent="0.35">
      <c r="A2117" t="s">
        <v>2300</v>
      </c>
      <c r="B2117" s="1">
        <v>46042</v>
      </c>
      <c r="C2117" t="s">
        <v>184</v>
      </c>
      <c r="D2117" t="s">
        <v>59</v>
      </c>
      <c r="E2117" t="s">
        <v>185</v>
      </c>
      <c r="F2117" t="s">
        <v>14</v>
      </c>
      <c r="G2117">
        <v>485.8</v>
      </c>
      <c r="H2117" t="s">
        <v>15</v>
      </c>
      <c r="I2117" t="s">
        <v>22</v>
      </c>
      <c r="J2117" t="s">
        <v>61</v>
      </c>
    </row>
    <row r="2118" spans="1:10" x14ac:dyDescent="0.35">
      <c r="A2118" t="s">
        <v>2301</v>
      </c>
      <c r="B2118" s="1">
        <v>46042</v>
      </c>
      <c r="C2118" t="s">
        <v>229</v>
      </c>
      <c r="D2118" t="s">
        <v>54</v>
      </c>
      <c r="E2118" t="s">
        <v>64</v>
      </c>
      <c r="F2118" t="s">
        <v>54</v>
      </c>
      <c r="G2118">
        <v>325.20999999999998</v>
      </c>
      <c r="H2118" t="s">
        <v>21</v>
      </c>
      <c r="I2118" t="s">
        <v>16</v>
      </c>
      <c r="J2118" t="s">
        <v>56</v>
      </c>
    </row>
    <row r="2119" spans="1:10" x14ac:dyDescent="0.35">
      <c r="A2119" t="s">
        <v>2302</v>
      </c>
      <c r="B2119" s="1">
        <v>46042</v>
      </c>
      <c r="C2119" t="s">
        <v>163</v>
      </c>
      <c r="D2119" t="s">
        <v>80</v>
      </c>
      <c r="E2119" t="s">
        <v>92</v>
      </c>
      <c r="F2119" t="s">
        <v>14</v>
      </c>
      <c r="G2119">
        <v>15.93</v>
      </c>
      <c r="H2119" t="s">
        <v>15</v>
      </c>
      <c r="I2119" t="s">
        <v>47</v>
      </c>
      <c r="J2119" t="s">
        <v>118</v>
      </c>
    </row>
    <row r="2120" spans="1:10" x14ac:dyDescent="0.35">
      <c r="A2120" t="s">
        <v>2303</v>
      </c>
      <c r="B2120" s="1">
        <v>46042</v>
      </c>
      <c r="C2120" t="s">
        <v>824</v>
      </c>
      <c r="D2120" t="s">
        <v>69</v>
      </c>
      <c r="E2120" t="s">
        <v>233</v>
      </c>
      <c r="F2120" t="s">
        <v>14</v>
      </c>
      <c r="G2120">
        <v>125.83</v>
      </c>
      <c r="H2120" t="s">
        <v>15</v>
      </c>
      <c r="I2120" t="s">
        <v>22</v>
      </c>
      <c r="J2120" t="s">
        <v>133</v>
      </c>
    </row>
    <row r="2121" spans="1:10" x14ac:dyDescent="0.35">
      <c r="A2121" t="s">
        <v>2304</v>
      </c>
      <c r="B2121" s="1">
        <v>46042</v>
      </c>
      <c r="C2121" t="s">
        <v>168</v>
      </c>
      <c r="D2121" t="s">
        <v>59</v>
      </c>
      <c r="E2121" t="s">
        <v>60</v>
      </c>
      <c r="F2121" t="s">
        <v>14</v>
      </c>
      <c r="G2121">
        <v>393.56</v>
      </c>
      <c r="H2121" t="s">
        <v>15</v>
      </c>
      <c r="I2121" t="s">
        <v>36</v>
      </c>
      <c r="J2121" t="s">
        <v>170</v>
      </c>
    </row>
    <row r="2122" spans="1:10" x14ac:dyDescent="0.35">
      <c r="A2122" t="s">
        <v>2305</v>
      </c>
      <c r="B2122" s="1">
        <v>46043</v>
      </c>
      <c r="C2122" t="s">
        <v>73</v>
      </c>
      <c r="D2122" t="s">
        <v>54</v>
      </c>
      <c r="E2122" t="s">
        <v>74</v>
      </c>
      <c r="F2122" t="s">
        <v>54</v>
      </c>
      <c r="G2122">
        <v>2470.4699999999998</v>
      </c>
      <c r="H2122" t="s">
        <v>21</v>
      </c>
      <c r="I2122" t="s">
        <v>47</v>
      </c>
      <c r="J2122" t="s">
        <v>65</v>
      </c>
    </row>
    <row r="2123" spans="1:10" x14ac:dyDescent="0.35">
      <c r="A2123" t="s">
        <v>2306</v>
      </c>
      <c r="B2123" s="1">
        <v>46043</v>
      </c>
      <c r="C2123" t="s">
        <v>33</v>
      </c>
      <c r="D2123" t="s">
        <v>34</v>
      </c>
      <c r="E2123" t="s">
        <v>35</v>
      </c>
      <c r="F2123" t="s">
        <v>14</v>
      </c>
      <c r="G2123">
        <v>93.88</v>
      </c>
      <c r="H2123" t="s">
        <v>21</v>
      </c>
      <c r="I2123" t="s">
        <v>36</v>
      </c>
      <c r="J2123" t="s">
        <v>37</v>
      </c>
    </row>
    <row r="2124" spans="1:10" x14ac:dyDescent="0.35">
      <c r="A2124" t="s">
        <v>2307</v>
      </c>
      <c r="B2124" s="1">
        <v>46044</v>
      </c>
      <c r="C2124" t="s">
        <v>63</v>
      </c>
      <c r="D2124" t="s">
        <v>54</v>
      </c>
      <c r="E2124" t="s">
        <v>64</v>
      </c>
      <c r="F2124" t="s">
        <v>54</v>
      </c>
      <c r="G2124">
        <v>416.75</v>
      </c>
      <c r="H2124" t="s">
        <v>15</v>
      </c>
      <c r="I2124" t="s">
        <v>47</v>
      </c>
      <c r="J2124" t="s">
        <v>65</v>
      </c>
    </row>
    <row r="2125" spans="1:10" x14ac:dyDescent="0.35">
      <c r="A2125" t="s">
        <v>2308</v>
      </c>
      <c r="B2125" s="1">
        <v>46044</v>
      </c>
      <c r="C2125" t="s">
        <v>198</v>
      </c>
      <c r="D2125" t="s">
        <v>59</v>
      </c>
      <c r="E2125" t="s">
        <v>199</v>
      </c>
      <c r="F2125" t="s">
        <v>14</v>
      </c>
      <c r="G2125">
        <v>46.37</v>
      </c>
      <c r="H2125" t="s">
        <v>15</v>
      </c>
      <c r="I2125" t="s">
        <v>47</v>
      </c>
      <c r="J2125" t="s">
        <v>61</v>
      </c>
    </row>
    <row r="2126" spans="1:10" x14ac:dyDescent="0.35">
      <c r="A2126" t="s">
        <v>2309</v>
      </c>
      <c r="B2126" s="1">
        <v>46044</v>
      </c>
      <c r="C2126" t="s">
        <v>63</v>
      </c>
      <c r="D2126" t="s">
        <v>54</v>
      </c>
      <c r="E2126" t="s">
        <v>64</v>
      </c>
      <c r="F2126" t="s">
        <v>54</v>
      </c>
      <c r="G2126">
        <v>372.97</v>
      </c>
      <c r="H2126" t="s">
        <v>15</v>
      </c>
      <c r="I2126" t="s">
        <v>22</v>
      </c>
      <c r="J2126" t="s">
        <v>65</v>
      </c>
    </row>
    <row r="2127" spans="1:10" x14ac:dyDescent="0.35">
      <c r="A2127" t="s">
        <v>2310</v>
      </c>
      <c r="B2127" s="1">
        <v>46044</v>
      </c>
      <c r="C2127" t="s">
        <v>157</v>
      </c>
      <c r="D2127" t="s">
        <v>29</v>
      </c>
      <c r="E2127" t="s">
        <v>95</v>
      </c>
      <c r="F2127" t="s">
        <v>14</v>
      </c>
      <c r="G2127">
        <v>34.31</v>
      </c>
      <c r="H2127" t="s">
        <v>21</v>
      </c>
      <c r="I2127" t="s">
        <v>22</v>
      </c>
      <c r="J2127" t="s">
        <v>158</v>
      </c>
    </row>
    <row r="2128" spans="1:10" x14ac:dyDescent="0.35">
      <c r="A2128" t="s">
        <v>2311</v>
      </c>
      <c r="B2128" s="1">
        <v>46044</v>
      </c>
      <c r="C2128" t="s">
        <v>415</v>
      </c>
      <c r="D2128" t="s">
        <v>12</v>
      </c>
      <c r="E2128" t="s">
        <v>51</v>
      </c>
      <c r="F2128" t="s">
        <v>14</v>
      </c>
      <c r="G2128">
        <v>33.99</v>
      </c>
      <c r="H2128" t="s">
        <v>21</v>
      </c>
      <c r="I2128" t="s">
        <v>22</v>
      </c>
      <c r="J2128" t="s">
        <v>77</v>
      </c>
    </row>
    <row r="2129" spans="1:10" x14ac:dyDescent="0.35">
      <c r="A2129" t="s">
        <v>2312</v>
      </c>
      <c r="B2129" s="1">
        <v>46045</v>
      </c>
      <c r="C2129" t="s">
        <v>175</v>
      </c>
      <c r="D2129" t="s">
        <v>80</v>
      </c>
      <c r="E2129" t="s">
        <v>92</v>
      </c>
      <c r="F2129" t="s">
        <v>14</v>
      </c>
      <c r="G2129">
        <v>39.380000000000003</v>
      </c>
      <c r="H2129" t="s">
        <v>15</v>
      </c>
      <c r="I2129" t="s">
        <v>84</v>
      </c>
      <c r="J2129" t="s">
        <v>141</v>
      </c>
    </row>
    <row r="2130" spans="1:10" x14ac:dyDescent="0.35">
      <c r="A2130" t="s">
        <v>2313</v>
      </c>
      <c r="B2130" s="1">
        <v>46045</v>
      </c>
      <c r="C2130" t="s">
        <v>175</v>
      </c>
      <c r="D2130" t="s">
        <v>80</v>
      </c>
      <c r="E2130" t="s">
        <v>92</v>
      </c>
      <c r="F2130" t="s">
        <v>14</v>
      </c>
      <c r="G2130">
        <v>60.06</v>
      </c>
      <c r="H2130" t="s">
        <v>15</v>
      </c>
      <c r="I2130" t="s">
        <v>47</v>
      </c>
      <c r="J2130" t="s">
        <v>141</v>
      </c>
    </row>
    <row r="2131" spans="1:10" x14ac:dyDescent="0.35">
      <c r="A2131" t="s">
        <v>2314</v>
      </c>
      <c r="B2131" s="1">
        <v>46045</v>
      </c>
      <c r="C2131" t="s">
        <v>198</v>
      </c>
      <c r="D2131" t="s">
        <v>59</v>
      </c>
      <c r="E2131" t="s">
        <v>199</v>
      </c>
      <c r="F2131" t="s">
        <v>14</v>
      </c>
      <c r="G2131">
        <v>139.25</v>
      </c>
      <c r="H2131" t="s">
        <v>21</v>
      </c>
      <c r="I2131" t="s">
        <v>36</v>
      </c>
      <c r="J2131" t="s">
        <v>61</v>
      </c>
    </row>
    <row r="2132" spans="1:10" x14ac:dyDescent="0.35">
      <c r="A2132" t="s">
        <v>2315</v>
      </c>
      <c r="B2132" s="1">
        <v>46045</v>
      </c>
      <c r="C2132" t="s">
        <v>411</v>
      </c>
      <c r="D2132" t="s">
        <v>29</v>
      </c>
      <c r="E2132" t="s">
        <v>151</v>
      </c>
      <c r="F2132" t="s">
        <v>14</v>
      </c>
      <c r="G2132">
        <v>15.43</v>
      </c>
      <c r="H2132" t="s">
        <v>98</v>
      </c>
      <c r="I2132" t="s">
        <v>36</v>
      </c>
      <c r="J2132" t="s">
        <v>151</v>
      </c>
    </row>
    <row r="2133" spans="1:10" x14ac:dyDescent="0.35">
      <c r="A2133" t="s">
        <v>2316</v>
      </c>
      <c r="B2133" s="1">
        <v>46046</v>
      </c>
      <c r="C2133" t="s">
        <v>229</v>
      </c>
      <c r="D2133" t="s">
        <v>54</v>
      </c>
      <c r="E2133" t="s">
        <v>64</v>
      </c>
      <c r="F2133" t="s">
        <v>54</v>
      </c>
      <c r="G2133">
        <v>367.51</v>
      </c>
      <c r="H2133" t="s">
        <v>15</v>
      </c>
      <c r="I2133" t="s">
        <v>47</v>
      </c>
      <c r="J2133" t="s">
        <v>56</v>
      </c>
    </row>
    <row r="2134" spans="1:10" x14ac:dyDescent="0.35">
      <c r="A2134" t="s">
        <v>2317</v>
      </c>
      <c r="B2134" s="1">
        <v>46046</v>
      </c>
      <c r="C2134" t="s">
        <v>251</v>
      </c>
      <c r="D2134" t="s">
        <v>29</v>
      </c>
      <c r="E2134" t="s">
        <v>151</v>
      </c>
      <c r="F2134" t="s">
        <v>14</v>
      </c>
      <c r="G2134">
        <v>30.41</v>
      </c>
      <c r="H2134" t="s">
        <v>15</v>
      </c>
      <c r="I2134" t="s">
        <v>16</v>
      </c>
      <c r="J2134" t="s">
        <v>31</v>
      </c>
    </row>
    <row r="2135" spans="1:10" x14ac:dyDescent="0.35">
      <c r="A2135" t="s">
        <v>2318</v>
      </c>
      <c r="B2135" s="1">
        <v>46046</v>
      </c>
      <c r="C2135" t="s">
        <v>253</v>
      </c>
      <c r="D2135" t="s">
        <v>29</v>
      </c>
      <c r="E2135" t="s">
        <v>30</v>
      </c>
      <c r="F2135" t="s">
        <v>14</v>
      </c>
      <c r="G2135">
        <v>7.54</v>
      </c>
      <c r="H2135" t="s">
        <v>21</v>
      </c>
      <c r="I2135" t="s">
        <v>47</v>
      </c>
      <c r="J2135" t="s">
        <v>158</v>
      </c>
    </row>
    <row r="2136" spans="1:10" x14ac:dyDescent="0.35">
      <c r="A2136" t="s">
        <v>2319</v>
      </c>
      <c r="B2136" s="1">
        <v>46047</v>
      </c>
      <c r="C2136" t="s">
        <v>140</v>
      </c>
      <c r="D2136" t="s">
        <v>80</v>
      </c>
      <c r="E2136" t="s">
        <v>81</v>
      </c>
      <c r="F2136" t="s">
        <v>14</v>
      </c>
      <c r="G2136">
        <v>65.72</v>
      </c>
      <c r="H2136" t="s">
        <v>15</v>
      </c>
      <c r="I2136" t="s">
        <v>36</v>
      </c>
      <c r="J2136" t="s">
        <v>141</v>
      </c>
    </row>
    <row r="2137" spans="1:10" x14ac:dyDescent="0.35">
      <c r="A2137" t="s">
        <v>2320</v>
      </c>
      <c r="B2137" s="1">
        <v>46047</v>
      </c>
      <c r="C2137" t="s">
        <v>194</v>
      </c>
      <c r="D2137" t="s">
        <v>101</v>
      </c>
      <c r="E2137" t="s">
        <v>136</v>
      </c>
      <c r="F2137" t="s">
        <v>14</v>
      </c>
      <c r="G2137">
        <v>46.96</v>
      </c>
      <c r="H2137" t="s">
        <v>21</v>
      </c>
      <c r="I2137" t="s">
        <v>47</v>
      </c>
      <c r="J2137" t="s">
        <v>103</v>
      </c>
    </row>
    <row r="2138" spans="1:10" x14ac:dyDescent="0.35">
      <c r="A2138" t="s">
        <v>2321</v>
      </c>
      <c r="B2138" s="1">
        <v>46047</v>
      </c>
      <c r="C2138" t="s">
        <v>79</v>
      </c>
      <c r="D2138" t="s">
        <v>80</v>
      </c>
      <c r="E2138" t="s">
        <v>81</v>
      </c>
      <c r="F2138" t="s">
        <v>14</v>
      </c>
      <c r="G2138">
        <v>157.5</v>
      </c>
      <c r="H2138" t="s">
        <v>15</v>
      </c>
      <c r="I2138" t="s">
        <v>47</v>
      </c>
      <c r="J2138" t="s">
        <v>82</v>
      </c>
    </row>
    <row r="2139" spans="1:10" x14ac:dyDescent="0.35">
      <c r="A2139" t="s">
        <v>2322</v>
      </c>
      <c r="B2139" s="1">
        <v>46047</v>
      </c>
      <c r="C2139" t="s">
        <v>262</v>
      </c>
      <c r="D2139" t="s">
        <v>101</v>
      </c>
      <c r="E2139" t="s">
        <v>244</v>
      </c>
      <c r="F2139" t="s">
        <v>14</v>
      </c>
      <c r="G2139">
        <v>30.35</v>
      </c>
      <c r="H2139" t="s">
        <v>21</v>
      </c>
      <c r="I2139" t="s">
        <v>22</v>
      </c>
      <c r="J2139" t="s">
        <v>136</v>
      </c>
    </row>
    <row r="2140" spans="1:10" x14ac:dyDescent="0.35">
      <c r="A2140" t="s">
        <v>2323</v>
      </c>
      <c r="B2140" s="1">
        <v>46047</v>
      </c>
      <c r="C2140" t="s">
        <v>415</v>
      </c>
      <c r="D2140" t="s">
        <v>12</v>
      </c>
      <c r="E2140" t="s">
        <v>51</v>
      </c>
      <c r="F2140" t="s">
        <v>14</v>
      </c>
      <c r="G2140">
        <v>52.34</v>
      </c>
      <c r="H2140" t="s">
        <v>15</v>
      </c>
      <c r="I2140" t="s">
        <v>22</v>
      </c>
      <c r="J2140" t="s">
        <v>77</v>
      </c>
    </row>
    <row r="2141" spans="1:10" x14ac:dyDescent="0.35">
      <c r="A2141" t="s">
        <v>2324</v>
      </c>
      <c r="B2141" s="1">
        <v>46047</v>
      </c>
      <c r="C2141" t="s">
        <v>229</v>
      </c>
      <c r="D2141" t="s">
        <v>54</v>
      </c>
      <c r="E2141" t="s">
        <v>64</v>
      </c>
      <c r="F2141" t="s">
        <v>54</v>
      </c>
      <c r="G2141">
        <v>321.66000000000003</v>
      </c>
      <c r="H2141" t="s">
        <v>15</v>
      </c>
      <c r="I2141" t="s">
        <v>84</v>
      </c>
      <c r="J2141" t="s">
        <v>56</v>
      </c>
    </row>
    <row r="2142" spans="1:10" x14ac:dyDescent="0.35">
      <c r="A2142" t="s">
        <v>2325</v>
      </c>
      <c r="B2142" s="1">
        <v>46048</v>
      </c>
      <c r="C2142" t="s">
        <v>53</v>
      </c>
      <c r="D2142" t="s">
        <v>54</v>
      </c>
      <c r="E2142" t="s">
        <v>55</v>
      </c>
      <c r="F2142" t="s">
        <v>54</v>
      </c>
      <c r="G2142">
        <v>634.17999999999995</v>
      </c>
      <c r="H2142" t="s">
        <v>21</v>
      </c>
      <c r="I2142" t="s">
        <v>22</v>
      </c>
      <c r="J2142" t="s">
        <v>56</v>
      </c>
    </row>
    <row r="2143" spans="1:10" x14ac:dyDescent="0.35">
      <c r="A2143" t="s">
        <v>2326</v>
      </c>
      <c r="B2143" s="1">
        <v>46048</v>
      </c>
      <c r="C2143" t="s">
        <v>76</v>
      </c>
      <c r="D2143" t="s">
        <v>12</v>
      </c>
      <c r="E2143" t="s">
        <v>13</v>
      </c>
      <c r="F2143" t="s">
        <v>14</v>
      </c>
      <c r="G2143">
        <v>104.18</v>
      </c>
      <c r="H2143" t="s">
        <v>15</v>
      </c>
      <c r="I2143" t="s">
        <v>36</v>
      </c>
      <c r="J2143" t="s">
        <v>77</v>
      </c>
    </row>
    <row r="2144" spans="1:10" x14ac:dyDescent="0.35">
      <c r="A2144" t="s">
        <v>2327</v>
      </c>
      <c r="B2144" s="1">
        <v>46048</v>
      </c>
      <c r="C2144" t="s">
        <v>308</v>
      </c>
      <c r="D2144" t="s">
        <v>54</v>
      </c>
      <c r="E2144" t="s">
        <v>64</v>
      </c>
      <c r="F2144" t="s">
        <v>54</v>
      </c>
      <c r="G2144">
        <v>377.8</v>
      </c>
      <c r="H2144" t="s">
        <v>15</v>
      </c>
      <c r="I2144" t="s">
        <v>16</v>
      </c>
      <c r="J2144" t="s">
        <v>89</v>
      </c>
    </row>
    <row r="2145" spans="1:10" x14ac:dyDescent="0.35">
      <c r="A2145" t="s">
        <v>2328</v>
      </c>
      <c r="B2145" s="1">
        <v>46048</v>
      </c>
      <c r="C2145" t="s">
        <v>177</v>
      </c>
      <c r="D2145" t="s">
        <v>54</v>
      </c>
      <c r="E2145" t="s">
        <v>74</v>
      </c>
      <c r="F2145" t="s">
        <v>54</v>
      </c>
      <c r="G2145">
        <v>2656.54</v>
      </c>
      <c r="H2145" t="s">
        <v>15</v>
      </c>
      <c r="I2145" t="s">
        <v>16</v>
      </c>
      <c r="J2145" t="s">
        <v>56</v>
      </c>
    </row>
    <row r="2146" spans="1:10" x14ac:dyDescent="0.35">
      <c r="A2146" t="s">
        <v>2329</v>
      </c>
      <c r="B2146" s="1">
        <v>46048</v>
      </c>
      <c r="C2146" t="s">
        <v>238</v>
      </c>
      <c r="D2146" t="s">
        <v>34</v>
      </c>
      <c r="E2146" t="s">
        <v>35</v>
      </c>
      <c r="F2146" t="s">
        <v>14</v>
      </c>
      <c r="G2146">
        <v>59.54</v>
      </c>
      <c r="H2146" t="s">
        <v>15</v>
      </c>
      <c r="I2146" t="s">
        <v>16</v>
      </c>
      <c r="J2146" t="s">
        <v>239</v>
      </c>
    </row>
    <row r="2147" spans="1:10" x14ac:dyDescent="0.35">
      <c r="A2147" t="s">
        <v>2330</v>
      </c>
      <c r="B2147" s="1">
        <v>46048</v>
      </c>
      <c r="C2147" t="s">
        <v>76</v>
      </c>
      <c r="D2147" t="s">
        <v>12</v>
      </c>
      <c r="E2147" t="s">
        <v>13</v>
      </c>
      <c r="F2147" t="s">
        <v>14</v>
      </c>
      <c r="G2147">
        <v>45.69</v>
      </c>
      <c r="H2147" t="s">
        <v>21</v>
      </c>
      <c r="I2147" t="s">
        <v>22</v>
      </c>
      <c r="J2147" t="s">
        <v>77</v>
      </c>
    </row>
    <row r="2148" spans="1:10" x14ac:dyDescent="0.35">
      <c r="A2148" t="s">
        <v>2331</v>
      </c>
      <c r="B2148" s="1">
        <v>46048</v>
      </c>
      <c r="C2148" t="s">
        <v>184</v>
      </c>
      <c r="D2148" t="s">
        <v>59</v>
      </c>
      <c r="E2148" t="s">
        <v>185</v>
      </c>
      <c r="F2148" t="s">
        <v>14</v>
      </c>
      <c r="G2148">
        <v>234.72</v>
      </c>
      <c r="H2148" t="s">
        <v>15</v>
      </c>
      <c r="I2148" t="s">
        <v>22</v>
      </c>
      <c r="J2148" t="s">
        <v>61</v>
      </c>
    </row>
    <row r="2149" spans="1:10" x14ac:dyDescent="0.35">
      <c r="A2149" t="s">
        <v>2332</v>
      </c>
      <c r="B2149" s="1">
        <v>46048</v>
      </c>
      <c r="C2149" t="s">
        <v>269</v>
      </c>
      <c r="D2149" t="s">
        <v>34</v>
      </c>
      <c r="E2149" t="s">
        <v>35</v>
      </c>
      <c r="F2149" t="s">
        <v>14</v>
      </c>
      <c r="G2149">
        <v>124.74</v>
      </c>
      <c r="H2149" t="s">
        <v>15</v>
      </c>
      <c r="I2149" t="s">
        <v>22</v>
      </c>
      <c r="J2149" t="s">
        <v>123</v>
      </c>
    </row>
    <row r="2150" spans="1:10" x14ac:dyDescent="0.35">
      <c r="A2150" t="s">
        <v>2333</v>
      </c>
      <c r="B2150" s="1">
        <v>46048</v>
      </c>
      <c r="C2150" t="s">
        <v>267</v>
      </c>
      <c r="D2150" t="s">
        <v>29</v>
      </c>
      <c r="E2150" t="s">
        <v>30</v>
      </c>
      <c r="F2150" t="s">
        <v>14</v>
      </c>
      <c r="G2150">
        <v>14.08</v>
      </c>
      <c r="H2150" t="s">
        <v>15</v>
      </c>
      <c r="I2150" t="s">
        <v>36</v>
      </c>
      <c r="J2150" t="s">
        <v>96</v>
      </c>
    </row>
    <row r="2151" spans="1:10" x14ac:dyDescent="0.35">
      <c r="A2151" t="s">
        <v>2334</v>
      </c>
      <c r="B2151" s="1">
        <v>46049</v>
      </c>
      <c r="C2151" t="s">
        <v>73</v>
      </c>
      <c r="D2151" t="s">
        <v>54</v>
      </c>
      <c r="E2151" t="s">
        <v>74</v>
      </c>
      <c r="F2151" t="s">
        <v>54</v>
      </c>
      <c r="G2151">
        <v>2442.1999999999998</v>
      </c>
      <c r="H2151" t="s">
        <v>21</v>
      </c>
      <c r="I2151" t="s">
        <v>47</v>
      </c>
      <c r="J2151" t="s">
        <v>65</v>
      </c>
    </row>
    <row r="2152" spans="1:10" x14ac:dyDescent="0.35">
      <c r="A2152" t="s">
        <v>2335</v>
      </c>
      <c r="B2152" s="1">
        <v>46049</v>
      </c>
      <c r="C2152" t="s">
        <v>269</v>
      </c>
      <c r="D2152" t="s">
        <v>34</v>
      </c>
      <c r="E2152" t="s">
        <v>35</v>
      </c>
      <c r="F2152" t="s">
        <v>14</v>
      </c>
      <c r="G2152">
        <v>47.54</v>
      </c>
      <c r="H2152" t="s">
        <v>15</v>
      </c>
      <c r="I2152" t="s">
        <v>22</v>
      </c>
      <c r="J2152" t="s">
        <v>123</v>
      </c>
    </row>
    <row r="2153" spans="1:10" x14ac:dyDescent="0.35">
      <c r="A2153" t="s">
        <v>2336</v>
      </c>
      <c r="B2153" s="1">
        <v>46049</v>
      </c>
      <c r="C2153" t="s">
        <v>229</v>
      </c>
      <c r="D2153" t="s">
        <v>54</v>
      </c>
      <c r="E2153" t="s">
        <v>64</v>
      </c>
      <c r="F2153" t="s">
        <v>54</v>
      </c>
      <c r="G2153">
        <v>312.25</v>
      </c>
      <c r="H2153" t="s">
        <v>21</v>
      </c>
      <c r="I2153" t="s">
        <v>84</v>
      </c>
      <c r="J2153" t="s">
        <v>56</v>
      </c>
    </row>
    <row r="2154" spans="1:10" x14ac:dyDescent="0.35">
      <c r="A2154" t="s">
        <v>2337</v>
      </c>
      <c r="B2154" s="1">
        <v>46049</v>
      </c>
      <c r="C2154" t="s">
        <v>281</v>
      </c>
      <c r="D2154" t="s">
        <v>34</v>
      </c>
      <c r="E2154" t="s">
        <v>40</v>
      </c>
      <c r="F2154" t="s">
        <v>14</v>
      </c>
      <c r="G2154">
        <v>28.45</v>
      </c>
      <c r="H2154" t="s">
        <v>15</v>
      </c>
      <c r="I2154" t="s">
        <v>22</v>
      </c>
      <c r="J2154" t="s">
        <v>123</v>
      </c>
    </row>
    <row r="2155" spans="1:10" x14ac:dyDescent="0.35">
      <c r="A2155" t="s">
        <v>2338</v>
      </c>
      <c r="B2155" s="1">
        <v>46049</v>
      </c>
      <c r="C2155" t="s">
        <v>445</v>
      </c>
      <c r="D2155" t="s">
        <v>101</v>
      </c>
      <c r="E2155" t="s">
        <v>244</v>
      </c>
      <c r="F2155" t="s">
        <v>14</v>
      </c>
      <c r="G2155">
        <v>52.07</v>
      </c>
      <c r="H2155" t="s">
        <v>15</v>
      </c>
      <c r="I2155" t="s">
        <v>22</v>
      </c>
      <c r="J2155" t="s">
        <v>103</v>
      </c>
    </row>
    <row r="2156" spans="1:10" x14ac:dyDescent="0.35">
      <c r="A2156" t="s">
        <v>2339</v>
      </c>
      <c r="B2156" s="1">
        <v>46049</v>
      </c>
      <c r="C2156" t="s">
        <v>345</v>
      </c>
      <c r="D2156" t="s">
        <v>59</v>
      </c>
      <c r="E2156" t="s">
        <v>60</v>
      </c>
      <c r="F2156" t="s">
        <v>14</v>
      </c>
      <c r="G2156">
        <v>84.81</v>
      </c>
      <c r="H2156" t="s">
        <v>15</v>
      </c>
      <c r="I2156" t="s">
        <v>22</v>
      </c>
      <c r="J2156" t="s">
        <v>211</v>
      </c>
    </row>
    <row r="2157" spans="1:10" x14ac:dyDescent="0.35">
      <c r="A2157" t="s">
        <v>2340</v>
      </c>
      <c r="B2157" s="1">
        <v>46049</v>
      </c>
      <c r="C2157" t="s">
        <v>94</v>
      </c>
      <c r="D2157" t="s">
        <v>29</v>
      </c>
      <c r="E2157" t="s">
        <v>95</v>
      </c>
      <c r="F2157" t="s">
        <v>14</v>
      </c>
      <c r="G2157">
        <v>21.18</v>
      </c>
      <c r="H2157" t="s">
        <v>15</v>
      </c>
      <c r="I2157" t="s">
        <v>22</v>
      </c>
      <c r="J2157" t="s">
        <v>96</v>
      </c>
    </row>
    <row r="2158" spans="1:10" x14ac:dyDescent="0.35">
      <c r="A2158" t="s">
        <v>2341</v>
      </c>
      <c r="B2158" s="1">
        <v>46049</v>
      </c>
      <c r="C2158" t="s">
        <v>189</v>
      </c>
      <c r="D2158" t="s">
        <v>34</v>
      </c>
      <c r="E2158" t="s">
        <v>122</v>
      </c>
      <c r="F2158" t="s">
        <v>14</v>
      </c>
      <c r="G2158">
        <v>161.46</v>
      </c>
      <c r="H2158" t="s">
        <v>98</v>
      </c>
      <c r="I2158" t="s">
        <v>22</v>
      </c>
      <c r="J2158" t="s">
        <v>37</v>
      </c>
    </row>
    <row r="2159" spans="1:10" x14ac:dyDescent="0.35">
      <c r="A2159" t="s">
        <v>2342</v>
      </c>
      <c r="B2159" s="1">
        <v>46049</v>
      </c>
      <c r="C2159" t="s">
        <v>73</v>
      </c>
      <c r="D2159" t="s">
        <v>54</v>
      </c>
      <c r="E2159" t="s">
        <v>74</v>
      </c>
      <c r="F2159" t="s">
        <v>54</v>
      </c>
      <c r="G2159">
        <v>2781.19</v>
      </c>
      <c r="H2159" t="s">
        <v>15</v>
      </c>
      <c r="I2159" t="s">
        <v>16</v>
      </c>
      <c r="J2159" t="s">
        <v>65</v>
      </c>
    </row>
    <row r="2160" spans="1:10" x14ac:dyDescent="0.35">
      <c r="A2160" t="s">
        <v>2343</v>
      </c>
      <c r="B2160" s="1">
        <v>46049</v>
      </c>
      <c r="C2160" t="s">
        <v>94</v>
      </c>
      <c r="D2160" t="s">
        <v>29</v>
      </c>
      <c r="E2160" t="s">
        <v>95</v>
      </c>
      <c r="F2160" t="s">
        <v>14</v>
      </c>
      <c r="G2160">
        <v>18.14</v>
      </c>
      <c r="H2160" t="s">
        <v>21</v>
      </c>
      <c r="I2160" t="s">
        <v>36</v>
      </c>
      <c r="J2160" t="s">
        <v>96</v>
      </c>
    </row>
    <row r="2161" spans="1:10" x14ac:dyDescent="0.35">
      <c r="A2161" t="s">
        <v>2344</v>
      </c>
      <c r="B2161" s="1">
        <v>46050</v>
      </c>
      <c r="C2161" t="s">
        <v>168</v>
      </c>
      <c r="D2161" t="s">
        <v>59</v>
      </c>
      <c r="E2161" t="s">
        <v>60</v>
      </c>
      <c r="F2161" t="s">
        <v>14</v>
      </c>
      <c r="G2161">
        <v>496.58</v>
      </c>
      <c r="H2161" t="s">
        <v>15</v>
      </c>
      <c r="I2161" t="s">
        <v>84</v>
      </c>
      <c r="J2161" t="s">
        <v>170</v>
      </c>
    </row>
    <row r="2162" spans="1:10" x14ac:dyDescent="0.35">
      <c r="A2162" t="s">
        <v>2345</v>
      </c>
      <c r="B2162" s="1">
        <v>46050</v>
      </c>
      <c r="C2162" t="s">
        <v>253</v>
      </c>
      <c r="D2162" t="s">
        <v>29</v>
      </c>
      <c r="E2162" t="s">
        <v>30</v>
      </c>
      <c r="F2162" t="s">
        <v>14</v>
      </c>
      <c r="G2162">
        <v>34.11</v>
      </c>
      <c r="H2162" t="s">
        <v>15</v>
      </c>
      <c r="I2162" t="s">
        <v>22</v>
      </c>
      <c r="J2162" t="s">
        <v>158</v>
      </c>
    </row>
    <row r="2163" spans="1:10" x14ac:dyDescent="0.35">
      <c r="A2163" t="s">
        <v>2346</v>
      </c>
      <c r="B2163" s="1">
        <v>46050</v>
      </c>
      <c r="C2163" t="s">
        <v>198</v>
      </c>
      <c r="D2163" t="s">
        <v>59</v>
      </c>
      <c r="E2163" t="s">
        <v>199</v>
      </c>
      <c r="F2163" t="s">
        <v>14</v>
      </c>
      <c r="G2163">
        <v>265.45</v>
      </c>
      <c r="H2163" t="s">
        <v>98</v>
      </c>
      <c r="I2163" t="s">
        <v>36</v>
      </c>
      <c r="J2163" t="s">
        <v>61</v>
      </c>
    </row>
    <row r="2164" spans="1:10" x14ac:dyDescent="0.35">
      <c r="A2164" t="s">
        <v>2347</v>
      </c>
      <c r="B2164" s="1">
        <v>46050</v>
      </c>
      <c r="C2164" t="s">
        <v>121</v>
      </c>
      <c r="D2164" t="s">
        <v>34</v>
      </c>
      <c r="E2164" t="s">
        <v>122</v>
      </c>
      <c r="F2164" t="s">
        <v>14</v>
      </c>
      <c r="G2164">
        <v>39.65</v>
      </c>
      <c r="H2164" t="s">
        <v>15</v>
      </c>
      <c r="I2164" t="s">
        <v>22</v>
      </c>
      <c r="J2164" t="s">
        <v>123</v>
      </c>
    </row>
    <row r="2165" spans="1:10" x14ac:dyDescent="0.35">
      <c r="A2165" t="s">
        <v>2348</v>
      </c>
      <c r="B2165" s="1">
        <v>46050</v>
      </c>
      <c r="C2165" t="s">
        <v>172</v>
      </c>
      <c r="D2165" t="s">
        <v>101</v>
      </c>
      <c r="E2165" t="s">
        <v>102</v>
      </c>
      <c r="F2165" t="s">
        <v>14</v>
      </c>
      <c r="G2165">
        <v>28.63</v>
      </c>
      <c r="H2165" t="s">
        <v>98</v>
      </c>
      <c r="I2165" t="s">
        <v>22</v>
      </c>
      <c r="J2165" t="s">
        <v>102</v>
      </c>
    </row>
    <row r="2166" spans="1:10" x14ac:dyDescent="0.35">
      <c r="A2166" t="s">
        <v>2349</v>
      </c>
      <c r="B2166" s="1">
        <v>46051</v>
      </c>
      <c r="C2166" t="s">
        <v>76</v>
      </c>
      <c r="D2166" t="s">
        <v>12</v>
      </c>
      <c r="E2166" t="s">
        <v>13</v>
      </c>
      <c r="F2166" t="s">
        <v>14</v>
      </c>
      <c r="G2166">
        <v>89.97</v>
      </c>
      <c r="H2166" t="s">
        <v>15</v>
      </c>
      <c r="I2166" t="s">
        <v>47</v>
      </c>
      <c r="J2166" t="s">
        <v>77</v>
      </c>
    </row>
    <row r="2167" spans="1:10" x14ac:dyDescent="0.35">
      <c r="A2167" t="s">
        <v>2350</v>
      </c>
      <c r="B2167" s="1">
        <v>46051</v>
      </c>
      <c r="C2167" t="s">
        <v>376</v>
      </c>
      <c r="D2167" t="s">
        <v>80</v>
      </c>
      <c r="E2167" t="s">
        <v>117</v>
      </c>
      <c r="F2167" t="s">
        <v>14</v>
      </c>
      <c r="G2167">
        <v>91</v>
      </c>
      <c r="H2167" t="s">
        <v>21</v>
      </c>
      <c r="I2167" t="s">
        <v>22</v>
      </c>
      <c r="J2167" t="s">
        <v>82</v>
      </c>
    </row>
    <row r="2168" spans="1:10" x14ac:dyDescent="0.35">
      <c r="A2168" t="s">
        <v>2351</v>
      </c>
      <c r="B2168" s="1">
        <v>46051</v>
      </c>
      <c r="C2168" t="s">
        <v>298</v>
      </c>
      <c r="D2168" t="s">
        <v>59</v>
      </c>
      <c r="E2168" t="s">
        <v>185</v>
      </c>
      <c r="F2168" t="s">
        <v>14</v>
      </c>
      <c r="G2168">
        <v>329.83</v>
      </c>
      <c r="H2168" t="s">
        <v>21</v>
      </c>
      <c r="I2168" t="s">
        <v>22</v>
      </c>
      <c r="J2168" t="s">
        <v>170</v>
      </c>
    </row>
    <row r="2169" spans="1:10" x14ac:dyDescent="0.35">
      <c r="A2169" t="s">
        <v>2352</v>
      </c>
      <c r="B2169" s="1">
        <v>46051</v>
      </c>
      <c r="C2169" t="s">
        <v>132</v>
      </c>
      <c r="D2169" t="s">
        <v>69</v>
      </c>
      <c r="E2169" t="s">
        <v>70</v>
      </c>
      <c r="F2169" t="s">
        <v>14</v>
      </c>
      <c r="G2169">
        <v>749.34</v>
      </c>
      <c r="H2169" t="s">
        <v>21</v>
      </c>
      <c r="I2169" t="s">
        <v>22</v>
      </c>
      <c r="J2169" t="s">
        <v>133</v>
      </c>
    </row>
    <row r="2170" spans="1:10" x14ac:dyDescent="0.35">
      <c r="A2170" t="s">
        <v>2353</v>
      </c>
      <c r="B2170" s="1">
        <v>46051</v>
      </c>
      <c r="C2170" t="s">
        <v>125</v>
      </c>
      <c r="D2170" t="s">
        <v>12</v>
      </c>
      <c r="E2170" t="s">
        <v>13</v>
      </c>
      <c r="F2170" t="s">
        <v>14</v>
      </c>
      <c r="G2170">
        <v>21.75</v>
      </c>
      <c r="H2170" t="s">
        <v>21</v>
      </c>
      <c r="I2170" t="s">
        <v>22</v>
      </c>
      <c r="J2170" t="s">
        <v>44</v>
      </c>
    </row>
    <row r="2171" spans="1:10" x14ac:dyDescent="0.35">
      <c r="A2171" t="s">
        <v>2354</v>
      </c>
      <c r="B2171" s="1">
        <v>46052</v>
      </c>
      <c r="C2171" t="s">
        <v>132</v>
      </c>
      <c r="D2171" t="s">
        <v>69</v>
      </c>
      <c r="E2171" t="s">
        <v>70</v>
      </c>
      <c r="F2171" t="s">
        <v>14</v>
      </c>
      <c r="G2171">
        <v>477.03</v>
      </c>
      <c r="H2171" t="s">
        <v>15</v>
      </c>
      <c r="I2171" t="s">
        <v>36</v>
      </c>
      <c r="J2171" t="s">
        <v>133</v>
      </c>
    </row>
    <row r="2172" spans="1:10" x14ac:dyDescent="0.35">
      <c r="A2172" t="s">
        <v>2355</v>
      </c>
      <c r="B2172" s="1">
        <v>46052</v>
      </c>
      <c r="C2172" t="s">
        <v>100</v>
      </c>
      <c r="D2172" t="s">
        <v>101</v>
      </c>
      <c r="E2172" t="s">
        <v>102</v>
      </c>
      <c r="F2172" t="s">
        <v>14</v>
      </c>
      <c r="G2172">
        <v>204.91</v>
      </c>
      <c r="H2172" t="s">
        <v>15</v>
      </c>
      <c r="I2172" t="s">
        <v>36</v>
      </c>
      <c r="J2172" t="s">
        <v>103</v>
      </c>
    </row>
    <row r="2173" spans="1:10" x14ac:dyDescent="0.35">
      <c r="A2173" t="s">
        <v>2356</v>
      </c>
      <c r="B2173" s="1">
        <v>46052</v>
      </c>
      <c r="C2173" t="s">
        <v>135</v>
      </c>
      <c r="D2173" t="s">
        <v>101</v>
      </c>
      <c r="E2173" t="s">
        <v>102</v>
      </c>
      <c r="F2173" t="s">
        <v>14</v>
      </c>
      <c r="G2173">
        <v>26.89</v>
      </c>
      <c r="H2173" t="s">
        <v>98</v>
      </c>
      <c r="I2173" t="s">
        <v>22</v>
      </c>
      <c r="J2173" t="s">
        <v>136</v>
      </c>
    </row>
    <row r="2174" spans="1:10" x14ac:dyDescent="0.35">
      <c r="A2174" t="s">
        <v>2357</v>
      </c>
      <c r="B2174" s="1">
        <v>46053</v>
      </c>
      <c r="C2174" t="s">
        <v>204</v>
      </c>
      <c r="D2174" t="s">
        <v>12</v>
      </c>
      <c r="E2174" t="s">
        <v>51</v>
      </c>
      <c r="F2174" t="s">
        <v>14</v>
      </c>
      <c r="G2174">
        <v>66.319999999999993</v>
      </c>
      <c r="H2174" t="s">
        <v>15</v>
      </c>
      <c r="I2174" t="s">
        <v>22</v>
      </c>
      <c r="J2174" t="s">
        <v>23</v>
      </c>
    </row>
    <row r="2175" spans="1:10" x14ac:dyDescent="0.35">
      <c r="A2175" t="s">
        <v>2358</v>
      </c>
      <c r="B2175" s="1">
        <v>46053</v>
      </c>
      <c r="C2175" t="s">
        <v>19</v>
      </c>
      <c r="D2175" t="s">
        <v>12</v>
      </c>
      <c r="E2175" t="s">
        <v>13</v>
      </c>
      <c r="F2175" t="s">
        <v>14</v>
      </c>
      <c r="G2175">
        <v>35.61</v>
      </c>
      <c r="H2175" t="s">
        <v>15</v>
      </c>
      <c r="I2175" t="s">
        <v>22</v>
      </c>
      <c r="J2175" t="s">
        <v>23</v>
      </c>
    </row>
    <row r="2176" spans="1:10" x14ac:dyDescent="0.35">
      <c r="A2176" t="s">
        <v>2359</v>
      </c>
      <c r="B2176" s="1">
        <v>46053</v>
      </c>
      <c r="C2176" t="s">
        <v>262</v>
      </c>
      <c r="D2176" t="s">
        <v>101</v>
      </c>
      <c r="E2176" t="s">
        <v>244</v>
      </c>
      <c r="F2176" t="s">
        <v>14</v>
      </c>
      <c r="G2176">
        <v>24.27</v>
      </c>
      <c r="H2176" t="s">
        <v>15</v>
      </c>
      <c r="I2176" t="s">
        <v>22</v>
      </c>
      <c r="J2176" t="s">
        <v>136</v>
      </c>
    </row>
    <row r="2177" spans="1:10" x14ac:dyDescent="0.35">
      <c r="A2177" t="s">
        <v>2360</v>
      </c>
      <c r="B2177" s="1">
        <v>46053</v>
      </c>
      <c r="C2177" t="s">
        <v>73</v>
      </c>
      <c r="D2177" t="s">
        <v>54</v>
      </c>
      <c r="E2177" t="s">
        <v>74</v>
      </c>
      <c r="F2177" t="s">
        <v>54</v>
      </c>
      <c r="G2177">
        <v>2310.0500000000002</v>
      </c>
      <c r="H2177" t="s">
        <v>15</v>
      </c>
      <c r="I2177" t="s">
        <v>36</v>
      </c>
      <c r="J2177" t="s">
        <v>65</v>
      </c>
    </row>
    <row r="2178" spans="1:10" x14ac:dyDescent="0.35">
      <c r="A2178" t="s">
        <v>2361</v>
      </c>
      <c r="B2178" s="1">
        <v>46053</v>
      </c>
      <c r="C2178" t="s">
        <v>238</v>
      </c>
      <c r="D2178" t="s">
        <v>34</v>
      </c>
      <c r="E2178" t="s">
        <v>35</v>
      </c>
      <c r="F2178" t="s">
        <v>14</v>
      </c>
      <c r="G2178">
        <v>176.6</v>
      </c>
      <c r="H2178" t="s">
        <v>21</v>
      </c>
      <c r="I2178" t="s">
        <v>22</v>
      </c>
      <c r="J2178" t="s">
        <v>239</v>
      </c>
    </row>
    <row r="2179" spans="1:10" x14ac:dyDescent="0.35">
      <c r="A2179" t="s">
        <v>2362</v>
      </c>
      <c r="B2179" s="1">
        <v>46053</v>
      </c>
      <c r="C2179" t="s">
        <v>175</v>
      </c>
      <c r="D2179" t="s">
        <v>80</v>
      </c>
      <c r="E2179" t="s">
        <v>92</v>
      </c>
      <c r="F2179" t="s">
        <v>14</v>
      </c>
      <c r="G2179">
        <v>40.159999999999997</v>
      </c>
      <c r="H2179" t="s">
        <v>21</v>
      </c>
      <c r="I2179" t="s">
        <v>47</v>
      </c>
      <c r="J2179" t="s">
        <v>141</v>
      </c>
    </row>
    <row r="2180" spans="1:10" x14ac:dyDescent="0.35">
      <c r="A2180" t="s">
        <v>2363</v>
      </c>
      <c r="B2180" s="1">
        <v>46053</v>
      </c>
      <c r="C2180" t="s">
        <v>172</v>
      </c>
      <c r="D2180" t="s">
        <v>101</v>
      </c>
      <c r="E2180" t="s">
        <v>102</v>
      </c>
      <c r="F2180" t="s">
        <v>14</v>
      </c>
      <c r="G2180">
        <v>86.01</v>
      </c>
      <c r="H2180" t="s">
        <v>98</v>
      </c>
      <c r="I2180" t="s">
        <v>16</v>
      </c>
      <c r="J2180" t="s">
        <v>102</v>
      </c>
    </row>
    <row r="2181" spans="1:10" x14ac:dyDescent="0.35">
      <c r="A2181" t="s">
        <v>2364</v>
      </c>
      <c r="B2181" s="1">
        <v>46054</v>
      </c>
      <c r="C2181" t="s">
        <v>19</v>
      </c>
      <c r="D2181" t="s">
        <v>12</v>
      </c>
      <c r="E2181" t="s">
        <v>13</v>
      </c>
      <c r="F2181" t="s">
        <v>14</v>
      </c>
      <c r="G2181">
        <v>57.9</v>
      </c>
      <c r="H2181" t="s">
        <v>15</v>
      </c>
      <c r="I2181" t="s">
        <v>36</v>
      </c>
      <c r="J2181" t="s">
        <v>23</v>
      </c>
    </row>
    <row r="2182" spans="1:10" x14ac:dyDescent="0.35">
      <c r="A2182" t="s">
        <v>2365</v>
      </c>
      <c r="B2182" s="1">
        <v>46054</v>
      </c>
      <c r="C2182" t="s">
        <v>411</v>
      </c>
      <c r="D2182" t="s">
        <v>29</v>
      </c>
      <c r="E2182" t="s">
        <v>151</v>
      </c>
      <c r="F2182" t="s">
        <v>14</v>
      </c>
      <c r="G2182">
        <v>19.87</v>
      </c>
      <c r="H2182" t="s">
        <v>15</v>
      </c>
      <c r="I2182" t="s">
        <v>36</v>
      </c>
      <c r="J2182" t="s">
        <v>151</v>
      </c>
    </row>
    <row r="2183" spans="1:10" x14ac:dyDescent="0.35">
      <c r="A2183" t="s">
        <v>2366</v>
      </c>
      <c r="B2183" s="1">
        <v>46054</v>
      </c>
      <c r="C2183" t="s">
        <v>116</v>
      </c>
      <c r="D2183" t="s">
        <v>80</v>
      </c>
      <c r="E2183" t="s">
        <v>117</v>
      </c>
      <c r="F2183" t="s">
        <v>14</v>
      </c>
      <c r="G2183">
        <v>62.55</v>
      </c>
      <c r="H2183" t="s">
        <v>15</v>
      </c>
      <c r="I2183" t="s">
        <v>36</v>
      </c>
      <c r="J2183" t="s">
        <v>118</v>
      </c>
    </row>
    <row r="2184" spans="1:10" x14ac:dyDescent="0.35">
      <c r="A2184" t="s">
        <v>2367</v>
      </c>
      <c r="B2184" s="1">
        <v>46054</v>
      </c>
      <c r="C2184" t="s">
        <v>76</v>
      </c>
      <c r="D2184" t="s">
        <v>12</v>
      </c>
      <c r="E2184" t="s">
        <v>13</v>
      </c>
      <c r="F2184" t="s">
        <v>14</v>
      </c>
      <c r="G2184">
        <v>38.94</v>
      </c>
      <c r="H2184" t="s">
        <v>15</v>
      </c>
      <c r="I2184" t="s">
        <v>22</v>
      </c>
      <c r="J2184" t="s">
        <v>77</v>
      </c>
    </row>
    <row r="2185" spans="1:10" x14ac:dyDescent="0.35">
      <c r="A2185" t="s">
        <v>2368</v>
      </c>
      <c r="B2185" s="1">
        <v>46054</v>
      </c>
      <c r="C2185" t="s">
        <v>411</v>
      </c>
      <c r="D2185" t="s">
        <v>29</v>
      </c>
      <c r="E2185" t="s">
        <v>151</v>
      </c>
      <c r="F2185" t="s">
        <v>14</v>
      </c>
      <c r="G2185">
        <v>53.32</v>
      </c>
      <c r="H2185" t="s">
        <v>15</v>
      </c>
      <c r="I2185" t="s">
        <v>22</v>
      </c>
      <c r="J2185" t="s">
        <v>151</v>
      </c>
    </row>
    <row r="2186" spans="1:10" x14ac:dyDescent="0.35">
      <c r="A2186" t="s">
        <v>2369</v>
      </c>
      <c r="B2186" s="1">
        <v>46054</v>
      </c>
      <c r="C2186" t="s">
        <v>204</v>
      </c>
      <c r="D2186" t="s">
        <v>12</v>
      </c>
      <c r="E2186" t="s">
        <v>51</v>
      </c>
      <c r="F2186" t="s">
        <v>14</v>
      </c>
      <c r="G2186">
        <v>76.349999999999994</v>
      </c>
      <c r="H2186" t="s">
        <v>15</v>
      </c>
      <c r="I2186" t="s">
        <v>47</v>
      </c>
      <c r="J2186" t="s">
        <v>23</v>
      </c>
    </row>
    <row r="2187" spans="1:10" x14ac:dyDescent="0.35">
      <c r="A2187" t="s">
        <v>2370</v>
      </c>
      <c r="B2187" s="1">
        <v>46054</v>
      </c>
      <c r="C2187" t="s">
        <v>269</v>
      </c>
      <c r="D2187" t="s">
        <v>34</v>
      </c>
      <c r="E2187" t="s">
        <v>35</v>
      </c>
      <c r="F2187" t="s">
        <v>14</v>
      </c>
      <c r="G2187">
        <v>202.6</v>
      </c>
      <c r="H2187" t="s">
        <v>15</v>
      </c>
      <c r="I2187" t="s">
        <v>84</v>
      </c>
      <c r="J2187" t="s">
        <v>123</v>
      </c>
    </row>
    <row r="2188" spans="1:10" x14ac:dyDescent="0.35">
      <c r="A2188" t="s">
        <v>2371</v>
      </c>
      <c r="B2188" s="1">
        <v>46054</v>
      </c>
      <c r="C2188" t="s">
        <v>308</v>
      </c>
      <c r="D2188" t="s">
        <v>54</v>
      </c>
      <c r="E2188" t="s">
        <v>64</v>
      </c>
      <c r="F2188" t="s">
        <v>54</v>
      </c>
      <c r="G2188">
        <v>334.13</v>
      </c>
      <c r="H2188" t="s">
        <v>15</v>
      </c>
      <c r="I2188" t="s">
        <v>47</v>
      </c>
      <c r="J2188" t="s">
        <v>89</v>
      </c>
    </row>
    <row r="2189" spans="1:10" x14ac:dyDescent="0.35">
      <c r="A2189" t="s">
        <v>2372</v>
      </c>
      <c r="B2189" s="1">
        <v>46055</v>
      </c>
      <c r="C2189" t="s">
        <v>109</v>
      </c>
      <c r="D2189" t="s">
        <v>34</v>
      </c>
      <c r="E2189" t="s">
        <v>35</v>
      </c>
      <c r="F2189" t="s">
        <v>14</v>
      </c>
      <c r="G2189">
        <v>59.59</v>
      </c>
      <c r="H2189" t="s">
        <v>15</v>
      </c>
      <c r="I2189" t="s">
        <v>22</v>
      </c>
      <c r="J2189" t="s">
        <v>41</v>
      </c>
    </row>
    <row r="2190" spans="1:10" x14ac:dyDescent="0.35">
      <c r="A2190" t="s">
        <v>2373</v>
      </c>
      <c r="B2190" s="1">
        <v>46055</v>
      </c>
      <c r="C2190" t="s">
        <v>253</v>
      </c>
      <c r="D2190" t="s">
        <v>29</v>
      </c>
      <c r="E2190" t="s">
        <v>30</v>
      </c>
      <c r="F2190" t="s">
        <v>14</v>
      </c>
      <c r="G2190">
        <v>47.03</v>
      </c>
      <c r="H2190" t="s">
        <v>15</v>
      </c>
      <c r="I2190" t="s">
        <v>47</v>
      </c>
      <c r="J2190" t="s">
        <v>158</v>
      </c>
    </row>
    <row r="2191" spans="1:10" x14ac:dyDescent="0.35">
      <c r="A2191" t="s">
        <v>2374</v>
      </c>
      <c r="B2191" s="1">
        <v>46055</v>
      </c>
      <c r="C2191" t="s">
        <v>163</v>
      </c>
      <c r="D2191" t="s">
        <v>80</v>
      </c>
      <c r="E2191" t="s">
        <v>92</v>
      </c>
      <c r="F2191" t="s">
        <v>14</v>
      </c>
      <c r="G2191">
        <v>104.03</v>
      </c>
      <c r="H2191" t="s">
        <v>98</v>
      </c>
      <c r="I2191" t="s">
        <v>36</v>
      </c>
      <c r="J2191" t="s">
        <v>118</v>
      </c>
    </row>
    <row r="2192" spans="1:10" x14ac:dyDescent="0.35">
      <c r="A2192" t="s">
        <v>2375</v>
      </c>
      <c r="B2192" s="1">
        <v>46055</v>
      </c>
      <c r="C2192" t="s">
        <v>445</v>
      </c>
      <c r="D2192" t="s">
        <v>101</v>
      </c>
      <c r="E2192" t="s">
        <v>244</v>
      </c>
      <c r="F2192" t="s">
        <v>14</v>
      </c>
      <c r="G2192">
        <v>97.8</v>
      </c>
      <c r="H2192" t="s">
        <v>21</v>
      </c>
      <c r="I2192" t="s">
        <v>36</v>
      </c>
      <c r="J2192" t="s">
        <v>103</v>
      </c>
    </row>
    <row r="2193" spans="1:10" x14ac:dyDescent="0.35">
      <c r="A2193" t="s">
        <v>2376</v>
      </c>
      <c r="B2193" s="1">
        <v>46055</v>
      </c>
      <c r="C2193" t="s">
        <v>11</v>
      </c>
      <c r="D2193" t="s">
        <v>12</v>
      </c>
      <c r="E2193" t="s">
        <v>13</v>
      </c>
      <c r="F2193" t="s">
        <v>14</v>
      </c>
      <c r="G2193">
        <v>122.03</v>
      </c>
      <c r="H2193" t="s">
        <v>15</v>
      </c>
      <c r="I2193" t="s">
        <v>16</v>
      </c>
      <c r="J2193" t="s">
        <v>17</v>
      </c>
    </row>
    <row r="2194" spans="1:10" x14ac:dyDescent="0.35">
      <c r="A2194" t="s">
        <v>2377</v>
      </c>
      <c r="B2194" s="1">
        <v>46055</v>
      </c>
      <c r="C2194" t="s">
        <v>25</v>
      </c>
      <c r="D2194" t="s">
        <v>12</v>
      </c>
      <c r="E2194" t="s">
        <v>26</v>
      </c>
      <c r="F2194" t="s">
        <v>14</v>
      </c>
      <c r="G2194">
        <v>72.88</v>
      </c>
      <c r="H2194" t="s">
        <v>15</v>
      </c>
      <c r="I2194" t="s">
        <v>22</v>
      </c>
      <c r="J2194" t="s">
        <v>17</v>
      </c>
    </row>
    <row r="2195" spans="1:10" x14ac:dyDescent="0.35">
      <c r="A2195" t="s">
        <v>2378</v>
      </c>
      <c r="B2195" s="1">
        <v>46056</v>
      </c>
      <c r="C2195" t="s">
        <v>308</v>
      </c>
      <c r="D2195" t="s">
        <v>54</v>
      </c>
      <c r="E2195" t="s">
        <v>64</v>
      </c>
      <c r="F2195" t="s">
        <v>54</v>
      </c>
      <c r="G2195">
        <v>365.45</v>
      </c>
      <c r="H2195" t="s">
        <v>98</v>
      </c>
      <c r="I2195" t="s">
        <v>36</v>
      </c>
      <c r="J2195" t="s">
        <v>89</v>
      </c>
    </row>
    <row r="2196" spans="1:10" x14ac:dyDescent="0.35">
      <c r="A2196" t="s">
        <v>2379</v>
      </c>
      <c r="B2196" s="1">
        <v>46056</v>
      </c>
      <c r="C2196" t="s">
        <v>251</v>
      </c>
      <c r="D2196" t="s">
        <v>29</v>
      </c>
      <c r="E2196" t="s">
        <v>151</v>
      </c>
      <c r="F2196" t="s">
        <v>14</v>
      </c>
      <c r="G2196">
        <v>20.93</v>
      </c>
      <c r="H2196" t="s">
        <v>21</v>
      </c>
      <c r="I2196" t="s">
        <v>47</v>
      </c>
      <c r="J2196" t="s">
        <v>31</v>
      </c>
    </row>
    <row r="2197" spans="1:10" x14ac:dyDescent="0.35">
      <c r="A2197" t="s">
        <v>2380</v>
      </c>
      <c r="B2197" s="1">
        <v>46056</v>
      </c>
      <c r="C2197" t="s">
        <v>298</v>
      </c>
      <c r="D2197" t="s">
        <v>59</v>
      </c>
      <c r="E2197" t="s">
        <v>185</v>
      </c>
      <c r="F2197" t="s">
        <v>14</v>
      </c>
      <c r="G2197">
        <v>309.04000000000002</v>
      </c>
      <c r="H2197" t="s">
        <v>21</v>
      </c>
      <c r="I2197" t="s">
        <v>84</v>
      </c>
      <c r="J2197" t="s">
        <v>170</v>
      </c>
    </row>
    <row r="2198" spans="1:10" x14ac:dyDescent="0.35">
      <c r="A2198" t="s">
        <v>2381</v>
      </c>
      <c r="B2198" s="1">
        <v>46056</v>
      </c>
      <c r="C2198" t="s">
        <v>94</v>
      </c>
      <c r="D2198" t="s">
        <v>29</v>
      </c>
      <c r="E2198" t="s">
        <v>95</v>
      </c>
      <c r="F2198" t="s">
        <v>14</v>
      </c>
      <c r="G2198">
        <v>40.130000000000003</v>
      </c>
      <c r="H2198" t="s">
        <v>21</v>
      </c>
      <c r="I2198" t="s">
        <v>36</v>
      </c>
      <c r="J2198" t="s">
        <v>96</v>
      </c>
    </row>
    <row r="2199" spans="1:10" x14ac:dyDescent="0.35">
      <c r="A2199" t="s">
        <v>2382</v>
      </c>
      <c r="B2199" s="1">
        <v>46056</v>
      </c>
      <c r="C2199" t="s">
        <v>192</v>
      </c>
      <c r="D2199" t="s">
        <v>80</v>
      </c>
      <c r="E2199" t="s">
        <v>92</v>
      </c>
      <c r="F2199" t="s">
        <v>14</v>
      </c>
      <c r="G2199">
        <v>94.32</v>
      </c>
      <c r="H2199" t="s">
        <v>21</v>
      </c>
      <c r="I2199" t="s">
        <v>22</v>
      </c>
      <c r="J2199" t="s">
        <v>180</v>
      </c>
    </row>
    <row r="2200" spans="1:10" x14ac:dyDescent="0.35">
      <c r="A2200" t="s">
        <v>2383</v>
      </c>
      <c r="B2200" s="1">
        <v>46056</v>
      </c>
      <c r="C2200" t="s">
        <v>281</v>
      </c>
      <c r="D2200" t="s">
        <v>34</v>
      </c>
      <c r="E2200" t="s">
        <v>40</v>
      </c>
      <c r="F2200" t="s">
        <v>14</v>
      </c>
      <c r="G2200">
        <v>232.1</v>
      </c>
      <c r="H2200" t="s">
        <v>21</v>
      </c>
      <c r="I2200" t="s">
        <v>22</v>
      </c>
      <c r="J2200" t="s">
        <v>123</v>
      </c>
    </row>
    <row r="2201" spans="1:10" x14ac:dyDescent="0.35">
      <c r="A2201" t="s">
        <v>2384</v>
      </c>
      <c r="B2201" s="1">
        <v>46056</v>
      </c>
      <c r="C2201" t="s">
        <v>73</v>
      </c>
      <c r="D2201" t="s">
        <v>54</v>
      </c>
      <c r="E2201" t="s">
        <v>74</v>
      </c>
      <c r="F2201" t="s">
        <v>54</v>
      </c>
      <c r="G2201">
        <v>2274.85</v>
      </c>
      <c r="H2201" t="s">
        <v>21</v>
      </c>
      <c r="I2201" t="s">
        <v>36</v>
      </c>
      <c r="J2201" t="s">
        <v>65</v>
      </c>
    </row>
    <row r="2202" spans="1:10" x14ac:dyDescent="0.35">
      <c r="A2202" t="s">
        <v>2385</v>
      </c>
      <c r="B2202" s="1">
        <v>46056</v>
      </c>
      <c r="C2202" t="s">
        <v>572</v>
      </c>
      <c r="D2202" t="s">
        <v>2386</v>
      </c>
      <c r="E2202" t="s">
        <v>233</v>
      </c>
      <c r="F2202" t="s">
        <v>14</v>
      </c>
      <c r="G2202">
        <v>235.04</v>
      </c>
      <c r="H2202" t="s">
        <v>15</v>
      </c>
      <c r="I2202" t="s">
        <v>36</v>
      </c>
      <c r="J2202" t="s">
        <v>292</v>
      </c>
    </row>
    <row r="2203" spans="1:10" x14ac:dyDescent="0.35">
      <c r="A2203" t="s">
        <v>2387</v>
      </c>
      <c r="B2203" s="1">
        <v>46057</v>
      </c>
      <c r="C2203" t="s">
        <v>172</v>
      </c>
      <c r="D2203" t="s">
        <v>101</v>
      </c>
      <c r="E2203" t="s">
        <v>102</v>
      </c>
      <c r="F2203" t="s">
        <v>14</v>
      </c>
      <c r="G2203">
        <v>70.290000000000006</v>
      </c>
      <c r="H2203" t="s">
        <v>15</v>
      </c>
      <c r="I2203" t="s">
        <v>22</v>
      </c>
      <c r="J2203" t="s">
        <v>102</v>
      </c>
    </row>
    <row r="2204" spans="1:10" x14ac:dyDescent="0.35">
      <c r="A2204" t="s">
        <v>2388</v>
      </c>
      <c r="B2204" s="1">
        <v>46057</v>
      </c>
      <c r="C2204" t="s">
        <v>189</v>
      </c>
      <c r="D2204" t="s">
        <v>34</v>
      </c>
      <c r="E2204" t="s">
        <v>122</v>
      </c>
      <c r="F2204" t="s">
        <v>14</v>
      </c>
      <c r="G2204">
        <v>347.91</v>
      </c>
      <c r="H2204" t="s">
        <v>15</v>
      </c>
      <c r="I2204" t="s">
        <v>36</v>
      </c>
      <c r="J2204" t="s">
        <v>37</v>
      </c>
    </row>
    <row r="2205" spans="1:10" x14ac:dyDescent="0.35">
      <c r="A2205" t="s">
        <v>2389</v>
      </c>
      <c r="B2205" s="1">
        <v>46057</v>
      </c>
      <c r="C2205" t="s">
        <v>331</v>
      </c>
      <c r="D2205" t="s">
        <v>29</v>
      </c>
      <c r="E2205" t="s">
        <v>95</v>
      </c>
      <c r="F2205" t="s">
        <v>14</v>
      </c>
      <c r="G2205">
        <v>10.93</v>
      </c>
      <c r="H2205" t="s">
        <v>21</v>
      </c>
      <c r="I2205" t="s">
        <v>16</v>
      </c>
      <c r="J2205" t="s">
        <v>151</v>
      </c>
    </row>
    <row r="2206" spans="1:10" x14ac:dyDescent="0.35">
      <c r="A2206" t="s">
        <v>2390</v>
      </c>
      <c r="B2206" s="1">
        <v>46057</v>
      </c>
      <c r="C2206" t="s">
        <v>350</v>
      </c>
      <c r="D2206" t="s">
        <v>29</v>
      </c>
      <c r="E2206" t="s">
        <v>151</v>
      </c>
      <c r="F2206" t="s">
        <v>14</v>
      </c>
      <c r="G2206">
        <v>25.81</v>
      </c>
      <c r="H2206" t="s">
        <v>98</v>
      </c>
      <c r="I2206" t="s">
        <v>36</v>
      </c>
      <c r="J2206" t="s">
        <v>158</v>
      </c>
    </row>
    <row r="2207" spans="1:10" x14ac:dyDescent="0.35">
      <c r="A2207" t="s">
        <v>2391</v>
      </c>
      <c r="B2207" s="1">
        <v>46057</v>
      </c>
      <c r="C2207" t="s">
        <v>73</v>
      </c>
      <c r="D2207" t="s">
        <v>54</v>
      </c>
      <c r="E2207" t="s">
        <v>74</v>
      </c>
      <c r="F2207" t="s">
        <v>54</v>
      </c>
      <c r="G2207">
        <v>2527.29</v>
      </c>
      <c r="H2207" t="s">
        <v>21</v>
      </c>
      <c r="I2207" t="s">
        <v>47</v>
      </c>
      <c r="J2207" t="s">
        <v>65</v>
      </c>
    </row>
    <row r="2208" spans="1:10" x14ac:dyDescent="0.35">
      <c r="A2208" t="s">
        <v>2392</v>
      </c>
      <c r="B2208" s="1">
        <v>46057</v>
      </c>
      <c r="C2208" t="s">
        <v>376</v>
      </c>
      <c r="D2208" t="s">
        <v>80</v>
      </c>
      <c r="E2208" t="s">
        <v>117</v>
      </c>
      <c r="F2208" t="s">
        <v>14</v>
      </c>
      <c r="G2208">
        <v>33.01</v>
      </c>
      <c r="H2208" t="s">
        <v>15</v>
      </c>
      <c r="I2208" t="s">
        <v>36</v>
      </c>
      <c r="J2208" t="s">
        <v>82</v>
      </c>
    </row>
    <row r="2209" spans="1:10" x14ac:dyDescent="0.35">
      <c r="A2209" t="s">
        <v>2393</v>
      </c>
      <c r="B2209" s="1">
        <v>46058</v>
      </c>
      <c r="C2209" t="s">
        <v>308</v>
      </c>
      <c r="D2209" t="s">
        <v>54</v>
      </c>
      <c r="E2209" t="s">
        <v>64</v>
      </c>
      <c r="F2209" t="s">
        <v>54</v>
      </c>
      <c r="G2209">
        <v>299.08999999999997</v>
      </c>
      <c r="H2209" t="s">
        <v>98</v>
      </c>
      <c r="I2209" t="s">
        <v>16</v>
      </c>
      <c r="J2209" t="s">
        <v>89</v>
      </c>
    </row>
    <row r="2210" spans="1:10" x14ac:dyDescent="0.35">
      <c r="A2210" t="s">
        <v>2394</v>
      </c>
      <c r="B2210" s="1">
        <v>46058</v>
      </c>
      <c r="C2210" t="s">
        <v>210</v>
      </c>
      <c r="D2210" t="s">
        <v>59</v>
      </c>
      <c r="E2210" t="s">
        <v>185</v>
      </c>
      <c r="F2210" t="s">
        <v>14</v>
      </c>
      <c r="G2210">
        <v>137.04</v>
      </c>
      <c r="H2210" t="s">
        <v>21</v>
      </c>
      <c r="I2210" t="s">
        <v>36</v>
      </c>
      <c r="J2210" t="s">
        <v>211</v>
      </c>
    </row>
    <row r="2211" spans="1:10" x14ac:dyDescent="0.35">
      <c r="A2211" t="s">
        <v>2395</v>
      </c>
      <c r="B2211" s="1">
        <v>46058</v>
      </c>
      <c r="C2211" t="s">
        <v>73</v>
      </c>
      <c r="D2211" t="s">
        <v>54</v>
      </c>
      <c r="E2211" t="s">
        <v>74</v>
      </c>
      <c r="F2211" t="s">
        <v>54</v>
      </c>
      <c r="G2211">
        <v>2225.81</v>
      </c>
      <c r="H2211" t="s">
        <v>98</v>
      </c>
      <c r="I2211" t="s">
        <v>36</v>
      </c>
      <c r="J2211" t="s">
        <v>65</v>
      </c>
    </row>
    <row r="2212" spans="1:10" x14ac:dyDescent="0.35">
      <c r="A2212" t="s">
        <v>2396</v>
      </c>
      <c r="B2212" s="1">
        <v>46058</v>
      </c>
      <c r="C2212" t="s">
        <v>259</v>
      </c>
      <c r="D2212" t="s">
        <v>59</v>
      </c>
      <c r="E2212" t="s">
        <v>199</v>
      </c>
      <c r="F2212" t="s">
        <v>14</v>
      </c>
      <c r="G2212">
        <v>112.92</v>
      </c>
      <c r="H2212" t="s">
        <v>21</v>
      </c>
      <c r="I2212" t="s">
        <v>84</v>
      </c>
      <c r="J2212" t="s">
        <v>170</v>
      </c>
    </row>
    <row r="2213" spans="1:10" x14ac:dyDescent="0.35">
      <c r="A2213" t="s">
        <v>2397</v>
      </c>
      <c r="B2213" s="1">
        <v>46058</v>
      </c>
      <c r="C2213" t="s">
        <v>308</v>
      </c>
      <c r="D2213" t="s">
        <v>54</v>
      </c>
      <c r="E2213" t="s">
        <v>64</v>
      </c>
      <c r="F2213" t="s">
        <v>54</v>
      </c>
      <c r="G2213">
        <v>297.99</v>
      </c>
      <c r="H2213" t="s">
        <v>15</v>
      </c>
      <c r="I2213" t="s">
        <v>36</v>
      </c>
      <c r="J2213" t="s">
        <v>89</v>
      </c>
    </row>
    <row r="2214" spans="1:10" x14ac:dyDescent="0.35">
      <c r="A2214" t="s">
        <v>2398</v>
      </c>
      <c r="B2214" s="1">
        <v>46058</v>
      </c>
      <c r="C2214" t="s">
        <v>140</v>
      </c>
      <c r="D2214" t="s">
        <v>80</v>
      </c>
      <c r="E2214" t="s">
        <v>81</v>
      </c>
      <c r="F2214" t="s">
        <v>14</v>
      </c>
      <c r="G2214">
        <v>161.83000000000001</v>
      </c>
      <c r="H2214" t="s">
        <v>15</v>
      </c>
      <c r="I2214" t="s">
        <v>22</v>
      </c>
      <c r="J2214" t="s">
        <v>141</v>
      </c>
    </row>
    <row r="2215" spans="1:10" x14ac:dyDescent="0.35">
      <c r="A2215" t="s">
        <v>2399</v>
      </c>
      <c r="B2215" s="1">
        <v>46058</v>
      </c>
      <c r="C2215" t="s">
        <v>73</v>
      </c>
      <c r="D2215" t="s">
        <v>54</v>
      </c>
      <c r="E2215" t="s">
        <v>74</v>
      </c>
      <c r="F2215" t="s">
        <v>54</v>
      </c>
      <c r="G2215">
        <v>2319.4499999999998</v>
      </c>
      <c r="H2215" t="s">
        <v>21</v>
      </c>
      <c r="I2215" t="s">
        <v>22</v>
      </c>
      <c r="J2215" t="s">
        <v>65</v>
      </c>
    </row>
    <row r="2216" spans="1:10" x14ac:dyDescent="0.35">
      <c r="A2216" t="s">
        <v>2400</v>
      </c>
      <c r="B2216" s="1">
        <v>46058</v>
      </c>
      <c r="C2216" t="s">
        <v>424</v>
      </c>
      <c r="D2216" t="s">
        <v>101</v>
      </c>
      <c r="E2216" t="s">
        <v>136</v>
      </c>
      <c r="F2216" t="s">
        <v>14</v>
      </c>
      <c r="G2216">
        <v>78.709999999999994</v>
      </c>
      <c r="H2216" t="s">
        <v>15</v>
      </c>
      <c r="I2216" t="s">
        <v>36</v>
      </c>
      <c r="J2216" t="s">
        <v>102</v>
      </c>
    </row>
    <row r="2217" spans="1:10" x14ac:dyDescent="0.35">
      <c r="A2217" t="s">
        <v>2401</v>
      </c>
      <c r="B2217" s="1">
        <v>46058</v>
      </c>
      <c r="C2217" t="s">
        <v>168</v>
      </c>
      <c r="D2217" t="s">
        <v>59</v>
      </c>
      <c r="E2217" t="s">
        <v>60</v>
      </c>
      <c r="F2217" t="s">
        <v>14</v>
      </c>
      <c r="G2217">
        <v>781.54</v>
      </c>
      <c r="H2217" t="s">
        <v>21</v>
      </c>
      <c r="I2217" t="s">
        <v>22</v>
      </c>
      <c r="J2217" t="s">
        <v>170</v>
      </c>
    </row>
    <row r="2218" spans="1:10" x14ac:dyDescent="0.35">
      <c r="A2218" t="s">
        <v>2402</v>
      </c>
      <c r="B2218" s="1">
        <v>46059</v>
      </c>
      <c r="C2218" t="s">
        <v>76</v>
      </c>
      <c r="D2218" t="s">
        <v>12</v>
      </c>
      <c r="E2218" t="s">
        <v>13</v>
      </c>
      <c r="F2218" t="s">
        <v>14</v>
      </c>
      <c r="G2218">
        <v>33.67</v>
      </c>
      <c r="H2218" t="s">
        <v>21</v>
      </c>
      <c r="I2218" t="s">
        <v>36</v>
      </c>
      <c r="J2218" t="s">
        <v>77</v>
      </c>
    </row>
    <row r="2219" spans="1:10" x14ac:dyDescent="0.35">
      <c r="A2219" t="s">
        <v>2403</v>
      </c>
      <c r="B2219" s="1">
        <v>46059</v>
      </c>
      <c r="C2219" t="s">
        <v>19</v>
      </c>
      <c r="D2219" t="s">
        <v>12</v>
      </c>
      <c r="E2219" t="s">
        <v>13</v>
      </c>
      <c r="F2219" t="s">
        <v>14</v>
      </c>
      <c r="G2219">
        <v>74.59</v>
      </c>
      <c r="H2219" t="s">
        <v>15</v>
      </c>
      <c r="I2219" t="s">
        <v>36</v>
      </c>
      <c r="J2219" t="s">
        <v>23</v>
      </c>
    </row>
    <row r="2220" spans="1:10" x14ac:dyDescent="0.35">
      <c r="A2220" t="s">
        <v>2404</v>
      </c>
      <c r="B2220" s="1">
        <v>46059</v>
      </c>
      <c r="C2220" t="s">
        <v>163</v>
      </c>
      <c r="D2220" t="s">
        <v>80</v>
      </c>
      <c r="E2220" t="s">
        <v>92</v>
      </c>
      <c r="F2220" t="s">
        <v>14</v>
      </c>
      <c r="G2220">
        <v>123.91</v>
      </c>
      <c r="H2220" t="s">
        <v>15</v>
      </c>
      <c r="I2220" t="s">
        <v>36</v>
      </c>
      <c r="J2220" t="s">
        <v>118</v>
      </c>
    </row>
    <row r="2221" spans="1:10" x14ac:dyDescent="0.35">
      <c r="A2221" t="s">
        <v>2405</v>
      </c>
      <c r="B2221" s="1">
        <v>46060</v>
      </c>
      <c r="C2221" t="s">
        <v>272</v>
      </c>
      <c r="D2221" t="s">
        <v>54</v>
      </c>
      <c r="E2221" t="s">
        <v>55</v>
      </c>
      <c r="F2221" t="s">
        <v>54</v>
      </c>
      <c r="G2221">
        <v>820.26</v>
      </c>
      <c r="H2221" t="s">
        <v>15</v>
      </c>
      <c r="I2221" t="s">
        <v>47</v>
      </c>
      <c r="J2221" t="s">
        <v>65</v>
      </c>
    </row>
    <row r="2222" spans="1:10" x14ac:dyDescent="0.35">
      <c r="A2222" t="s">
        <v>2406</v>
      </c>
      <c r="B2222" s="1">
        <v>46060</v>
      </c>
      <c r="C2222" t="s">
        <v>269</v>
      </c>
      <c r="D2222" t="s">
        <v>34</v>
      </c>
      <c r="E2222" t="s">
        <v>35</v>
      </c>
      <c r="F2222" t="s">
        <v>14</v>
      </c>
      <c r="G2222">
        <v>209.81</v>
      </c>
      <c r="H2222" t="s">
        <v>21</v>
      </c>
      <c r="I2222" t="s">
        <v>22</v>
      </c>
      <c r="J2222" t="s">
        <v>123</v>
      </c>
    </row>
    <row r="2223" spans="1:10" x14ac:dyDescent="0.35">
      <c r="A2223" t="s">
        <v>2407</v>
      </c>
      <c r="B2223" s="1">
        <v>46060</v>
      </c>
      <c r="C2223" t="s">
        <v>33</v>
      </c>
      <c r="D2223" t="s">
        <v>34</v>
      </c>
      <c r="E2223" t="s">
        <v>35</v>
      </c>
      <c r="F2223" t="s">
        <v>14</v>
      </c>
      <c r="G2223">
        <v>313.08</v>
      </c>
      <c r="H2223" t="s">
        <v>15</v>
      </c>
      <c r="I2223" t="s">
        <v>84</v>
      </c>
      <c r="J2223" t="s">
        <v>37</v>
      </c>
    </row>
    <row r="2224" spans="1:10" x14ac:dyDescent="0.35">
      <c r="A2224" t="s">
        <v>2408</v>
      </c>
      <c r="B2224" s="1">
        <v>46060</v>
      </c>
      <c r="C2224" t="s">
        <v>175</v>
      </c>
      <c r="D2224" t="s">
        <v>80</v>
      </c>
      <c r="E2224" t="s">
        <v>92</v>
      </c>
      <c r="F2224" t="s">
        <v>14</v>
      </c>
      <c r="G2224">
        <v>65.58</v>
      </c>
      <c r="H2224" t="s">
        <v>98</v>
      </c>
      <c r="I2224" t="s">
        <v>47</v>
      </c>
      <c r="J2224" t="s">
        <v>141</v>
      </c>
    </row>
    <row r="2225" spans="1:10" x14ac:dyDescent="0.35">
      <c r="A2225" t="s">
        <v>2409</v>
      </c>
      <c r="B2225" s="1">
        <v>46060</v>
      </c>
      <c r="C2225" t="s">
        <v>324</v>
      </c>
      <c r="D2225" t="s">
        <v>80</v>
      </c>
      <c r="E2225" t="s">
        <v>92</v>
      </c>
      <c r="F2225" t="s">
        <v>14</v>
      </c>
      <c r="G2225">
        <v>27.49</v>
      </c>
      <c r="H2225" t="s">
        <v>15</v>
      </c>
      <c r="I2225" t="s">
        <v>22</v>
      </c>
      <c r="J2225" t="s">
        <v>161</v>
      </c>
    </row>
    <row r="2226" spans="1:10" x14ac:dyDescent="0.35">
      <c r="A2226" t="s">
        <v>2410</v>
      </c>
      <c r="B2226" s="1">
        <v>46060</v>
      </c>
      <c r="C2226" t="s">
        <v>94</v>
      </c>
      <c r="D2226" t="s">
        <v>29</v>
      </c>
      <c r="E2226" t="s">
        <v>95</v>
      </c>
      <c r="F2226" t="s">
        <v>14</v>
      </c>
      <c r="G2226">
        <v>21.65</v>
      </c>
      <c r="H2226" t="s">
        <v>15</v>
      </c>
      <c r="I2226" t="s">
        <v>22</v>
      </c>
      <c r="J2226" t="s">
        <v>96</v>
      </c>
    </row>
    <row r="2227" spans="1:10" x14ac:dyDescent="0.35">
      <c r="A2227" t="s">
        <v>2411</v>
      </c>
      <c r="B2227" s="1">
        <v>46061</v>
      </c>
      <c r="C2227" t="s">
        <v>116</v>
      </c>
      <c r="D2227" t="s">
        <v>80</v>
      </c>
      <c r="E2227" t="s">
        <v>117</v>
      </c>
      <c r="F2227" t="s">
        <v>14</v>
      </c>
      <c r="G2227">
        <v>250</v>
      </c>
      <c r="H2227" t="s">
        <v>21</v>
      </c>
      <c r="I2227" t="s">
        <v>22</v>
      </c>
      <c r="J2227" t="s">
        <v>118</v>
      </c>
    </row>
    <row r="2228" spans="1:10" x14ac:dyDescent="0.35">
      <c r="A2228" t="s">
        <v>2412</v>
      </c>
      <c r="B2228" s="1">
        <v>46061</v>
      </c>
      <c r="C2228" t="s">
        <v>135</v>
      </c>
      <c r="D2228" t="s">
        <v>101</v>
      </c>
      <c r="E2228" t="s">
        <v>102</v>
      </c>
      <c r="F2228" t="s">
        <v>14</v>
      </c>
      <c r="G2228">
        <v>63.16</v>
      </c>
      <c r="H2228" t="s">
        <v>15</v>
      </c>
      <c r="I2228" t="s">
        <v>47</v>
      </c>
      <c r="J2228" t="s">
        <v>136</v>
      </c>
    </row>
    <row r="2229" spans="1:10" x14ac:dyDescent="0.35">
      <c r="A2229" t="s">
        <v>2413</v>
      </c>
      <c r="B2229" s="1">
        <v>46061</v>
      </c>
      <c r="C2229" t="s">
        <v>63</v>
      </c>
      <c r="D2229" t="s">
        <v>54</v>
      </c>
      <c r="E2229" t="s">
        <v>64</v>
      </c>
      <c r="F2229" t="s">
        <v>54</v>
      </c>
      <c r="G2229">
        <v>323.14999999999998</v>
      </c>
      <c r="H2229" t="s">
        <v>21</v>
      </c>
      <c r="I2229" t="s">
        <v>47</v>
      </c>
      <c r="J2229" t="s">
        <v>65</v>
      </c>
    </row>
    <row r="2230" spans="1:10" x14ac:dyDescent="0.35">
      <c r="A2230" t="s">
        <v>2414</v>
      </c>
      <c r="B2230" s="1">
        <v>46061</v>
      </c>
      <c r="C2230" t="s">
        <v>94</v>
      </c>
      <c r="D2230" t="s">
        <v>29</v>
      </c>
      <c r="E2230" t="s">
        <v>95</v>
      </c>
      <c r="F2230" t="s">
        <v>14</v>
      </c>
      <c r="G2230">
        <v>67.209999999999994</v>
      </c>
      <c r="H2230" t="s">
        <v>15</v>
      </c>
      <c r="I2230" t="s">
        <v>22</v>
      </c>
      <c r="J2230" t="s">
        <v>96</v>
      </c>
    </row>
    <row r="2231" spans="1:10" x14ac:dyDescent="0.35">
      <c r="A2231" t="s">
        <v>2415</v>
      </c>
      <c r="B2231" s="1">
        <v>46061</v>
      </c>
      <c r="C2231" t="s">
        <v>227</v>
      </c>
      <c r="D2231" t="s">
        <v>12</v>
      </c>
      <c r="E2231" t="s">
        <v>51</v>
      </c>
      <c r="F2231" t="s">
        <v>14</v>
      </c>
      <c r="G2231">
        <v>44.2</v>
      </c>
      <c r="H2231" t="s">
        <v>21</v>
      </c>
      <c r="I2231" t="s">
        <v>36</v>
      </c>
      <c r="J2231" t="s">
        <v>17</v>
      </c>
    </row>
    <row r="2232" spans="1:10" x14ac:dyDescent="0.35">
      <c r="A2232" t="s">
        <v>2416</v>
      </c>
      <c r="B2232" s="1">
        <v>46061</v>
      </c>
      <c r="C2232" t="s">
        <v>206</v>
      </c>
      <c r="D2232" t="s">
        <v>29</v>
      </c>
      <c r="E2232" t="s">
        <v>95</v>
      </c>
      <c r="F2232" t="s">
        <v>14</v>
      </c>
      <c r="G2232">
        <v>78.94</v>
      </c>
      <c r="H2232" t="s">
        <v>15</v>
      </c>
      <c r="I2232" t="s">
        <v>22</v>
      </c>
      <c r="J2232" t="s">
        <v>31</v>
      </c>
    </row>
    <row r="2233" spans="1:10" x14ac:dyDescent="0.35">
      <c r="A2233" t="s">
        <v>2417</v>
      </c>
      <c r="B2233" s="1">
        <v>46061</v>
      </c>
      <c r="C2233" t="s">
        <v>109</v>
      </c>
      <c r="D2233" t="s">
        <v>34</v>
      </c>
      <c r="E2233" t="s">
        <v>35</v>
      </c>
      <c r="F2233" t="s">
        <v>14</v>
      </c>
      <c r="G2233">
        <v>214.76</v>
      </c>
      <c r="H2233" t="s">
        <v>15</v>
      </c>
      <c r="I2233" t="s">
        <v>36</v>
      </c>
      <c r="J2233" t="s">
        <v>41</v>
      </c>
    </row>
    <row r="2234" spans="1:10" x14ac:dyDescent="0.35">
      <c r="A2234" t="s">
        <v>2418</v>
      </c>
      <c r="B2234" s="1">
        <v>46061</v>
      </c>
      <c r="C2234" t="s">
        <v>125</v>
      </c>
      <c r="D2234" t="s">
        <v>12</v>
      </c>
      <c r="E2234" t="s">
        <v>13</v>
      </c>
      <c r="F2234" t="s">
        <v>14</v>
      </c>
      <c r="G2234">
        <v>97.59</v>
      </c>
      <c r="H2234" t="s">
        <v>98</v>
      </c>
      <c r="I2234" t="s">
        <v>22</v>
      </c>
      <c r="J2234" t="s">
        <v>44</v>
      </c>
    </row>
    <row r="2235" spans="1:10" x14ac:dyDescent="0.35">
      <c r="A2235" t="s">
        <v>2419</v>
      </c>
      <c r="B2235" s="1">
        <v>46062</v>
      </c>
      <c r="C2235" t="s">
        <v>150</v>
      </c>
      <c r="D2235" t="s">
        <v>29</v>
      </c>
      <c r="E2235" t="s">
        <v>30</v>
      </c>
      <c r="F2235" t="s">
        <v>14</v>
      </c>
      <c r="G2235">
        <v>11.57</v>
      </c>
      <c r="H2235" t="s">
        <v>15</v>
      </c>
      <c r="I2235" t="s">
        <v>22</v>
      </c>
      <c r="J2235" t="s">
        <v>151</v>
      </c>
    </row>
    <row r="2236" spans="1:10" x14ac:dyDescent="0.35">
      <c r="A2236" t="s">
        <v>2420</v>
      </c>
      <c r="B2236" s="1">
        <v>46062</v>
      </c>
      <c r="C2236" t="s">
        <v>238</v>
      </c>
      <c r="D2236" t="s">
        <v>34</v>
      </c>
      <c r="E2236" t="s">
        <v>35</v>
      </c>
      <c r="F2236" t="s">
        <v>14</v>
      </c>
      <c r="G2236">
        <v>177.43</v>
      </c>
      <c r="H2236" t="s">
        <v>21</v>
      </c>
      <c r="I2236" t="s">
        <v>47</v>
      </c>
      <c r="J2236" t="s">
        <v>239</v>
      </c>
    </row>
    <row r="2237" spans="1:10" x14ac:dyDescent="0.35">
      <c r="A2237" t="s">
        <v>2421</v>
      </c>
      <c r="B2237" s="1">
        <v>46062</v>
      </c>
      <c r="C2237" t="s">
        <v>135</v>
      </c>
      <c r="D2237" t="s">
        <v>101</v>
      </c>
      <c r="E2237" t="s">
        <v>102</v>
      </c>
      <c r="F2237" t="s">
        <v>14</v>
      </c>
      <c r="G2237">
        <v>159.41999999999999</v>
      </c>
      <c r="H2237" t="s">
        <v>98</v>
      </c>
      <c r="I2237" t="s">
        <v>16</v>
      </c>
      <c r="J2237" t="s">
        <v>136</v>
      </c>
    </row>
    <row r="2238" spans="1:10" x14ac:dyDescent="0.35">
      <c r="A2238" t="s">
        <v>2422</v>
      </c>
      <c r="B2238" s="1">
        <v>46062</v>
      </c>
      <c r="C2238" t="s">
        <v>91</v>
      </c>
      <c r="D2238" t="s">
        <v>80</v>
      </c>
      <c r="E2238" t="s">
        <v>92</v>
      </c>
      <c r="F2238" t="s">
        <v>14</v>
      </c>
      <c r="G2238">
        <v>48.79</v>
      </c>
      <c r="H2238" t="s">
        <v>15</v>
      </c>
      <c r="I2238" t="s">
        <v>36</v>
      </c>
      <c r="J2238" t="s">
        <v>82</v>
      </c>
    </row>
    <row r="2239" spans="1:10" x14ac:dyDescent="0.35">
      <c r="A2239" t="s">
        <v>2423</v>
      </c>
      <c r="B2239" s="1">
        <v>46062</v>
      </c>
      <c r="C2239" t="s">
        <v>43</v>
      </c>
      <c r="D2239" t="s">
        <v>12</v>
      </c>
      <c r="E2239" t="s">
        <v>26</v>
      </c>
      <c r="F2239" t="s">
        <v>14</v>
      </c>
      <c r="G2239">
        <v>103.66</v>
      </c>
      <c r="H2239" t="s">
        <v>21</v>
      </c>
      <c r="I2239" t="s">
        <v>84</v>
      </c>
      <c r="J2239" t="s">
        <v>44</v>
      </c>
    </row>
    <row r="2240" spans="1:10" x14ac:dyDescent="0.35">
      <c r="A2240" t="s">
        <v>2424</v>
      </c>
      <c r="B2240" s="1">
        <v>46062</v>
      </c>
      <c r="C2240" t="s">
        <v>155</v>
      </c>
      <c r="D2240" t="s">
        <v>12</v>
      </c>
      <c r="E2240" t="s">
        <v>51</v>
      </c>
      <c r="F2240" t="s">
        <v>14</v>
      </c>
      <c r="G2240">
        <v>33.44</v>
      </c>
      <c r="H2240" t="s">
        <v>21</v>
      </c>
      <c r="I2240" t="s">
        <v>84</v>
      </c>
      <c r="J2240" t="s">
        <v>48</v>
      </c>
    </row>
    <row r="2241" spans="1:10" x14ac:dyDescent="0.35">
      <c r="A2241" t="s">
        <v>2425</v>
      </c>
      <c r="B2241" s="1">
        <v>46062</v>
      </c>
      <c r="C2241" t="s">
        <v>33</v>
      </c>
      <c r="D2241" t="s">
        <v>34</v>
      </c>
      <c r="E2241" t="s">
        <v>35</v>
      </c>
      <c r="F2241" t="s">
        <v>14</v>
      </c>
      <c r="G2241">
        <v>93.63</v>
      </c>
      <c r="H2241" t="s">
        <v>15</v>
      </c>
      <c r="I2241" t="s">
        <v>22</v>
      </c>
      <c r="J2241" t="s">
        <v>37</v>
      </c>
    </row>
    <row r="2242" spans="1:10" x14ac:dyDescent="0.35">
      <c r="A2242" t="s">
        <v>2426</v>
      </c>
      <c r="B2242" s="1">
        <v>46062</v>
      </c>
      <c r="C2242" t="s">
        <v>298</v>
      </c>
      <c r="D2242" t="s">
        <v>59</v>
      </c>
      <c r="E2242" t="s">
        <v>185</v>
      </c>
      <c r="F2242" t="s">
        <v>14</v>
      </c>
      <c r="G2242">
        <v>72.23</v>
      </c>
      <c r="H2242" t="s">
        <v>15</v>
      </c>
      <c r="I2242" t="s">
        <v>16</v>
      </c>
      <c r="J2242" t="s">
        <v>170</v>
      </c>
    </row>
    <row r="2243" spans="1:10" x14ac:dyDescent="0.35">
      <c r="A2243" t="s">
        <v>2427</v>
      </c>
      <c r="B2243" s="1">
        <v>46063</v>
      </c>
      <c r="C2243" t="s">
        <v>543</v>
      </c>
      <c r="D2243" t="s">
        <v>69</v>
      </c>
      <c r="E2243" t="s">
        <v>70</v>
      </c>
      <c r="F2243" t="s">
        <v>14</v>
      </c>
      <c r="G2243">
        <v>167.44</v>
      </c>
      <c r="H2243" t="s">
        <v>15</v>
      </c>
      <c r="I2243" t="s">
        <v>16</v>
      </c>
      <c r="J2243" t="s">
        <v>292</v>
      </c>
    </row>
    <row r="2244" spans="1:10" x14ac:dyDescent="0.35">
      <c r="A2244" t="s">
        <v>2428</v>
      </c>
      <c r="B2244" s="1">
        <v>46063</v>
      </c>
      <c r="C2244" t="s">
        <v>100</v>
      </c>
      <c r="D2244" t="s">
        <v>101</v>
      </c>
      <c r="E2244" t="s">
        <v>102</v>
      </c>
      <c r="F2244" t="s">
        <v>14</v>
      </c>
      <c r="G2244">
        <v>102.11</v>
      </c>
      <c r="H2244" t="s">
        <v>21</v>
      </c>
      <c r="I2244" t="s">
        <v>16</v>
      </c>
      <c r="J2244" t="s">
        <v>103</v>
      </c>
    </row>
    <row r="2245" spans="1:10" x14ac:dyDescent="0.35">
      <c r="A2245" t="s">
        <v>2429</v>
      </c>
      <c r="B2245" s="1">
        <v>46063</v>
      </c>
      <c r="C2245" t="s">
        <v>160</v>
      </c>
      <c r="D2245" t="s">
        <v>80</v>
      </c>
      <c r="E2245" t="s">
        <v>117</v>
      </c>
      <c r="F2245" t="s">
        <v>14</v>
      </c>
      <c r="G2245">
        <v>44.38</v>
      </c>
      <c r="H2245" t="s">
        <v>98</v>
      </c>
      <c r="I2245" t="s">
        <v>22</v>
      </c>
      <c r="J2245" t="s">
        <v>161</v>
      </c>
    </row>
    <row r="2246" spans="1:10" x14ac:dyDescent="0.35">
      <c r="A2246" t="s">
        <v>2430</v>
      </c>
      <c r="B2246" s="1">
        <v>46063</v>
      </c>
      <c r="C2246" t="s">
        <v>58</v>
      </c>
      <c r="D2246" t="s">
        <v>59</v>
      </c>
      <c r="E2246" t="s">
        <v>60</v>
      </c>
      <c r="F2246" t="s">
        <v>14</v>
      </c>
      <c r="G2246">
        <v>277.17</v>
      </c>
      <c r="H2246" t="s">
        <v>15</v>
      </c>
      <c r="I2246" t="s">
        <v>36</v>
      </c>
      <c r="J2246" t="s">
        <v>61</v>
      </c>
    </row>
    <row r="2247" spans="1:10" x14ac:dyDescent="0.35">
      <c r="A2247" t="s">
        <v>2431</v>
      </c>
      <c r="B2247" s="1">
        <v>46063</v>
      </c>
      <c r="C2247" t="s">
        <v>215</v>
      </c>
      <c r="D2247" t="s">
        <v>80</v>
      </c>
      <c r="E2247" t="s">
        <v>117</v>
      </c>
      <c r="F2247" t="s">
        <v>14</v>
      </c>
      <c r="G2247">
        <v>107.35</v>
      </c>
      <c r="H2247" t="s">
        <v>15</v>
      </c>
      <c r="I2247" t="s">
        <v>47</v>
      </c>
      <c r="J2247" t="s">
        <v>141</v>
      </c>
    </row>
    <row r="2248" spans="1:10" x14ac:dyDescent="0.35">
      <c r="A2248" t="s">
        <v>2432</v>
      </c>
      <c r="B2248" s="1">
        <v>46064</v>
      </c>
      <c r="C2248" t="s">
        <v>411</v>
      </c>
      <c r="D2248" t="s">
        <v>29</v>
      </c>
      <c r="E2248" t="s">
        <v>151</v>
      </c>
      <c r="F2248" t="s">
        <v>14</v>
      </c>
      <c r="G2248">
        <v>57.65</v>
      </c>
      <c r="H2248" t="s">
        <v>15</v>
      </c>
      <c r="I2248" t="s">
        <v>47</v>
      </c>
      <c r="J2248" t="s">
        <v>151</v>
      </c>
    </row>
    <row r="2249" spans="1:10" x14ac:dyDescent="0.35">
      <c r="A2249" t="s">
        <v>2433</v>
      </c>
      <c r="B2249" s="1">
        <v>46064</v>
      </c>
      <c r="C2249" t="s">
        <v>259</v>
      </c>
      <c r="D2249" t="s">
        <v>59</v>
      </c>
      <c r="E2249" t="s">
        <v>199</v>
      </c>
      <c r="F2249" t="s">
        <v>14</v>
      </c>
      <c r="G2249">
        <v>467.88</v>
      </c>
      <c r="H2249" t="s">
        <v>15</v>
      </c>
      <c r="I2249" t="s">
        <v>36</v>
      </c>
      <c r="J2249" t="s">
        <v>170</v>
      </c>
    </row>
    <row r="2250" spans="1:10" x14ac:dyDescent="0.35">
      <c r="A2250" t="s">
        <v>2434</v>
      </c>
      <c r="B2250" s="1">
        <v>46064</v>
      </c>
      <c r="C2250" t="s">
        <v>269</v>
      </c>
      <c r="D2250" t="s">
        <v>34</v>
      </c>
      <c r="E2250" t="s">
        <v>35</v>
      </c>
      <c r="F2250" t="s">
        <v>14</v>
      </c>
      <c r="G2250">
        <v>73.88</v>
      </c>
      <c r="H2250" t="s">
        <v>15</v>
      </c>
      <c r="I2250" t="s">
        <v>22</v>
      </c>
      <c r="J2250" t="s">
        <v>123</v>
      </c>
    </row>
    <row r="2251" spans="1:10" x14ac:dyDescent="0.35">
      <c r="A2251" t="s">
        <v>2435</v>
      </c>
      <c r="B2251" s="1">
        <v>46064</v>
      </c>
      <c r="C2251" t="s">
        <v>76</v>
      </c>
      <c r="D2251" t="s">
        <v>12</v>
      </c>
      <c r="E2251" t="s">
        <v>13</v>
      </c>
      <c r="F2251" t="s">
        <v>14</v>
      </c>
      <c r="G2251">
        <v>11.91</v>
      </c>
      <c r="H2251" t="s">
        <v>98</v>
      </c>
      <c r="I2251" t="s">
        <v>16</v>
      </c>
      <c r="J2251" t="s">
        <v>77</v>
      </c>
    </row>
    <row r="2252" spans="1:10" x14ac:dyDescent="0.35">
      <c r="A2252" t="s">
        <v>2436</v>
      </c>
      <c r="B2252" s="1">
        <v>46064</v>
      </c>
      <c r="C2252" t="s">
        <v>168</v>
      </c>
      <c r="D2252" t="s">
        <v>59</v>
      </c>
      <c r="E2252" t="s">
        <v>60</v>
      </c>
      <c r="F2252" t="s">
        <v>14</v>
      </c>
      <c r="G2252">
        <v>806.01</v>
      </c>
      <c r="H2252" t="s">
        <v>21</v>
      </c>
      <c r="I2252" t="s">
        <v>36</v>
      </c>
      <c r="J2252" t="s">
        <v>170</v>
      </c>
    </row>
    <row r="2253" spans="1:10" x14ac:dyDescent="0.35">
      <c r="A2253" t="s">
        <v>2437</v>
      </c>
      <c r="B2253" s="1">
        <v>46064</v>
      </c>
      <c r="C2253" t="s">
        <v>125</v>
      </c>
      <c r="D2253" t="s">
        <v>12</v>
      </c>
      <c r="E2253" t="s">
        <v>13</v>
      </c>
      <c r="F2253" t="s">
        <v>14</v>
      </c>
      <c r="G2253">
        <v>149.46</v>
      </c>
      <c r="H2253" t="s">
        <v>21</v>
      </c>
      <c r="I2253" t="s">
        <v>36</v>
      </c>
      <c r="J2253" t="s">
        <v>44</v>
      </c>
    </row>
    <row r="2254" spans="1:10" x14ac:dyDescent="0.35">
      <c r="A2254" t="s">
        <v>2438</v>
      </c>
      <c r="B2254" s="1">
        <v>46065</v>
      </c>
      <c r="C2254" t="s">
        <v>121</v>
      </c>
      <c r="D2254" t="s">
        <v>34</v>
      </c>
      <c r="E2254" t="s">
        <v>122</v>
      </c>
      <c r="F2254" t="s">
        <v>14</v>
      </c>
      <c r="G2254">
        <v>142.15</v>
      </c>
      <c r="H2254" t="s">
        <v>15</v>
      </c>
      <c r="I2254" t="s">
        <v>22</v>
      </c>
      <c r="J2254" t="s">
        <v>123</v>
      </c>
    </row>
    <row r="2255" spans="1:10" x14ac:dyDescent="0.35">
      <c r="A2255" t="s">
        <v>2439</v>
      </c>
      <c r="B2255" s="1">
        <v>46065</v>
      </c>
      <c r="C2255" t="s">
        <v>272</v>
      </c>
      <c r="D2255" t="s">
        <v>54</v>
      </c>
      <c r="E2255" t="s">
        <v>55</v>
      </c>
      <c r="F2255" t="s">
        <v>54</v>
      </c>
      <c r="G2255">
        <v>604.53</v>
      </c>
      <c r="H2255" t="s">
        <v>98</v>
      </c>
      <c r="I2255" t="s">
        <v>22</v>
      </c>
      <c r="J2255" t="s">
        <v>65</v>
      </c>
    </row>
    <row r="2256" spans="1:10" x14ac:dyDescent="0.35">
      <c r="A2256" t="s">
        <v>2440</v>
      </c>
      <c r="B2256" s="1">
        <v>46065</v>
      </c>
      <c r="C2256" t="s">
        <v>248</v>
      </c>
      <c r="D2256" t="s">
        <v>80</v>
      </c>
      <c r="E2256" t="s">
        <v>81</v>
      </c>
      <c r="F2256" t="s">
        <v>14</v>
      </c>
      <c r="G2256">
        <v>123.32</v>
      </c>
      <c r="H2256" t="s">
        <v>15</v>
      </c>
      <c r="I2256" t="s">
        <v>22</v>
      </c>
      <c r="J2256" t="s">
        <v>161</v>
      </c>
    </row>
    <row r="2257" spans="1:10" x14ac:dyDescent="0.35">
      <c r="A2257" t="s">
        <v>2441</v>
      </c>
      <c r="B2257" s="1">
        <v>46065</v>
      </c>
      <c r="C2257" t="s">
        <v>153</v>
      </c>
      <c r="D2257" t="s">
        <v>34</v>
      </c>
      <c r="E2257" t="s">
        <v>122</v>
      </c>
      <c r="F2257" t="s">
        <v>14</v>
      </c>
      <c r="G2257">
        <v>178.42</v>
      </c>
      <c r="H2257" t="s">
        <v>21</v>
      </c>
      <c r="I2257" t="s">
        <v>22</v>
      </c>
      <c r="J2257" t="s">
        <v>41</v>
      </c>
    </row>
    <row r="2258" spans="1:10" x14ac:dyDescent="0.35">
      <c r="A2258" t="s">
        <v>2442</v>
      </c>
      <c r="B2258" s="1">
        <v>46065</v>
      </c>
      <c r="C2258" t="s">
        <v>88</v>
      </c>
      <c r="D2258" t="s">
        <v>54</v>
      </c>
      <c r="E2258" t="s">
        <v>74</v>
      </c>
      <c r="F2258" t="s">
        <v>54</v>
      </c>
      <c r="G2258">
        <v>2491.1799999999998</v>
      </c>
      <c r="H2258" t="s">
        <v>98</v>
      </c>
      <c r="I2258" t="s">
        <v>22</v>
      </c>
      <c r="J2258" t="s">
        <v>89</v>
      </c>
    </row>
    <row r="2259" spans="1:10" x14ac:dyDescent="0.35">
      <c r="A2259" t="s">
        <v>2443</v>
      </c>
      <c r="B2259" s="1">
        <v>46065</v>
      </c>
      <c r="C2259" t="s">
        <v>153</v>
      </c>
      <c r="D2259" t="s">
        <v>34</v>
      </c>
      <c r="E2259" t="s">
        <v>122</v>
      </c>
      <c r="F2259" t="s">
        <v>14</v>
      </c>
      <c r="G2259">
        <v>119.77</v>
      </c>
      <c r="H2259" t="s">
        <v>21</v>
      </c>
      <c r="I2259" t="s">
        <v>22</v>
      </c>
      <c r="J2259" t="s">
        <v>41</v>
      </c>
    </row>
    <row r="2260" spans="1:10" x14ac:dyDescent="0.35">
      <c r="A2260" t="s">
        <v>2444</v>
      </c>
      <c r="B2260" s="1">
        <v>46065</v>
      </c>
      <c r="C2260" t="s">
        <v>259</v>
      </c>
      <c r="D2260" t="s">
        <v>59</v>
      </c>
      <c r="E2260" t="s">
        <v>199</v>
      </c>
      <c r="F2260" t="s">
        <v>14</v>
      </c>
      <c r="G2260">
        <v>489.13</v>
      </c>
      <c r="H2260" t="s">
        <v>15</v>
      </c>
      <c r="I2260" t="s">
        <v>47</v>
      </c>
      <c r="J2260" t="s">
        <v>170</v>
      </c>
    </row>
    <row r="2261" spans="1:10" x14ac:dyDescent="0.35">
      <c r="A2261" t="s">
        <v>2445</v>
      </c>
      <c r="B2261" s="1">
        <v>46066</v>
      </c>
      <c r="C2261" t="s">
        <v>63</v>
      </c>
      <c r="D2261" t="s">
        <v>54</v>
      </c>
      <c r="E2261" t="s">
        <v>64</v>
      </c>
      <c r="F2261" t="s">
        <v>54</v>
      </c>
      <c r="G2261">
        <v>364.01</v>
      </c>
      <c r="H2261" t="s">
        <v>15</v>
      </c>
      <c r="I2261" t="s">
        <v>22</v>
      </c>
      <c r="J2261" t="s">
        <v>65</v>
      </c>
    </row>
    <row r="2262" spans="1:10" x14ac:dyDescent="0.35">
      <c r="A2262" t="s">
        <v>2446</v>
      </c>
      <c r="B2262" s="1">
        <v>46066</v>
      </c>
      <c r="C2262" t="s">
        <v>345</v>
      </c>
      <c r="D2262" t="s">
        <v>59</v>
      </c>
      <c r="E2262" t="s">
        <v>60</v>
      </c>
      <c r="F2262" t="s">
        <v>14</v>
      </c>
      <c r="G2262">
        <v>398.44</v>
      </c>
      <c r="H2262" t="s">
        <v>15</v>
      </c>
      <c r="I2262" t="s">
        <v>22</v>
      </c>
      <c r="J2262" t="s">
        <v>211</v>
      </c>
    </row>
    <row r="2263" spans="1:10" x14ac:dyDescent="0.35">
      <c r="A2263" t="s">
        <v>2447</v>
      </c>
      <c r="B2263" s="1">
        <v>46067</v>
      </c>
      <c r="C2263" t="s">
        <v>256</v>
      </c>
      <c r="D2263" t="s">
        <v>34</v>
      </c>
      <c r="E2263" t="s">
        <v>40</v>
      </c>
      <c r="F2263" t="s">
        <v>14</v>
      </c>
      <c r="G2263">
        <v>110.84</v>
      </c>
      <c r="H2263" t="s">
        <v>21</v>
      </c>
      <c r="I2263" t="s">
        <v>47</v>
      </c>
      <c r="J2263" t="s">
        <v>239</v>
      </c>
    </row>
    <row r="2264" spans="1:10" x14ac:dyDescent="0.35">
      <c r="A2264" t="s">
        <v>2448</v>
      </c>
      <c r="B2264" s="1">
        <v>46067</v>
      </c>
      <c r="C2264" t="s">
        <v>73</v>
      </c>
      <c r="D2264" t="s">
        <v>54</v>
      </c>
      <c r="E2264" t="s">
        <v>74</v>
      </c>
      <c r="F2264" t="s">
        <v>54</v>
      </c>
      <c r="G2264">
        <v>2721.92</v>
      </c>
      <c r="H2264" t="s">
        <v>15</v>
      </c>
      <c r="I2264" t="s">
        <v>36</v>
      </c>
      <c r="J2264" t="s">
        <v>65</v>
      </c>
    </row>
    <row r="2265" spans="1:10" x14ac:dyDescent="0.35">
      <c r="A2265" t="s">
        <v>2449</v>
      </c>
      <c r="B2265" s="1">
        <v>46067</v>
      </c>
      <c r="C2265" t="s">
        <v>350</v>
      </c>
      <c r="D2265" t="s">
        <v>29</v>
      </c>
      <c r="E2265" t="s">
        <v>151</v>
      </c>
      <c r="F2265" t="s">
        <v>14</v>
      </c>
      <c r="G2265">
        <v>17.059999999999999</v>
      </c>
      <c r="H2265" t="s">
        <v>21</v>
      </c>
      <c r="I2265" t="s">
        <v>36</v>
      </c>
      <c r="J2265" t="s">
        <v>158</v>
      </c>
    </row>
    <row r="2266" spans="1:10" x14ac:dyDescent="0.35">
      <c r="A2266" t="s">
        <v>2450</v>
      </c>
      <c r="B2266" s="1">
        <v>46067</v>
      </c>
      <c r="C2266" t="s">
        <v>281</v>
      </c>
      <c r="D2266" t="s">
        <v>34</v>
      </c>
      <c r="E2266" t="s">
        <v>40</v>
      </c>
      <c r="F2266" t="s">
        <v>14</v>
      </c>
      <c r="G2266">
        <v>182.14</v>
      </c>
      <c r="H2266" t="s">
        <v>15</v>
      </c>
      <c r="I2266" t="s">
        <v>22</v>
      </c>
      <c r="J2266" t="s">
        <v>123</v>
      </c>
    </row>
    <row r="2267" spans="1:10" x14ac:dyDescent="0.35">
      <c r="A2267" t="s">
        <v>2451</v>
      </c>
      <c r="B2267" s="1">
        <v>46068</v>
      </c>
      <c r="C2267" t="s">
        <v>168</v>
      </c>
      <c r="D2267" t="s">
        <v>59</v>
      </c>
      <c r="E2267" t="s">
        <v>60</v>
      </c>
      <c r="F2267" t="s">
        <v>14</v>
      </c>
      <c r="G2267">
        <v>342.26</v>
      </c>
      <c r="H2267" t="s">
        <v>15</v>
      </c>
      <c r="I2267" t="s">
        <v>22</v>
      </c>
      <c r="J2267" t="s">
        <v>170</v>
      </c>
    </row>
    <row r="2268" spans="1:10" x14ac:dyDescent="0.35">
      <c r="A2268" t="s">
        <v>2452</v>
      </c>
      <c r="B2268" s="1">
        <v>46068</v>
      </c>
      <c r="C2268" t="s">
        <v>121</v>
      </c>
      <c r="D2268" t="s">
        <v>34</v>
      </c>
      <c r="E2268" t="s">
        <v>122</v>
      </c>
      <c r="F2268" t="s">
        <v>14</v>
      </c>
      <c r="G2268">
        <v>194.81</v>
      </c>
      <c r="H2268" t="s">
        <v>15</v>
      </c>
      <c r="I2268" t="s">
        <v>84</v>
      </c>
      <c r="J2268" t="s">
        <v>123</v>
      </c>
    </row>
    <row r="2269" spans="1:10" x14ac:dyDescent="0.35">
      <c r="A2269" t="s">
        <v>2453</v>
      </c>
      <c r="B2269" s="1">
        <v>46068</v>
      </c>
      <c r="C2269" t="s">
        <v>308</v>
      </c>
      <c r="D2269" t="s">
        <v>54</v>
      </c>
      <c r="E2269" t="s">
        <v>64</v>
      </c>
      <c r="F2269" t="s">
        <v>54</v>
      </c>
      <c r="G2269">
        <v>365.91</v>
      </c>
      <c r="H2269" t="s">
        <v>21</v>
      </c>
      <c r="I2269" t="s">
        <v>22</v>
      </c>
      <c r="J2269" t="s">
        <v>89</v>
      </c>
    </row>
    <row r="2270" spans="1:10" x14ac:dyDescent="0.35">
      <c r="A2270" t="s">
        <v>2454</v>
      </c>
      <c r="B2270" s="1">
        <v>46068</v>
      </c>
      <c r="C2270" t="s">
        <v>572</v>
      </c>
      <c r="D2270" t="s">
        <v>69</v>
      </c>
      <c r="E2270" t="s">
        <v>233</v>
      </c>
      <c r="F2270" t="s">
        <v>14</v>
      </c>
      <c r="G2270">
        <v>303.89999999999998</v>
      </c>
      <c r="H2270" t="s">
        <v>15</v>
      </c>
      <c r="I2270" t="s">
        <v>47</v>
      </c>
      <c r="J2270" t="s">
        <v>292</v>
      </c>
    </row>
    <row r="2271" spans="1:10" x14ac:dyDescent="0.35">
      <c r="A2271" t="s">
        <v>2455</v>
      </c>
      <c r="B2271" s="1">
        <v>46069</v>
      </c>
      <c r="C2271" t="s">
        <v>198</v>
      </c>
      <c r="D2271" t="s">
        <v>59</v>
      </c>
      <c r="E2271" t="s">
        <v>199</v>
      </c>
      <c r="F2271" t="s">
        <v>14</v>
      </c>
      <c r="G2271">
        <v>142.34</v>
      </c>
      <c r="H2271" t="s">
        <v>15</v>
      </c>
      <c r="I2271" t="s">
        <v>47</v>
      </c>
      <c r="J2271" t="s">
        <v>61</v>
      </c>
    </row>
    <row r="2272" spans="1:10" x14ac:dyDescent="0.35">
      <c r="A2272" t="s">
        <v>2456</v>
      </c>
      <c r="B2272" s="1">
        <v>46069</v>
      </c>
      <c r="C2272" t="s">
        <v>347</v>
      </c>
      <c r="D2272" t="s">
        <v>29</v>
      </c>
      <c r="E2272" t="s">
        <v>151</v>
      </c>
      <c r="F2272" t="s">
        <v>14</v>
      </c>
      <c r="G2272">
        <v>28.3</v>
      </c>
      <c r="H2272" t="s">
        <v>21</v>
      </c>
      <c r="I2272" t="s">
        <v>36</v>
      </c>
      <c r="J2272" t="s">
        <v>96</v>
      </c>
    </row>
    <row r="2273" spans="1:10" x14ac:dyDescent="0.35">
      <c r="A2273" t="s">
        <v>2457</v>
      </c>
      <c r="B2273" s="1">
        <v>46069</v>
      </c>
      <c r="C2273" t="s">
        <v>179</v>
      </c>
      <c r="D2273" t="s">
        <v>80</v>
      </c>
      <c r="E2273" t="s">
        <v>117</v>
      </c>
      <c r="F2273" t="s">
        <v>14</v>
      </c>
      <c r="G2273">
        <v>76.55</v>
      </c>
      <c r="H2273" t="s">
        <v>21</v>
      </c>
      <c r="I2273" t="s">
        <v>22</v>
      </c>
      <c r="J2273" t="s">
        <v>180</v>
      </c>
    </row>
    <row r="2274" spans="1:10" x14ac:dyDescent="0.35">
      <c r="A2274" t="s">
        <v>2458</v>
      </c>
      <c r="B2274" s="1">
        <v>46069</v>
      </c>
      <c r="C2274" t="s">
        <v>125</v>
      </c>
      <c r="D2274" t="s">
        <v>12</v>
      </c>
      <c r="E2274" t="s">
        <v>13</v>
      </c>
      <c r="F2274" t="s">
        <v>14</v>
      </c>
      <c r="G2274">
        <v>32.67</v>
      </c>
      <c r="H2274" t="s">
        <v>21</v>
      </c>
      <c r="I2274" t="s">
        <v>22</v>
      </c>
      <c r="J2274" t="s">
        <v>44</v>
      </c>
    </row>
    <row r="2275" spans="1:10" x14ac:dyDescent="0.35">
      <c r="A2275" t="s">
        <v>2459</v>
      </c>
      <c r="B2275" s="1">
        <v>46070</v>
      </c>
      <c r="C2275" t="s">
        <v>46</v>
      </c>
      <c r="D2275" t="s">
        <v>12</v>
      </c>
      <c r="E2275" t="s">
        <v>13</v>
      </c>
      <c r="F2275" t="s">
        <v>14</v>
      </c>
      <c r="G2275">
        <v>42.76</v>
      </c>
      <c r="H2275" t="s">
        <v>15</v>
      </c>
      <c r="I2275" t="s">
        <v>16</v>
      </c>
      <c r="J2275" t="s">
        <v>48</v>
      </c>
    </row>
    <row r="2276" spans="1:10" x14ac:dyDescent="0.35">
      <c r="A2276" t="s">
        <v>2460</v>
      </c>
      <c r="B2276" s="1">
        <v>46070</v>
      </c>
      <c r="C2276" t="s">
        <v>125</v>
      </c>
      <c r="D2276" t="s">
        <v>12</v>
      </c>
      <c r="E2276" t="s">
        <v>13</v>
      </c>
      <c r="F2276" t="s">
        <v>14</v>
      </c>
      <c r="G2276">
        <v>8.06</v>
      </c>
      <c r="H2276" t="s">
        <v>15</v>
      </c>
      <c r="I2276" t="s">
        <v>47</v>
      </c>
      <c r="J2276" t="s">
        <v>44</v>
      </c>
    </row>
    <row r="2277" spans="1:10" x14ac:dyDescent="0.35">
      <c r="A2277" t="s">
        <v>2461</v>
      </c>
      <c r="B2277" s="1">
        <v>46070</v>
      </c>
      <c r="C2277" t="s">
        <v>68</v>
      </c>
      <c r="D2277" t="s">
        <v>69</v>
      </c>
      <c r="E2277" t="s">
        <v>70</v>
      </c>
      <c r="F2277" t="s">
        <v>14</v>
      </c>
      <c r="G2277">
        <v>470.57</v>
      </c>
      <c r="H2277" t="s">
        <v>15</v>
      </c>
      <c r="I2277" t="s">
        <v>22</v>
      </c>
      <c r="J2277" t="s">
        <v>71</v>
      </c>
    </row>
    <row r="2278" spans="1:10" x14ac:dyDescent="0.35">
      <c r="A2278" t="s">
        <v>2462</v>
      </c>
      <c r="B2278" s="1">
        <v>46070</v>
      </c>
      <c r="C2278" t="s">
        <v>175</v>
      </c>
      <c r="D2278" t="s">
        <v>80</v>
      </c>
      <c r="E2278" t="s">
        <v>92</v>
      </c>
      <c r="F2278" t="s">
        <v>14</v>
      </c>
      <c r="G2278">
        <v>55</v>
      </c>
      <c r="H2278" t="s">
        <v>15</v>
      </c>
      <c r="I2278" t="s">
        <v>47</v>
      </c>
      <c r="J2278" t="s">
        <v>141</v>
      </c>
    </row>
    <row r="2279" spans="1:10" x14ac:dyDescent="0.35">
      <c r="A2279" t="s">
        <v>2463</v>
      </c>
      <c r="B2279" s="1">
        <v>46071</v>
      </c>
      <c r="C2279" t="s">
        <v>143</v>
      </c>
      <c r="D2279" t="s">
        <v>54</v>
      </c>
      <c r="E2279" t="s">
        <v>55</v>
      </c>
      <c r="F2279" t="s">
        <v>54</v>
      </c>
      <c r="G2279">
        <v>679.12</v>
      </c>
      <c r="H2279" t="s">
        <v>21</v>
      </c>
      <c r="I2279" t="s">
        <v>16</v>
      </c>
      <c r="J2279" t="s">
        <v>89</v>
      </c>
    </row>
    <row r="2280" spans="1:10" x14ac:dyDescent="0.35">
      <c r="A2280" t="s">
        <v>2464</v>
      </c>
      <c r="B2280" s="1">
        <v>46071</v>
      </c>
      <c r="C2280" t="s">
        <v>262</v>
      </c>
      <c r="D2280" t="s">
        <v>101</v>
      </c>
      <c r="E2280" t="s">
        <v>244</v>
      </c>
      <c r="F2280" t="s">
        <v>14</v>
      </c>
      <c r="G2280">
        <v>75.069999999999993</v>
      </c>
      <c r="H2280" t="s">
        <v>15</v>
      </c>
      <c r="I2280" t="s">
        <v>22</v>
      </c>
      <c r="J2280" t="s">
        <v>136</v>
      </c>
    </row>
    <row r="2281" spans="1:10" x14ac:dyDescent="0.35">
      <c r="A2281" t="s">
        <v>2465</v>
      </c>
      <c r="B2281" s="1">
        <v>46071</v>
      </c>
      <c r="C2281" t="s">
        <v>281</v>
      </c>
      <c r="D2281" t="s">
        <v>34</v>
      </c>
      <c r="E2281" t="s">
        <v>40</v>
      </c>
      <c r="F2281" t="s">
        <v>14</v>
      </c>
      <c r="G2281">
        <v>192.04</v>
      </c>
      <c r="H2281" t="s">
        <v>21</v>
      </c>
      <c r="I2281" t="s">
        <v>84</v>
      </c>
      <c r="J2281" t="s">
        <v>123</v>
      </c>
    </row>
    <row r="2282" spans="1:10" x14ac:dyDescent="0.35">
      <c r="A2282" t="s">
        <v>2466</v>
      </c>
      <c r="B2282" s="1">
        <v>46071</v>
      </c>
      <c r="C2282" t="s">
        <v>331</v>
      </c>
      <c r="D2282" t="s">
        <v>29</v>
      </c>
      <c r="E2282" t="s">
        <v>95</v>
      </c>
      <c r="F2282" t="s">
        <v>14</v>
      </c>
      <c r="G2282">
        <v>24.39</v>
      </c>
      <c r="H2282" t="s">
        <v>15</v>
      </c>
      <c r="I2282" t="s">
        <v>22</v>
      </c>
      <c r="J2282" t="s">
        <v>151</v>
      </c>
    </row>
    <row r="2283" spans="1:10" x14ac:dyDescent="0.35">
      <c r="A2283" t="s">
        <v>2467</v>
      </c>
      <c r="B2283" s="1">
        <v>46071</v>
      </c>
      <c r="C2283" t="s">
        <v>109</v>
      </c>
      <c r="D2283" t="s">
        <v>34</v>
      </c>
      <c r="E2283" t="s">
        <v>35</v>
      </c>
      <c r="F2283" t="s">
        <v>14</v>
      </c>
      <c r="G2283">
        <v>176.64</v>
      </c>
      <c r="H2283" t="s">
        <v>15</v>
      </c>
      <c r="I2283" t="s">
        <v>36</v>
      </c>
      <c r="J2283" t="s">
        <v>41</v>
      </c>
    </row>
    <row r="2284" spans="1:10" x14ac:dyDescent="0.35">
      <c r="A2284" t="s">
        <v>2468</v>
      </c>
      <c r="B2284" s="1">
        <v>46072</v>
      </c>
      <c r="C2284" t="s">
        <v>63</v>
      </c>
      <c r="D2284" t="s">
        <v>54</v>
      </c>
      <c r="E2284" t="s">
        <v>64</v>
      </c>
      <c r="F2284" t="s">
        <v>54</v>
      </c>
      <c r="G2284">
        <v>352.47</v>
      </c>
      <c r="H2284" t="s">
        <v>15</v>
      </c>
      <c r="I2284" t="s">
        <v>16</v>
      </c>
      <c r="J2284" t="s">
        <v>65</v>
      </c>
    </row>
    <row r="2285" spans="1:10" x14ac:dyDescent="0.35">
      <c r="A2285" t="s">
        <v>2469</v>
      </c>
      <c r="B2285" s="1">
        <v>46072</v>
      </c>
      <c r="C2285" t="s">
        <v>411</v>
      </c>
      <c r="D2285" t="s">
        <v>29</v>
      </c>
      <c r="E2285" t="s">
        <v>151</v>
      </c>
      <c r="F2285" t="s">
        <v>14</v>
      </c>
      <c r="G2285">
        <v>13.26</v>
      </c>
      <c r="H2285" t="s">
        <v>15</v>
      </c>
      <c r="I2285" t="s">
        <v>47</v>
      </c>
      <c r="J2285" t="s">
        <v>151</v>
      </c>
    </row>
    <row r="2286" spans="1:10" x14ac:dyDescent="0.35">
      <c r="A2286" t="s">
        <v>2470</v>
      </c>
      <c r="B2286" s="1">
        <v>46072</v>
      </c>
      <c r="C2286" t="s">
        <v>324</v>
      </c>
      <c r="D2286" t="s">
        <v>80</v>
      </c>
      <c r="E2286" t="s">
        <v>92</v>
      </c>
      <c r="F2286" t="s">
        <v>14</v>
      </c>
      <c r="G2286">
        <v>66.44</v>
      </c>
      <c r="H2286" t="s">
        <v>15</v>
      </c>
      <c r="I2286" t="s">
        <v>22</v>
      </c>
      <c r="J2286" t="s">
        <v>161</v>
      </c>
    </row>
    <row r="2287" spans="1:10" x14ac:dyDescent="0.35">
      <c r="A2287" t="s">
        <v>2471</v>
      </c>
      <c r="B2287" s="1">
        <v>46072</v>
      </c>
      <c r="C2287" t="s">
        <v>11</v>
      </c>
      <c r="D2287" t="s">
        <v>12</v>
      </c>
      <c r="E2287" t="s">
        <v>13</v>
      </c>
      <c r="F2287" t="s">
        <v>14</v>
      </c>
      <c r="G2287">
        <v>65.66</v>
      </c>
      <c r="H2287" t="s">
        <v>21</v>
      </c>
      <c r="I2287" t="s">
        <v>22</v>
      </c>
      <c r="J2287" t="s">
        <v>17</v>
      </c>
    </row>
    <row r="2288" spans="1:10" x14ac:dyDescent="0.35">
      <c r="A2288" t="s">
        <v>2472</v>
      </c>
      <c r="B2288" s="1">
        <v>46072</v>
      </c>
      <c r="C2288" t="s">
        <v>296</v>
      </c>
      <c r="D2288" t="s">
        <v>101</v>
      </c>
      <c r="E2288" t="s">
        <v>136</v>
      </c>
      <c r="F2288" t="s">
        <v>14</v>
      </c>
      <c r="G2288">
        <v>80.540000000000006</v>
      </c>
      <c r="H2288" t="s">
        <v>21</v>
      </c>
      <c r="I2288" t="s">
        <v>22</v>
      </c>
      <c r="J2288" t="s">
        <v>136</v>
      </c>
    </row>
    <row r="2289" spans="1:10" x14ac:dyDescent="0.35">
      <c r="A2289" t="s">
        <v>2473</v>
      </c>
      <c r="B2289" s="1">
        <v>46072</v>
      </c>
      <c r="C2289" t="s">
        <v>411</v>
      </c>
      <c r="D2289" t="s">
        <v>29</v>
      </c>
      <c r="E2289" t="s">
        <v>151</v>
      </c>
      <c r="F2289" t="s">
        <v>14</v>
      </c>
      <c r="G2289">
        <v>17.79</v>
      </c>
      <c r="H2289" t="s">
        <v>15</v>
      </c>
      <c r="I2289" t="s">
        <v>36</v>
      </c>
      <c r="J2289" t="s">
        <v>151</v>
      </c>
    </row>
    <row r="2290" spans="1:10" x14ac:dyDescent="0.35">
      <c r="A2290" t="s">
        <v>2474</v>
      </c>
      <c r="B2290" s="1">
        <v>46072</v>
      </c>
      <c r="C2290" t="s">
        <v>11</v>
      </c>
      <c r="D2290" t="s">
        <v>12</v>
      </c>
      <c r="E2290" t="s">
        <v>13</v>
      </c>
      <c r="F2290" t="s">
        <v>14</v>
      </c>
      <c r="G2290">
        <v>49.95</v>
      </c>
      <c r="H2290" t="s">
        <v>15</v>
      </c>
      <c r="I2290" t="s">
        <v>16</v>
      </c>
      <c r="J2290" t="s">
        <v>17</v>
      </c>
    </row>
    <row r="2291" spans="1:10" x14ac:dyDescent="0.35">
      <c r="A2291" t="s">
        <v>2475</v>
      </c>
      <c r="B2291" s="1">
        <v>46073</v>
      </c>
      <c r="C2291" t="s">
        <v>73</v>
      </c>
      <c r="D2291" t="s">
        <v>54</v>
      </c>
      <c r="E2291" t="s">
        <v>74</v>
      </c>
      <c r="F2291" t="s">
        <v>54</v>
      </c>
      <c r="G2291">
        <v>3001.12</v>
      </c>
      <c r="H2291" t="s">
        <v>21</v>
      </c>
      <c r="I2291" t="s">
        <v>22</v>
      </c>
      <c r="J2291" t="s">
        <v>65</v>
      </c>
    </row>
    <row r="2292" spans="1:10" x14ac:dyDescent="0.35">
      <c r="A2292" t="s">
        <v>2476</v>
      </c>
      <c r="B2292" s="1">
        <v>46073</v>
      </c>
      <c r="C2292" t="s">
        <v>179</v>
      </c>
      <c r="D2292" t="s">
        <v>80</v>
      </c>
      <c r="E2292" t="s">
        <v>117</v>
      </c>
      <c r="F2292" t="s">
        <v>14</v>
      </c>
      <c r="G2292">
        <v>62.25</v>
      </c>
      <c r="H2292" t="s">
        <v>15</v>
      </c>
      <c r="I2292" t="s">
        <v>47</v>
      </c>
      <c r="J2292" t="s">
        <v>180</v>
      </c>
    </row>
    <row r="2293" spans="1:10" x14ac:dyDescent="0.35">
      <c r="A2293" t="s">
        <v>2477</v>
      </c>
      <c r="B2293" s="1">
        <v>46073</v>
      </c>
      <c r="C2293" t="s">
        <v>290</v>
      </c>
      <c r="D2293" t="s">
        <v>69</v>
      </c>
      <c r="E2293" t="s">
        <v>291</v>
      </c>
      <c r="F2293" t="s">
        <v>14</v>
      </c>
      <c r="G2293">
        <v>361.24</v>
      </c>
      <c r="H2293" t="s">
        <v>15</v>
      </c>
      <c r="I2293" t="s">
        <v>84</v>
      </c>
      <c r="J2293" t="s">
        <v>292</v>
      </c>
    </row>
    <row r="2294" spans="1:10" x14ac:dyDescent="0.35">
      <c r="A2294" t="s">
        <v>2478</v>
      </c>
      <c r="B2294" s="1">
        <v>46073</v>
      </c>
      <c r="C2294" t="s">
        <v>215</v>
      </c>
      <c r="D2294" t="s">
        <v>80</v>
      </c>
      <c r="E2294" t="s">
        <v>117</v>
      </c>
      <c r="F2294" t="s">
        <v>14</v>
      </c>
      <c r="G2294">
        <v>82.25</v>
      </c>
      <c r="H2294" t="s">
        <v>21</v>
      </c>
      <c r="I2294" t="s">
        <v>22</v>
      </c>
      <c r="J2294" t="s">
        <v>141</v>
      </c>
    </row>
    <row r="2295" spans="1:10" x14ac:dyDescent="0.35">
      <c r="A2295" t="s">
        <v>2479</v>
      </c>
      <c r="B2295" s="1">
        <v>46073</v>
      </c>
      <c r="C2295" t="s">
        <v>143</v>
      </c>
      <c r="D2295" t="s">
        <v>54</v>
      </c>
      <c r="E2295" t="s">
        <v>55</v>
      </c>
      <c r="F2295" t="s">
        <v>54</v>
      </c>
      <c r="G2295">
        <v>582.22</v>
      </c>
      <c r="H2295" t="s">
        <v>15</v>
      </c>
      <c r="I2295" t="s">
        <v>22</v>
      </c>
      <c r="J2295" t="s">
        <v>89</v>
      </c>
    </row>
    <row r="2296" spans="1:10" x14ac:dyDescent="0.35">
      <c r="A2296" t="s">
        <v>2480</v>
      </c>
      <c r="B2296" s="1">
        <v>46073</v>
      </c>
      <c r="C2296" t="s">
        <v>140</v>
      </c>
      <c r="D2296" t="s">
        <v>80</v>
      </c>
      <c r="E2296" t="s">
        <v>81</v>
      </c>
      <c r="F2296" t="s">
        <v>14</v>
      </c>
      <c r="G2296">
        <v>16.07</v>
      </c>
      <c r="H2296" t="s">
        <v>21</v>
      </c>
      <c r="I2296" t="s">
        <v>22</v>
      </c>
      <c r="J2296" t="s">
        <v>141</v>
      </c>
    </row>
    <row r="2297" spans="1:10" x14ac:dyDescent="0.35">
      <c r="A2297" t="s">
        <v>2481</v>
      </c>
      <c r="B2297" s="1">
        <v>46073</v>
      </c>
      <c r="C2297" t="s">
        <v>308</v>
      </c>
      <c r="D2297" t="s">
        <v>54</v>
      </c>
      <c r="E2297" t="s">
        <v>64</v>
      </c>
      <c r="F2297" t="s">
        <v>54</v>
      </c>
      <c r="G2297">
        <v>351.64</v>
      </c>
      <c r="H2297" t="s">
        <v>15</v>
      </c>
      <c r="I2297" t="s">
        <v>47</v>
      </c>
      <c r="J2297" t="s">
        <v>89</v>
      </c>
    </row>
    <row r="2298" spans="1:10" x14ac:dyDescent="0.35">
      <c r="A2298" t="s">
        <v>2482</v>
      </c>
      <c r="B2298" s="1">
        <v>46074</v>
      </c>
      <c r="C2298" t="s">
        <v>88</v>
      </c>
      <c r="D2298" t="s">
        <v>54</v>
      </c>
      <c r="E2298" t="s">
        <v>74</v>
      </c>
      <c r="F2298" t="s">
        <v>54</v>
      </c>
      <c r="G2298">
        <v>2921.28</v>
      </c>
      <c r="H2298" t="s">
        <v>21</v>
      </c>
      <c r="I2298" t="s">
        <v>36</v>
      </c>
      <c r="J2298" t="s">
        <v>89</v>
      </c>
    </row>
    <row r="2299" spans="1:10" x14ac:dyDescent="0.35">
      <c r="A2299" t="s">
        <v>2483</v>
      </c>
      <c r="B2299" s="1">
        <v>46074</v>
      </c>
      <c r="C2299" t="s">
        <v>125</v>
      </c>
      <c r="D2299" t="s">
        <v>12</v>
      </c>
      <c r="E2299" t="s">
        <v>13</v>
      </c>
      <c r="F2299" t="s">
        <v>14</v>
      </c>
      <c r="G2299">
        <v>31.42</v>
      </c>
      <c r="H2299" t="s">
        <v>15</v>
      </c>
      <c r="I2299" t="s">
        <v>16</v>
      </c>
      <c r="J2299" t="s">
        <v>44</v>
      </c>
    </row>
    <row r="2300" spans="1:10" x14ac:dyDescent="0.35">
      <c r="A2300" t="s">
        <v>2484</v>
      </c>
      <c r="B2300" s="1">
        <v>46074</v>
      </c>
      <c r="C2300" t="s">
        <v>135</v>
      </c>
      <c r="D2300" t="s">
        <v>101</v>
      </c>
      <c r="E2300" t="s">
        <v>102</v>
      </c>
      <c r="F2300" t="s">
        <v>14</v>
      </c>
      <c r="G2300">
        <v>45.28</v>
      </c>
      <c r="H2300" t="s">
        <v>15</v>
      </c>
      <c r="I2300" t="s">
        <v>36</v>
      </c>
      <c r="J2300" t="s">
        <v>136</v>
      </c>
    </row>
    <row r="2301" spans="1:10" x14ac:dyDescent="0.35">
      <c r="A2301" t="s">
        <v>2485</v>
      </c>
      <c r="B2301" s="1">
        <v>46074</v>
      </c>
      <c r="C2301" t="s">
        <v>113</v>
      </c>
      <c r="D2301" t="s">
        <v>34</v>
      </c>
      <c r="E2301" t="s">
        <v>40</v>
      </c>
      <c r="F2301" t="s">
        <v>14</v>
      </c>
      <c r="G2301">
        <v>116.56</v>
      </c>
      <c r="H2301" t="s">
        <v>98</v>
      </c>
      <c r="I2301" t="s">
        <v>22</v>
      </c>
      <c r="J2301" t="s">
        <v>37</v>
      </c>
    </row>
    <row r="2302" spans="1:10" x14ac:dyDescent="0.35">
      <c r="A2302" t="s">
        <v>2486</v>
      </c>
      <c r="B2302" s="1">
        <v>46074</v>
      </c>
      <c r="C2302" t="s">
        <v>229</v>
      </c>
      <c r="D2302" t="s">
        <v>54</v>
      </c>
      <c r="E2302" t="s">
        <v>64</v>
      </c>
      <c r="F2302" t="s">
        <v>54</v>
      </c>
      <c r="G2302">
        <v>403.88</v>
      </c>
      <c r="H2302" t="s">
        <v>15</v>
      </c>
      <c r="I2302" t="s">
        <v>36</v>
      </c>
      <c r="J2302" t="s">
        <v>56</v>
      </c>
    </row>
    <row r="2303" spans="1:10" x14ac:dyDescent="0.35">
      <c r="A2303" t="s">
        <v>2487</v>
      </c>
      <c r="B2303" s="1">
        <v>46074</v>
      </c>
      <c r="C2303" t="s">
        <v>376</v>
      </c>
      <c r="D2303" t="s">
        <v>80</v>
      </c>
      <c r="E2303" t="s">
        <v>117</v>
      </c>
      <c r="F2303" t="s">
        <v>14</v>
      </c>
      <c r="G2303">
        <v>63.94</v>
      </c>
      <c r="H2303" t="s">
        <v>15</v>
      </c>
      <c r="I2303" t="s">
        <v>22</v>
      </c>
      <c r="J2303" t="s">
        <v>82</v>
      </c>
    </row>
    <row r="2304" spans="1:10" x14ac:dyDescent="0.35">
      <c r="A2304" t="s">
        <v>2488</v>
      </c>
      <c r="B2304" s="1">
        <v>46075</v>
      </c>
      <c r="C2304" t="s">
        <v>298</v>
      </c>
      <c r="D2304" t="s">
        <v>59</v>
      </c>
      <c r="E2304" t="s">
        <v>185</v>
      </c>
      <c r="F2304" t="s">
        <v>14</v>
      </c>
      <c r="G2304">
        <v>338.04</v>
      </c>
      <c r="H2304" t="s">
        <v>15</v>
      </c>
      <c r="I2304" t="s">
        <v>36</v>
      </c>
      <c r="J2304" t="s">
        <v>170</v>
      </c>
    </row>
    <row r="2305" spans="1:10" x14ac:dyDescent="0.35">
      <c r="A2305" t="s">
        <v>2489</v>
      </c>
      <c r="B2305" s="1">
        <v>46075</v>
      </c>
      <c r="C2305" t="s">
        <v>238</v>
      </c>
      <c r="D2305" t="s">
        <v>34</v>
      </c>
      <c r="E2305" t="s">
        <v>35</v>
      </c>
      <c r="F2305" t="s">
        <v>14</v>
      </c>
      <c r="G2305">
        <v>30.62</v>
      </c>
      <c r="H2305" t="s">
        <v>15</v>
      </c>
      <c r="I2305" t="s">
        <v>22</v>
      </c>
      <c r="J2305" t="s">
        <v>239</v>
      </c>
    </row>
    <row r="2306" spans="1:10" x14ac:dyDescent="0.35">
      <c r="A2306" t="s">
        <v>2490</v>
      </c>
      <c r="B2306" s="1">
        <v>46075</v>
      </c>
      <c r="C2306" t="s">
        <v>204</v>
      </c>
      <c r="D2306" t="s">
        <v>12</v>
      </c>
      <c r="E2306" t="s">
        <v>51</v>
      </c>
      <c r="F2306" t="s">
        <v>14</v>
      </c>
      <c r="G2306">
        <v>65.5</v>
      </c>
      <c r="H2306" t="s">
        <v>15</v>
      </c>
      <c r="I2306" t="s">
        <v>22</v>
      </c>
      <c r="J2306" t="s">
        <v>23</v>
      </c>
    </row>
    <row r="2307" spans="1:10" x14ac:dyDescent="0.35">
      <c r="A2307" t="s">
        <v>2491</v>
      </c>
      <c r="B2307" s="1">
        <v>46075</v>
      </c>
      <c r="C2307" t="s">
        <v>11</v>
      </c>
      <c r="D2307" t="s">
        <v>12</v>
      </c>
      <c r="E2307" t="s">
        <v>13</v>
      </c>
      <c r="F2307" t="s">
        <v>14</v>
      </c>
      <c r="G2307">
        <v>39.33</v>
      </c>
      <c r="H2307" t="s">
        <v>98</v>
      </c>
      <c r="I2307" t="s">
        <v>36</v>
      </c>
      <c r="J2307" t="s">
        <v>17</v>
      </c>
    </row>
    <row r="2308" spans="1:10" x14ac:dyDescent="0.35">
      <c r="A2308" t="s">
        <v>2492</v>
      </c>
      <c r="B2308" s="1">
        <v>46075</v>
      </c>
      <c r="C2308" t="s">
        <v>58</v>
      </c>
      <c r="D2308" t="s">
        <v>59</v>
      </c>
      <c r="E2308" t="s">
        <v>60</v>
      </c>
      <c r="F2308" t="s">
        <v>14</v>
      </c>
      <c r="G2308">
        <v>279.98</v>
      </c>
      <c r="H2308" t="s">
        <v>15</v>
      </c>
      <c r="I2308" t="s">
        <v>22</v>
      </c>
      <c r="J2308" t="s">
        <v>61</v>
      </c>
    </row>
    <row r="2309" spans="1:10" x14ac:dyDescent="0.35">
      <c r="A2309" t="s">
        <v>2493</v>
      </c>
      <c r="B2309" s="1">
        <v>46076</v>
      </c>
      <c r="C2309" t="s">
        <v>238</v>
      </c>
      <c r="D2309" t="s">
        <v>34</v>
      </c>
      <c r="E2309" t="s">
        <v>35</v>
      </c>
      <c r="F2309" t="s">
        <v>14</v>
      </c>
      <c r="G2309">
        <v>99.14</v>
      </c>
      <c r="H2309" t="s">
        <v>15</v>
      </c>
      <c r="I2309" t="s">
        <v>22</v>
      </c>
      <c r="J2309" t="s">
        <v>239</v>
      </c>
    </row>
    <row r="2310" spans="1:10" x14ac:dyDescent="0.35">
      <c r="A2310" t="s">
        <v>2494</v>
      </c>
      <c r="B2310" s="1">
        <v>46076</v>
      </c>
      <c r="C2310" t="s">
        <v>175</v>
      </c>
      <c r="D2310" t="s">
        <v>80</v>
      </c>
      <c r="E2310" t="s">
        <v>92</v>
      </c>
      <c r="F2310" t="s">
        <v>14</v>
      </c>
      <c r="G2310">
        <v>25.37</v>
      </c>
      <c r="H2310" t="s">
        <v>15</v>
      </c>
      <c r="I2310" t="s">
        <v>36</v>
      </c>
      <c r="J2310" t="s">
        <v>141</v>
      </c>
    </row>
    <row r="2311" spans="1:10" x14ac:dyDescent="0.35">
      <c r="A2311" t="s">
        <v>2495</v>
      </c>
      <c r="B2311" s="1">
        <v>46076</v>
      </c>
      <c r="C2311" t="s">
        <v>184</v>
      </c>
      <c r="D2311" t="s">
        <v>59</v>
      </c>
      <c r="E2311" t="s">
        <v>185</v>
      </c>
      <c r="F2311" t="s">
        <v>14</v>
      </c>
      <c r="G2311">
        <v>554.57000000000005</v>
      </c>
      <c r="H2311" t="s">
        <v>15</v>
      </c>
      <c r="I2311" t="s">
        <v>36</v>
      </c>
      <c r="J2311" t="s">
        <v>61</v>
      </c>
    </row>
    <row r="2312" spans="1:10" x14ac:dyDescent="0.35">
      <c r="A2312" t="s">
        <v>2496</v>
      </c>
      <c r="B2312" s="1">
        <v>46076</v>
      </c>
      <c r="C2312" t="s">
        <v>269</v>
      </c>
      <c r="D2312" t="s">
        <v>34</v>
      </c>
      <c r="E2312" t="s">
        <v>35</v>
      </c>
      <c r="F2312" t="s">
        <v>14</v>
      </c>
      <c r="G2312">
        <v>54.01</v>
      </c>
      <c r="H2312" t="s">
        <v>21</v>
      </c>
      <c r="I2312" t="s">
        <v>22</v>
      </c>
      <c r="J2312" t="s">
        <v>123</v>
      </c>
    </row>
    <row r="2313" spans="1:10" x14ac:dyDescent="0.35">
      <c r="A2313" t="s">
        <v>2497</v>
      </c>
      <c r="B2313" s="1">
        <v>46076</v>
      </c>
      <c r="C2313" t="s">
        <v>272</v>
      </c>
      <c r="D2313" t="s">
        <v>54</v>
      </c>
      <c r="E2313" t="s">
        <v>55</v>
      </c>
      <c r="F2313" t="s">
        <v>54</v>
      </c>
      <c r="G2313">
        <v>680.76</v>
      </c>
      <c r="H2313" t="s">
        <v>15</v>
      </c>
      <c r="I2313" t="s">
        <v>22</v>
      </c>
      <c r="J2313" t="s">
        <v>65</v>
      </c>
    </row>
    <row r="2314" spans="1:10" x14ac:dyDescent="0.35">
      <c r="A2314" t="s">
        <v>2498</v>
      </c>
      <c r="B2314" s="1">
        <v>46077</v>
      </c>
      <c r="C2314" t="s">
        <v>79</v>
      </c>
      <c r="D2314" t="s">
        <v>80</v>
      </c>
      <c r="E2314" t="s">
        <v>81</v>
      </c>
      <c r="F2314" t="s">
        <v>14</v>
      </c>
      <c r="G2314">
        <v>44.83</v>
      </c>
      <c r="H2314" t="s">
        <v>15</v>
      </c>
      <c r="I2314" t="s">
        <v>22</v>
      </c>
      <c r="J2314" t="s">
        <v>82</v>
      </c>
    </row>
    <row r="2315" spans="1:10" x14ac:dyDescent="0.35">
      <c r="A2315" t="s">
        <v>2499</v>
      </c>
      <c r="B2315" s="1">
        <v>46077</v>
      </c>
      <c r="C2315" t="s">
        <v>11</v>
      </c>
      <c r="D2315" t="s">
        <v>12</v>
      </c>
      <c r="E2315" t="s">
        <v>13</v>
      </c>
      <c r="F2315" t="s">
        <v>14</v>
      </c>
      <c r="G2315">
        <v>46.89</v>
      </c>
      <c r="H2315" t="s">
        <v>98</v>
      </c>
      <c r="I2315" t="s">
        <v>22</v>
      </c>
      <c r="J2315" t="s">
        <v>17</v>
      </c>
    </row>
    <row r="2316" spans="1:10" x14ac:dyDescent="0.35">
      <c r="A2316" t="s">
        <v>2500</v>
      </c>
      <c r="B2316" s="1">
        <v>46077</v>
      </c>
      <c r="C2316" t="s">
        <v>281</v>
      </c>
      <c r="D2316" t="s">
        <v>34</v>
      </c>
      <c r="E2316" t="s">
        <v>40</v>
      </c>
      <c r="F2316" t="s">
        <v>14</v>
      </c>
      <c r="G2316">
        <v>132.09</v>
      </c>
      <c r="H2316" t="s">
        <v>21</v>
      </c>
      <c r="I2316" t="s">
        <v>36</v>
      </c>
      <c r="J2316" t="s">
        <v>123</v>
      </c>
    </row>
    <row r="2317" spans="1:10" x14ac:dyDescent="0.35">
      <c r="A2317" t="s">
        <v>2501</v>
      </c>
      <c r="B2317" s="1">
        <v>46077</v>
      </c>
      <c r="C2317" t="s">
        <v>58</v>
      </c>
      <c r="D2317" t="s">
        <v>59</v>
      </c>
      <c r="E2317" t="s">
        <v>60</v>
      </c>
      <c r="F2317" t="s">
        <v>14</v>
      </c>
      <c r="G2317">
        <v>492.83</v>
      </c>
      <c r="H2317" t="s">
        <v>21</v>
      </c>
      <c r="I2317" t="s">
        <v>16</v>
      </c>
      <c r="J2317" t="s">
        <v>61</v>
      </c>
    </row>
    <row r="2318" spans="1:10" x14ac:dyDescent="0.35">
      <c r="A2318" t="s">
        <v>2502</v>
      </c>
      <c r="B2318" s="1">
        <v>46077</v>
      </c>
      <c r="C2318" t="s">
        <v>267</v>
      </c>
      <c r="D2318" t="s">
        <v>29</v>
      </c>
      <c r="E2318" t="s">
        <v>30</v>
      </c>
      <c r="F2318" t="s">
        <v>14</v>
      </c>
      <c r="G2318">
        <v>26.94</v>
      </c>
      <c r="H2318" t="s">
        <v>15</v>
      </c>
      <c r="I2318" t="s">
        <v>36</v>
      </c>
      <c r="J2318" t="s">
        <v>96</v>
      </c>
    </row>
    <row r="2319" spans="1:10" x14ac:dyDescent="0.35">
      <c r="A2319" t="s">
        <v>2503</v>
      </c>
      <c r="B2319" s="1">
        <v>46077</v>
      </c>
      <c r="C2319" t="s">
        <v>160</v>
      </c>
      <c r="D2319" t="s">
        <v>80</v>
      </c>
      <c r="E2319" t="s">
        <v>117</v>
      </c>
      <c r="F2319" t="s">
        <v>14</v>
      </c>
      <c r="G2319">
        <v>250</v>
      </c>
      <c r="H2319" t="s">
        <v>21</v>
      </c>
      <c r="I2319" t="s">
        <v>16</v>
      </c>
      <c r="J2319" t="s">
        <v>161</v>
      </c>
    </row>
    <row r="2320" spans="1:10" x14ac:dyDescent="0.35">
      <c r="A2320" t="s">
        <v>2504</v>
      </c>
      <c r="B2320" s="1">
        <v>46077</v>
      </c>
      <c r="C2320" t="s">
        <v>204</v>
      </c>
      <c r="D2320" t="s">
        <v>12</v>
      </c>
      <c r="E2320" t="s">
        <v>51</v>
      </c>
      <c r="F2320" t="s">
        <v>14</v>
      </c>
      <c r="G2320">
        <v>50.62</v>
      </c>
      <c r="H2320" t="s">
        <v>15</v>
      </c>
      <c r="I2320" t="s">
        <v>22</v>
      </c>
      <c r="J2320" t="s">
        <v>23</v>
      </c>
    </row>
    <row r="2321" spans="1:10" x14ac:dyDescent="0.35">
      <c r="A2321" t="s">
        <v>2505</v>
      </c>
      <c r="B2321" s="1">
        <v>46077</v>
      </c>
      <c r="C2321" t="s">
        <v>204</v>
      </c>
      <c r="D2321" t="s">
        <v>12</v>
      </c>
      <c r="E2321" t="s">
        <v>51</v>
      </c>
      <c r="F2321" t="s">
        <v>14</v>
      </c>
      <c r="G2321">
        <v>48.22</v>
      </c>
      <c r="H2321" t="s">
        <v>15</v>
      </c>
      <c r="I2321" t="s">
        <v>22</v>
      </c>
      <c r="J2321" t="s">
        <v>23</v>
      </c>
    </row>
    <row r="2322" spans="1:10" x14ac:dyDescent="0.35">
      <c r="A2322" t="s">
        <v>2506</v>
      </c>
      <c r="B2322" s="1">
        <v>46077</v>
      </c>
      <c r="C2322" t="s">
        <v>227</v>
      </c>
      <c r="D2322" t="s">
        <v>12</v>
      </c>
      <c r="E2322" t="s">
        <v>51</v>
      </c>
      <c r="F2322" t="s">
        <v>14</v>
      </c>
      <c r="G2322">
        <v>66.709999999999994</v>
      </c>
      <c r="H2322" t="s">
        <v>21</v>
      </c>
      <c r="I2322" t="s">
        <v>36</v>
      </c>
      <c r="J2322" t="s">
        <v>17</v>
      </c>
    </row>
    <row r="2323" spans="1:10" x14ac:dyDescent="0.35">
      <c r="A2323" t="s">
        <v>2507</v>
      </c>
      <c r="B2323" s="1">
        <v>46078</v>
      </c>
      <c r="C2323" t="s">
        <v>143</v>
      </c>
      <c r="D2323" t="s">
        <v>54</v>
      </c>
      <c r="E2323" t="s">
        <v>55</v>
      </c>
      <c r="F2323" t="s">
        <v>54</v>
      </c>
      <c r="G2323">
        <v>701.29</v>
      </c>
      <c r="H2323" t="s">
        <v>98</v>
      </c>
      <c r="I2323" t="s">
        <v>47</v>
      </c>
      <c r="J2323" t="s">
        <v>89</v>
      </c>
    </row>
    <row r="2324" spans="1:10" x14ac:dyDescent="0.35">
      <c r="A2324" t="s">
        <v>2508</v>
      </c>
      <c r="B2324" s="1">
        <v>46078</v>
      </c>
      <c r="C2324" t="s">
        <v>281</v>
      </c>
      <c r="D2324" t="s">
        <v>34</v>
      </c>
      <c r="E2324" t="s">
        <v>40</v>
      </c>
      <c r="F2324" t="s">
        <v>14</v>
      </c>
      <c r="G2324">
        <v>163.62</v>
      </c>
      <c r="H2324" t="s">
        <v>21</v>
      </c>
      <c r="I2324" t="s">
        <v>36</v>
      </c>
      <c r="J2324" t="s">
        <v>123</v>
      </c>
    </row>
    <row r="2325" spans="1:10" x14ac:dyDescent="0.35">
      <c r="A2325" t="s">
        <v>2509</v>
      </c>
      <c r="B2325" s="1">
        <v>46078</v>
      </c>
      <c r="C2325" t="s">
        <v>11</v>
      </c>
      <c r="D2325" t="s">
        <v>12</v>
      </c>
      <c r="E2325" t="s">
        <v>13</v>
      </c>
      <c r="F2325" t="s">
        <v>14</v>
      </c>
      <c r="G2325">
        <v>180</v>
      </c>
      <c r="H2325" t="s">
        <v>15</v>
      </c>
      <c r="I2325" t="s">
        <v>22</v>
      </c>
      <c r="J2325" t="s">
        <v>17</v>
      </c>
    </row>
    <row r="2326" spans="1:10" x14ac:dyDescent="0.35">
      <c r="A2326" t="s">
        <v>2510</v>
      </c>
      <c r="B2326" s="1">
        <v>46078</v>
      </c>
      <c r="C2326" t="s">
        <v>345</v>
      </c>
      <c r="D2326" t="s">
        <v>59</v>
      </c>
      <c r="E2326" t="s">
        <v>60</v>
      </c>
      <c r="F2326" t="s">
        <v>14</v>
      </c>
      <c r="G2326">
        <v>91.55</v>
      </c>
      <c r="H2326" t="s">
        <v>21</v>
      </c>
      <c r="I2326" t="s">
        <v>22</v>
      </c>
      <c r="J2326" t="s">
        <v>211</v>
      </c>
    </row>
    <row r="2327" spans="1:10" x14ac:dyDescent="0.35">
      <c r="A2327" t="s">
        <v>2511</v>
      </c>
      <c r="B2327" s="1">
        <v>46078</v>
      </c>
      <c r="C2327" t="s">
        <v>43</v>
      </c>
      <c r="D2327" t="s">
        <v>12</v>
      </c>
      <c r="E2327" t="s">
        <v>26</v>
      </c>
      <c r="F2327" t="s">
        <v>14</v>
      </c>
      <c r="G2327">
        <v>12.19</v>
      </c>
      <c r="H2327" t="s">
        <v>15</v>
      </c>
      <c r="I2327" t="s">
        <v>84</v>
      </c>
      <c r="J2327" t="s">
        <v>44</v>
      </c>
    </row>
    <row r="2328" spans="1:10" x14ac:dyDescent="0.35">
      <c r="A2328" t="s">
        <v>2512</v>
      </c>
      <c r="B2328" s="1">
        <v>46078</v>
      </c>
      <c r="C2328" t="s">
        <v>91</v>
      </c>
      <c r="D2328" t="s">
        <v>80</v>
      </c>
      <c r="E2328" t="s">
        <v>92</v>
      </c>
      <c r="F2328" t="s">
        <v>14</v>
      </c>
      <c r="G2328">
        <v>90.47</v>
      </c>
      <c r="H2328" t="s">
        <v>15</v>
      </c>
      <c r="I2328" t="s">
        <v>22</v>
      </c>
      <c r="J2328" t="s">
        <v>82</v>
      </c>
    </row>
    <row r="2329" spans="1:10" x14ac:dyDescent="0.35">
      <c r="A2329" t="s">
        <v>2513</v>
      </c>
      <c r="B2329" s="1">
        <v>46079</v>
      </c>
      <c r="C2329" t="s">
        <v>875</v>
      </c>
      <c r="D2329" t="s">
        <v>69</v>
      </c>
      <c r="E2329" t="s">
        <v>291</v>
      </c>
      <c r="F2329" t="s">
        <v>14</v>
      </c>
      <c r="G2329">
        <v>192.78</v>
      </c>
      <c r="H2329" t="s">
        <v>15</v>
      </c>
      <c r="I2329" t="s">
        <v>16</v>
      </c>
      <c r="J2329" t="s">
        <v>133</v>
      </c>
    </row>
    <row r="2330" spans="1:10" x14ac:dyDescent="0.35">
      <c r="A2330" t="s">
        <v>2514</v>
      </c>
      <c r="B2330" s="1">
        <v>46079</v>
      </c>
      <c r="C2330" t="s">
        <v>424</v>
      </c>
      <c r="D2330" t="s">
        <v>101</v>
      </c>
      <c r="E2330" t="s">
        <v>136</v>
      </c>
      <c r="F2330" t="s">
        <v>14</v>
      </c>
      <c r="G2330">
        <v>23</v>
      </c>
      <c r="H2330" t="s">
        <v>21</v>
      </c>
      <c r="I2330" t="s">
        <v>22</v>
      </c>
      <c r="J2330" t="s">
        <v>102</v>
      </c>
    </row>
    <row r="2331" spans="1:10" x14ac:dyDescent="0.35">
      <c r="A2331" t="s">
        <v>2515</v>
      </c>
      <c r="B2331" s="1">
        <v>46079</v>
      </c>
      <c r="C2331" t="s">
        <v>11</v>
      </c>
      <c r="D2331" t="s">
        <v>12</v>
      </c>
      <c r="E2331" t="s">
        <v>13</v>
      </c>
      <c r="F2331" t="s">
        <v>14</v>
      </c>
      <c r="G2331">
        <v>74.150000000000006</v>
      </c>
      <c r="H2331" t="s">
        <v>21</v>
      </c>
      <c r="I2331" t="s">
        <v>22</v>
      </c>
      <c r="J2331" t="s">
        <v>17</v>
      </c>
    </row>
    <row r="2332" spans="1:10" x14ac:dyDescent="0.35">
      <c r="A2332" t="s">
        <v>2516</v>
      </c>
      <c r="B2332" s="1">
        <v>46080</v>
      </c>
      <c r="C2332" t="s">
        <v>298</v>
      </c>
      <c r="D2332" t="s">
        <v>59</v>
      </c>
      <c r="E2332" t="s">
        <v>185</v>
      </c>
      <c r="F2332" t="s">
        <v>14</v>
      </c>
      <c r="G2332">
        <v>145.03</v>
      </c>
      <c r="H2332" t="s">
        <v>15</v>
      </c>
      <c r="I2332" t="s">
        <v>47</v>
      </c>
      <c r="J2332" t="s">
        <v>170</v>
      </c>
    </row>
    <row r="2333" spans="1:10" x14ac:dyDescent="0.35">
      <c r="A2333" t="s">
        <v>2517</v>
      </c>
      <c r="B2333" s="1">
        <v>46080</v>
      </c>
      <c r="C2333" t="s">
        <v>168</v>
      </c>
      <c r="D2333" t="s">
        <v>59</v>
      </c>
      <c r="E2333" t="s">
        <v>60</v>
      </c>
      <c r="F2333" t="s">
        <v>14</v>
      </c>
      <c r="G2333">
        <v>197.92</v>
      </c>
      <c r="H2333" t="s">
        <v>21</v>
      </c>
      <c r="I2333" t="s">
        <v>47</v>
      </c>
      <c r="J2333" t="s">
        <v>170</v>
      </c>
    </row>
    <row r="2334" spans="1:10" x14ac:dyDescent="0.35">
      <c r="A2334" t="s">
        <v>2518</v>
      </c>
      <c r="B2334" s="1">
        <v>46080</v>
      </c>
      <c r="C2334" t="s">
        <v>94</v>
      </c>
      <c r="D2334" t="s">
        <v>29</v>
      </c>
      <c r="E2334" t="s">
        <v>95</v>
      </c>
      <c r="F2334" t="s">
        <v>14</v>
      </c>
      <c r="G2334">
        <v>53.13</v>
      </c>
      <c r="H2334" t="s">
        <v>21</v>
      </c>
      <c r="I2334" t="s">
        <v>84</v>
      </c>
      <c r="J2334" t="s">
        <v>96</v>
      </c>
    </row>
    <row r="2335" spans="1:10" x14ac:dyDescent="0.35">
      <c r="A2335" t="s">
        <v>2519</v>
      </c>
      <c r="B2335" s="1">
        <v>46080</v>
      </c>
      <c r="C2335" t="s">
        <v>445</v>
      </c>
      <c r="D2335" t="s">
        <v>101</v>
      </c>
      <c r="E2335" t="s">
        <v>244</v>
      </c>
      <c r="F2335" t="s">
        <v>14</v>
      </c>
      <c r="G2335">
        <v>190.3</v>
      </c>
      <c r="H2335" t="s">
        <v>15</v>
      </c>
      <c r="I2335" t="s">
        <v>16</v>
      </c>
      <c r="J2335" t="s">
        <v>103</v>
      </c>
    </row>
    <row r="2336" spans="1:10" x14ac:dyDescent="0.35">
      <c r="A2336" t="s">
        <v>2520</v>
      </c>
      <c r="B2336" s="1">
        <v>46080</v>
      </c>
      <c r="C2336" t="s">
        <v>272</v>
      </c>
      <c r="D2336" t="s">
        <v>54</v>
      </c>
      <c r="E2336" t="s">
        <v>55</v>
      </c>
      <c r="F2336" t="s">
        <v>54</v>
      </c>
      <c r="G2336">
        <v>769.3</v>
      </c>
      <c r="H2336" t="s">
        <v>15</v>
      </c>
      <c r="I2336" t="s">
        <v>47</v>
      </c>
      <c r="J2336" t="s">
        <v>65</v>
      </c>
    </row>
    <row r="2337" spans="1:10" x14ac:dyDescent="0.35">
      <c r="A2337" t="s">
        <v>2521</v>
      </c>
      <c r="B2337" s="1">
        <v>46080</v>
      </c>
      <c r="C2337" t="s">
        <v>143</v>
      </c>
      <c r="D2337" t="s">
        <v>54</v>
      </c>
      <c r="E2337" t="s">
        <v>55</v>
      </c>
      <c r="F2337" t="s">
        <v>54</v>
      </c>
      <c r="G2337">
        <v>753.23</v>
      </c>
      <c r="H2337" t="s">
        <v>15</v>
      </c>
      <c r="I2337" t="s">
        <v>22</v>
      </c>
      <c r="J2337" t="s">
        <v>89</v>
      </c>
    </row>
    <row r="2338" spans="1:10" x14ac:dyDescent="0.35">
      <c r="A2338" t="s">
        <v>2522</v>
      </c>
      <c r="B2338" s="1">
        <v>46080</v>
      </c>
      <c r="C2338" t="s">
        <v>138</v>
      </c>
      <c r="D2338" t="s">
        <v>12</v>
      </c>
      <c r="E2338" t="s">
        <v>26</v>
      </c>
      <c r="F2338" t="s">
        <v>14</v>
      </c>
      <c r="G2338">
        <v>33.520000000000003</v>
      </c>
      <c r="H2338" t="s">
        <v>15</v>
      </c>
      <c r="I2338" t="s">
        <v>22</v>
      </c>
      <c r="J2338" t="s">
        <v>77</v>
      </c>
    </row>
    <row r="2339" spans="1:10" x14ac:dyDescent="0.35">
      <c r="A2339" t="s">
        <v>2523</v>
      </c>
      <c r="B2339" s="1">
        <v>46081</v>
      </c>
      <c r="C2339" t="s">
        <v>73</v>
      </c>
      <c r="D2339" t="s">
        <v>54</v>
      </c>
      <c r="E2339" t="s">
        <v>74</v>
      </c>
      <c r="F2339" t="s">
        <v>54</v>
      </c>
      <c r="G2339">
        <v>2654.55</v>
      </c>
      <c r="H2339" t="s">
        <v>15</v>
      </c>
      <c r="I2339" t="s">
        <v>47</v>
      </c>
      <c r="J2339" t="s">
        <v>65</v>
      </c>
    </row>
    <row r="2340" spans="1:10" x14ac:dyDescent="0.35">
      <c r="A2340" t="s">
        <v>2524</v>
      </c>
      <c r="B2340" s="1">
        <v>46081</v>
      </c>
      <c r="C2340" t="s">
        <v>215</v>
      </c>
      <c r="D2340" t="s">
        <v>80</v>
      </c>
      <c r="E2340" t="s">
        <v>117</v>
      </c>
      <c r="F2340" t="s">
        <v>14</v>
      </c>
      <c r="G2340">
        <v>22.05</v>
      </c>
      <c r="H2340" t="s">
        <v>15</v>
      </c>
      <c r="I2340" t="s">
        <v>22</v>
      </c>
      <c r="J2340" t="s">
        <v>141</v>
      </c>
    </row>
    <row r="2341" spans="1:10" x14ac:dyDescent="0.35">
      <c r="A2341" t="s">
        <v>2525</v>
      </c>
      <c r="B2341" s="1">
        <v>46081</v>
      </c>
      <c r="C2341" t="s">
        <v>168</v>
      </c>
      <c r="D2341" t="s">
        <v>59</v>
      </c>
      <c r="E2341" t="s">
        <v>60</v>
      </c>
      <c r="F2341" t="s">
        <v>14</v>
      </c>
      <c r="G2341">
        <v>249.36</v>
      </c>
      <c r="H2341" t="s">
        <v>21</v>
      </c>
      <c r="I2341" t="s">
        <v>22</v>
      </c>
      <c r="J2341" t="s">
        <v>170</v>
      </c>
    </row>
    <row r="2342" spans="1:10" x14ac:dyDescent="0.35">
      <c r="A2342" t="s">
        <v>2526</v>
      </c>
      <c r="B2342" s="1">
        <v>46081</v>
      </c>
      <c r="C2342" t="s">
        <v>259</v>
      </c>
      <c r="D2342" t="s">
        <v>59</v>
      </c>
      <c r="E2342" t="s">
        <v>199</v>
      </c>
      <c r="F2342" t="s">
        <v>14</v>
      </c>
      <c r="G2342">
        <v>59.14</v>
      </c>
      <c r="H2342" t="s">
        <v>15</v>
      </c>
      <c r="I2342" t="s">
        <v>47</v>
      </c>
      <c r="J2342" t="s">
        <v>170</v>
      </c>
    </row>
    <row r="2343" spans="1:10" x14ac:dyDescent="0.35">
      <c r="A2343" t="s">
        <v>2527</v>
      </c>
      <c r="B2343" s="1">
        <v>46081</v>
      </c>
      <c r="C2343" t="s">
        <v>53</v>
      </c>
      <c r="D2343" t="s">
        <v>54</v>
      </c>
      <c r="E2343" t="s">
        <v>55</v>
      </c>
      <c r="F2343" t="s">
        <v>54</v>
      </c>
      <c r="G2343">
        <v>819.81</v>
      </c>
      <c r="H2343" t="s">
        <v>21</v>
      </c>
      <c r="I2343" t="s">
        <v>22</v>
      </c>
      <c r="J2343" t="s">
        <v>56</v>
      </c>
    </row>
    <row r="2344" spans="1:10" x14ac:dyDescent="0.35">
      <c r="A2344" t="s">
        <v>2528</v>
      </c>
      <c r="B2344" s="1">
        <v>46081</v>
      </c>
      <c r="C2344" t="s">
        <v>63</v>
      </c>
      <c r="D2344" t="s">
        <v>54</v>
      </c>
      <c r="E2344" t="s">
        <v>64</v>
      </c>
      <c r="F2344" t="s">
        <v>54</v>
      </c>
      <c r="G2344">
        <v>301.14</v>
      </c>
      <c r="H2344" t="s">
        <v>21</v>
      </c>
      <c r="I2344" t="s">
        <v>36</v>
      </c>
      <c r="J2344" t="s">
        <v>65</v>
      </c>
    </row>
    <row r="2345" spans="1:10" x14ac:dyDescent="0.35">
      <c r="A2345" t="s">
        <v>2529</v>
      </c>
      <c r="B2345" s="1">
        <v>46082</v>
      </c>
      <c r="C2345" t="s">
        <v>153</v>
      </c>
      <c r="D2345" t="s">
        <v>34</v>
      </c>
      <c r="E2345" t="s">
        <v>122</v>
      </c>
      <c r="F2345" t="s">
        <v>14</v>
      </c>
      <c r="G2345">
        <v>116.23</v>
      </c>
      <c r="H2345" t="s">
        <v>21</v>
      </c>
      <c r="I2345" t="s">
        <v>22</v>
      </c>
      <c r="J2345" t="s">
        <v>41</v>
      </c>
    </row>
    <row r="2346" spans="1:10" x14ac:dyDescent="0.35">
      <c r="A2346" t="s">
        <v>2530</v>
      </c>
      <c r="B2346" s="1">
        <v>46082</v>
      </c>
      <c r="C2346" t="s">
        <v>184</v>
      </c>
      <c r="D2346" t="s">
        <v>59</v>
      </c>
      <c r="E2346" t="s">
        <v>185</v>
      </c>
      <c r="F2346" t="s">
        <v>14</v>
      </c>
      <c r="G2346">
        <v>97.43</v>
      </c>
      <c r="H2346" t="s">
        <v>21</v>
      </c>
      <c r="I2346" t="s">
        <v>22</v>
      </c>
      <c r="J2346" t="s">
        <v>61</v>
      </c>
    </row>
    <row r="2347" spans="1:10" x14ac:dyDescent="0.35">
      <c r="A2347" t="s">
        <v>2531</v>
      </c>
      <c r="B2347" s="1">
        <v>46082</v>
      </c>
      <c r="C2347" t="s">
        <v>46</v>
      </c>
      <c r="D2347" t="s">
        <v>12</v>
      </c>
      <c r="E2347" t="s">
        <v>13</v>
      </c>
      <c r="F2347" t="s">
        <v>14</v>
      </c>
      <c r="G2347">
        <v>123.34</v>
      </c>
      <c r="H2347" t="s">
        <v>21</v>
      </c>
      <c r="I2347" t="s">
        <v>22</v>
      </c>
      <c r="J2347" t="s">
        <v>48</v>
      </c>
    </row>
    <row r="2348" spans="1:10" x14ac:dyDescent="0.35">
      <c r="A2348" t="s">
        <v>2532</v>
      </c>
      <c r="B2348" s="1">
        <v>46082</v>
      </c>
      <c r="C2348" t="s">
        <v>140</v>
      </c>
      <c r="D2348" t="s">
        <v>80</v>
      </c>
      <c r="E2348" t="s">
        <v>81</v>
      </c>
      <c r="F2348" t="s">
        <v>14</v>
      </c>
      <c r="G2348">
        <v>83.75</v>
      </c>
      <c r="H2348" t="s">
        <v>15</v>
      </c>
      <c r="I2348" t="s">
        <v>36</v>
      </c>
      <c r="J2348" t="s">
        <v>141</v>
      </c>
    </row>
    <row r="2349" spans="1:10" x14ac:dyDescent="0.35">
      <c r="A2349" t="s">
        <v>2533</v>
      </c>
      <c r="B2349" s="1">
        <v>46083</v>
      </c>
      <c r="C2349" t="s">
        <v>46</v>
      </c>
      <c r="D2349" t="s">
        <v>12</v>
      </c>
      <c r="E2349" t="s">
        <v>13</v>
      </c>
      <c r="F2349" t="s">
        <v>14</v>
      </c>
      <c r="G2349">
        <v>48.95</v>
      </c>
      <c r="H2349" t="s">
        <v>21</v>
      </c>
      <c r="I2349" t="s">
        <v>22</v>
      </c>
      <c r="J2349" t="s">
        <v>48</v>
      </c>
    </row>
    <row r="2350" spans="1:10" x14ac:dyDescent="0.35">
      <c r="A2350" t="s">
        <v>2534</v>
      </c>
      <c r="B2350" s="1">
        <v>46083</v>
      </c>
      <c r="C2350" t="s">
        <v>130</v>
      </c>
      <c r="D2350" t="s">
        <v>12</v>
      </c>
      <c r="E2350" t="s">
        <v>26</v>
      </c>
      <c r="F2350" t="s">
        <v>14</v>
      </c>
      <c r="G2350">
        <v>50.95</v>
      </c>
      <c r="H2350" t="s">
        <v>15</v>
      </c>
      <c r="I2350" t="s">
        <v>22</v>
      </c>
      <c r="J2350" t="s">
        <v>48</v>
      </c>
    </row>
    <row r="2351" spans="1:10" x14ac:dyDescent="0.35">
      <c r="A2351" t="s">
        <v>2535</v>
      </c>
      <c r="B2351" s="1">
        <v>46083</v>
      </c>
      <c r="C2351" t="s">
        <v>296</v>
      </c>
      <c r="D2351" t="s">
        <v>101</v>
      </c>
      <c r="E2351" t="s">
        <v>136</v>
      </c>
      <c r="F2351" t="s">
        <v>14</v>
      </c>
      <c r="G2351">
        <v>59.01</v>
      </c>
      <c r="H2351" t="s">
        <v>15</v>
      </c>
      <c r="I2351" t="s">
        <v>22</v>
      </c>
      <c r="J2351" t="s">
        <v>136</v>
      </c>
    </row>
    <row r="2352" spans="1:10" x14ac:dyDescent="0.35">
      <c r="A2352" t="s">
        <v>2536</v>
      </c>
      <c r="B2352" s="1">
        <v>46083</v>
      </c>
      <c r="C2352" t="s">
        <v>424</v>
      </c>
      <c r="D2352" t="s">
        <v>101</v>
      </c>
      <c r="E2352" t="s">
        <v>136</v>
      </c>
      <c r="F2352" t="s">
        <v>14</v>
      </c>
      <c r="G2352">
        <v>36.75</v>
      </c>
      <c r="H2352" t="s">
        <v>21</v>
      </c>
      <c r="I2352" t="s">
        <v>47</v>
      </c>
      <c r="J2352" t="s">
        <v>102</v>
      </c>
    </row>
    <row r="2353" spans="1:10" x14ac:dyDescent="0.35">
      <c r="A2353" t="s">
        <v>2537</v>
      </c>
      <c r="B2353" s="1">
        <v>46083</v>
      </c>
      <c r="C2353" t="s">
        <v>220</v>
      </c>
      <c r="D2353" t="s">
        <v>59</v>
      </c>
      <c r="E2353" t="s">
        <v>199</v>
      </c>
      <c r="F2353" t="s">
        <v>14</v>
      </c>
      <c r="G2353">
        <v>451.51</v>
      </c>
      <c r="H2353" t="s">
        <v>21</v>
      </c>
      <c r="I2353" t="s">
        <v>22</v>
      </c>
      <c r="J2353" t="s">
        <v>211</v>
      </c>
    </row>
    <row r="2354" spans="1:10" x14ac:dyDescent="0.35">
      <c r="A2354" t="s">
        <v>2538</v>
      </c>
      <c r="B2354" s="1">
        <v>46083</v>
      </c>
      <c r="C2354" t="s">
        <v>395</v>
      </c>
      <c r="D2354" t="s">
        <v>69</v>
      </c>
      <c r="E2354" t="s">
        <v>291</v>
      </c>
      <c r="F2354" t="s">
        <v>14</v>
      </c>
      <c r="G2354">
        <v>1037.19</v>
      </c>
      <c r="H2354" t="s">
        <v>21</v>
      </c>
      <c r="I2354" t="s">
        <v>22</v>
      </c>
      <c r="J2354" t="s">
        <v>396</v>
      </c>
    </row>
    <row r="2355" spans="1:10" x14ac:dyDescent="0.35">
      <c r="A2355" t="s">
        <v>2539</v>
      </c>
      <c r="B2355" s="1">
        <v>46084</v>
      </c>
      <c r="C2355" t="s">
        <v>415</v>
      </c>
      <c r="D2355" t="s">
        <v>12</v>
      </c>
      <c r="E2355" t="s">
        <v>51</v>
      </c>
      <c r="F2355" t="s">
        <v>14</v>
      </c>
      <c r="G2355">
        <v>180</v>
      </c>
      <c r="H2355" t="s">
        <v>15</v>
      </c>
      <c r="I2355" t="s">
        <v>16</v>
      </c>
      <c r="J2355" t="s">
        <v>77</v>
      </c>
    </row>
    <row r="2356" spans="1:10" x14ac:dyDescent="0.35">
      <c r="A2356" t="s">
        <v>2540</v>
      </c>
      <c r="B2356" s="1">
        <v>46084</v>
      </c>
      <c r="C2356" t="s">
        <v>192</v>
      </c>
      <c r="D2356" t="s">
        <v>80</v>
      </c>
      <c r="E2356" t="s">
        <v>92</v>
      </c>
      <c r="F2356" t="s">
        <v>14</v>
      </c>
      <c r="G2356">
        <v>27.11</v>
      </c>
      <c r="H2356" t="s">
        <v>21</v>
      </c>
      <c r="I2356" t="s">
        <v>36</v>
      </c>
      <c r="J2356" t="s">
        <v>180</v>
      </c>
    </row>
    <row r="2357" spans="1:10" x14ac:dyDescent="0.35">
      <c r="A2357" t="s">
        <v>2541</v>
      </c>
      <c r="B2357" s="1">
        <v>46084</v>
      </c>
      <c r="C2357" t="s">
        <v>238</v>
      </c>
      <c r="D2357" t="s">
        <v>34</v>
      </c>
      <c r="E2357" t="s">
        <v>35</v>
      </c>
      <c r="F2357" t="s">
        <v>14</v>
      </c>
      <c r="G2357">
        <v>30.44</v>
      </c>
      <c r="H2357" t="s">
        <v>15</v>
      </c>
      <c r="I2357" t="s">
        <v>22</v>
      </c>
      <c r="J2357" t="s">
        <v>239</v>
      </c>
    </row>
    <row r="2358" spans="1:10" x14ac:dyDescent="0.35">
      <c r="A2358" t="s">
        <v>2542</v>
      </c>
      <c r="B2358" s="1">
        <v>46084</v>
      </c>
      <c r="C2358" t="s">
        <v>281</v>
      </c>
      <c r="D2358" t="s">
        <v>34</v>
      </c>
      <c r="E2358" t="s">
        <v>40</v>
      </c>
      <c r="F2358" t="s">
        <v>14</v>
      </c>
      <c r="G2358">
        <v>241.9</v>
      </c>
      <c r="H2358" t="s">
        <v>15</v>
      </c>
      <c r="I2358" t="s">
        <v>47</v>
      </c>
      <c r="J2358" t="s">
        <v>123</v>
      </c>
    </row>
    <row r="2359" spans="1:10" x14ac:dyDescent="0.35">
      <c r="A2359" t="s">
        <v>2543</v>
      </c>
      <c r="B2359" s="1">
        <v>46084</v>
      </c>
      <c r="C2359" t="s">
        <v>121</v>
      </c>
      <c r="D2359" t="s">
        <v>34</v>
      </c>
      <c r="E2359" t="s">
        <v>122</v>
      </c>
      <c r="F2359" t="s">
        <v>14</v>
      </c>
      <c r="G2359">
        <v>99.85</v>
      </c>
      <c r="H2359" t="s">
        <v>98</v>
      </c>
      <c r="I2359" t="s">
        <v>22</v>
      </c>
      <c r="J2359" t="s">
        <v>123</v>
      </c>
    </row>
    <row r="2360" spans="1:10" x14ac:dyDescent="0.35">
      <c r="A2360" t="s">
        <v>2544</v>
      </c>
      <c r="B2360" s="1">
        <v>46084</v>
      </c>
      <c r="C2360" t="s">
        <v>251</v>
      </c>
      <c r="D2360" t="s">
        <v>29</v>
      </c>
      <c r="E2360" t="s">
        <v>151</v>
      </c>
      <c r="F2360" t="s">
        <v>14</v>
      </c>
      <c r="G2360">
        <v>26.69</v>
      </c>
      <c r="H2360" t="s">
        <v>15</v>
      </c>
      <c r="I2360" t="s">
        <v>47</v>
      </c>
      <c r="J2360" t="s">
        <v>31</v>
      </c>
    </row>
    <row r="2361" spans="1:10" x14ac:dyDescent="0.35">
      <c r="A2361" t="s">
        <v>2545</v>
      </c>
      <c r="B2361" s="1">
        <v>46084</v>
      </c>
      <c r="C2361" t="s">
        <v>259</v>
      </c>
      <c r="D2361" t="s">
        <v>59</v>
      </c>
      <c r="E2361" t="s">
        <v>199</v>
      </c>
      <c r="F2361" t="s">
        <v>14</v>
      </c>
      <c r="G2361">
        <v>425.57</v>
      </c>
      <c r="H2361" t="s">
        <v>15</v>
      </c>
      <c r="I2361" t="s">
        <v>22</v>
      </c>
      <c r="J2361" t="s">
        <v>170</v>
      </c>
    </row>
    <row r="2362" spans="1:10" x14ac:dyDescent="0.35">
      <c r="A2362" t="s">
        <v>2546</v>
      </c>
      <c r="B2362" s="1">
        <v>46085</v>
      </c>
      <c r="C2362" t="s">
        <v>272</v>
      </c>
      <c r="D2362" t="s">
        <v>54</v>
      </c>
      <c r="E2362" t="s">
        <v>55</v>
      </c>
      <c r="F2362" t="s">
        <v>54</v>
      </c>
      <c r="G2362">
        <v>550.66</v>
      </c>
      <c r="H2362" t="s">
        <v>21</v>
      </c>
      <c r="I2362" t="s">
        <v>16</v>
      </c>
      <c r="J2362" t="s">
        <v>65</v>
      </c>
    </row>
    <row r="2363" spans="1:10" x14ac:dyDescent="0.35">
      <c r="A2363" t="s">
        <v>2547</v>
      </c>
      <c r="B2363" s="1">
        <v>46085</v>
      </c>
      <c r="C2363" t="s">
        <v>121</v>
      </c>
      <c r="D2363" t="s">
        <v>34</v>
      </c>
      <c r="E2363" t="s">
        <v>122</v>
      </c>
      <c r="F2363" t="s">
        <v>14</v>
      </c>
      <c r="G2363">
        <v>271.47000000000003</v>
      </c>
      <c r="H2363" t="s">
        <v>15</v>
      </c>
      <c r="I2363" t="s">
        <v>36</v>
      </c>
      <c r="J2363" t="s">
        <v>123</v>
      </c>
    </row>
    <row r="2364" spans="1:10" x14ac:dyDescent="0.35">
      <c r="A2364" t="s">
        <v>2548</v>
      </c>
      <c r="B2364" s="1">
        <v>46085</v>
      </c>
      <c r="C2364" t="s">
        <v>88</v>
      </c>
      <c r="D2364" t="s">
        <v>54</v>
      </c>
      <c r="E2364" t="s">
        <v>74</v>
      </c>
      <c r="F2364" t="s">
        <v>54</v>
      </c>
      <c r="G2364">
        <v>2565.21</v>
      </c>
      <c r="H2364" t="s">
        <v>15</v>
      </c>
      <c r="I2364" t="s">
        <v>47</v>
      </c>
      <c r="J2364" t="s">
        <v>89</v>
      </c>
    </row>
    <row r="2365" spans="1:10" x14ac:dyDescent="0.35">
      <c r="A2365" t="s">
        <v>2549</v>
      </c>
      <c r="B2365" s="1">
        <v>46085</v>
      </c>
      <c r="C2365" t="s">
        <v>308</v>
      </c>
      <c r="D2365" t="s">
        <v>54</v>
      </c>
      <c r="E2365" t="s">
        <v>64</v>
      </c>
      <c r="F2365" t="s">
        <v>54</v>
      </c>
      <c r="G2365">
        <v>316.5</v>
      </c>
      <c r="H2365" t="s">
        <v>21</v>
      </c>
      <c r="I2365" t="s">
        <v>22</v>
      </c>
      <c r="J2365" t="s">
        <v>89</v>
      </c>
    </row>
    <row r="2366" spans="1:10" x14ac:dyDescent="0.35">
      <c r="A2366" t="s">
        <v>2550</v>
      </c>
      <c r="B2366" s="1">
        <v>46085</v>
      </c>
      <c r="C2366" t="s">
        <v>19</v>
      </c>
      <c r="D2366" t="s">
        <v>12</v>
      </c>
      <c r="E2366" t="s">
        <v>13</v>
      </c>
      <c r="F2366" t="s">
        <v>14</v>
      </c>
      <c r="G2366">
        <v>67.08</v>
      </c>
      <c r="H2366" t="s">
        <v>15</v>
      </c>
      <c r="I2366" t="s">
        <v>47</v>
      </c>
      <c r="J2366" t="s">
        <v>23</v>
      </c>
    </row>
    <row r="2367" spans="1:10" x14ac:dyDescent="0.35">
      <c r="A2367" t="s">
        <v>2551</v>
      </c>
      <c r="B2367" s="1">
        <v>46085</v>
      </c>
      <c r="C2367" t="s">
        <v>411</v>
      </c>
      <c r="D2367" t="s">
        <v>29</v>
      </c>
      <c r="E2367" t="s">
        <v>151</v>
      </c>
      <c r="F2367" t="s">
        <v>14</v>
      </c>
      <c r="G2367">
        <v>28.56</v>
      </c>
      <c r="H2367" t="s">
        <v>15</v>
      </c>
      <c r="I2367" t="s">
        <v>36</v>
      </c>
      <c r="J2367" t="s">
        <v>151</v>
      </c>
    </row>
    <row r="2368" spans="1:10" x14ac:dyDescent="0.35">
      <c r="A2368" t="s">
        <v>2552</v>
      </c>
      <c r="B2368" s="1">
        <v>46085</v>
      </c>
      <c r="C2368" t="s">
        <v>229</v>
      </c>
      <c r="D2368" t="s">
        <v>54</v>
      </c>
      <c r="E2368" t="s">
        <v>64</v>
      </c>
      <c r="F2368" t="s">
        <v>54</v>
      </c>
      <c r="G2368">
        <v>386.88</v>
      </c>
      <c r="H2368" t="s">
        <v>98</v>
      </c>
      <c r="I2368" t="s">
        <v>47</v>
      </c>
      <c r="J2368" t="s">
        <v>56</v>
      </c>
    </row>
    <row r="2369" spans="1:10" x14ac:dyDescent="0.35">
      <c r="A2369" t="s">
        <v>2553</v>
      </c>
      <c r="B2369" s="1">
        <v>46085</v>
      </c>
      <c r="C2369" t="s">
        <v>25</v>
      </c>
      <c r="D2369" t="s">
        <v>12</v>
      </c>
      <c r="E2369" t="s">
        <v>26</v>
      </c>
      <c r="F2369" t="s">
        <v>14</v>
      </c>
      <c r="G2369">
        <v>34.32</v>
      </c>
      <c r="H2369" t="s">
        <v>15</v>
      </c>
      <c r="I2369" t="s">
        <v>47</v>
      </c>
      <c r="J2369" t="s">
        <v>17</v>
      </c>
    </row>
    <row r="2370" spans="1:10" x14ac:dyDescent="0.35">
      <c r="A2370" t="s">
        <v>2554</v>
      </c>
      <c r="B2370" s="1">
        <v>46086</v>
      </c>
      <c r="C2370" t="s">
        <v>25</v>
      </c>
      <c r="D2370" t="s">
        <v>12</v>
      </c>
      <c r="E2370" t="s">
        <v>26</v>
      </c>
      <c r="F2370" t="s">
        <v>14</v>
      </c>
      <c r="G2370">
        <v>51.81</v>
      </c>
      <c r="H2370" t="s">
        <v>15</v>
      </c>
      <c r="I2370" t="s">
        <v>22</v>
      </c>
      <c r="J2370" t="s">
        <v>17</v>
      </c>
    </row>
    <row r="2371" spans="1:10" x14ac:dyDescent="0.35">
      <c r="A2371" t="s">
        <v>2555</v>
      </c>
      <c r="B2371" s="1">
        <v>46086</v>
      </c>
      <c r="C2371" t="s">
        <v>189</v>
      </c>
      <c r="D2371" t="s">
        <v>34</v>
      </c>
      <c r="E2371" t="s">
        <v>122</v>
      </c>
      <c r="F2371" t="s">
        <v>14</v>
      </c>
      <c r="G2371">
        <v>120.79</v>
      </c>
      <c r="H2371" t="s">
        <v>15</v>
      </c>
      <c r="I2371" t="s">
        <v>36</v>
      </c>
      <c r="J2371" t="s">
        <v>37</v>
      </c>
    </row>
    <row r="2372" spans="1:10" x14ac:dyDescent="0.35">
      <c r="A2372" t="s">
        <v>2556</v>
      </c>
      <c r="B2372" s="1">
        <v>46086</v>
      </c>
      <c r="C2372" t="s">
        <v>232</v>
      </c>
      <c r="D2372" t="s">
        <v>69</v>
      </c>
      <c r="E2372" t="s">
        <v>233</v>
      </c>
      <c r="F2372" t="s">
        <v>14</v>
      </c>
      <c r="G2372">
        <v>561.69000000000005</v>
      </c>
      <c r="H2372" t="s">
        <v>98</v>
      </c>
      <c r="I2372" t="s">
        <v>36</v>
      </c>
      <c r="J2372" t="s">
        <v>71</v>
      </c>
    </row>
    <row r="2373" spans="1:10" x14ac:dyDescent="0.35">
      <c r="A2373" t="s">
        <v>2557</v>
      </c>
      <c r="B2373" s="1">
        <v>46086</v>
      </c>
      <c r="C2373" t="s">
        <v>109</v>
      </c>
      <c r="D2373" t="s">
        <v>34</v>
      </c>
      <c r="E2373" t="s">
        <v>35</v>
      </c>
      <c r="F2373" t="s">
        <v>14</v>
      </c>
      <c r="G2373">
        <v>247.22</v>
      </c>
      <c r="H2373" t="s">
        <v>15</v>
      </c>
      <c r="I2373" t="s">
        <v>22</v>
      </c>
      <c r="J2373" t="s">
        <v>41</v>
      </c>
    </row>
    <row r="2374" spans="1:10" x14ac:dyDescent="0.35">
      <c r="A2374" t="s">
        <v>2558</v>
      </c>
      <c r="B2374" s="1">
        <v>46086</v>
      </c>
      <c r="C2374" t="s">
        <v>251</v>
      </c>
      <c r="D2374" t="s">
        <v>29</v>
      </c>
      <c r="E2374" t="s">
        <v>151</v>
      </c>
      <c r="F2374" t="s">
        <v>14</v>
      </c>
      <c r="G2374">
        <v>30.73</v>
      </c>
      <c r="H2374" t="s">
        <v>98</v>
      </c>
      <c r="I2374" t="s">
        <v>22</v>
      </c>
      <c r="J2374" t="s">
        <v>31</v>
      </c>
    </row>
    <row r="2375" spans="1:10" x14ac:dyDescent="0.35">
      <c r="A2375" t="s">
        <v>2559</v>
      </c>
      <c r="B2375" s="1">
        <v>46087</v>
      </c>
      <c r="C2375" t="s">
        <v>109</v>
      </c>
      <c r="D2375" t="s">
        <v>34</v>
      </c>
      <c r="E2375" t="s">
        <v>35</v>
      </c>
      <c r="F2375" t="s">
        <v>14</v>
      </c>
      <c r="G2375">
        <v>34.53</v>
      </c>
      <c r="H2375" t="s">
        <v>15</v>
      </c>
      <c r="I2375" t="s">
        <v>36</v>
      </c>
      <c r="J2375" t="s">
        <v>41</v>
      </c>
    </row>
    <row r="2376" spans="1:10" x14ac:dyDescent="0.35">
      <c r="A2376" t="s">
        <v>2560</v>
      </c>
      <c r="B2376" s="1">
        <v>46087</v>
      </c>
      <c r="C2376" t="s">
        <v>43</v>
      </c>
      <c r="D2376" t="s">
        <v>12</v>
      </c>
      <c r="E2376" t="s">
        <v>26</v>
      </c>
      <c r="F2376" t="s">
        <v>14</v>
      </c>
      <c r="G2376">
        <v>21.41</v>
      </c>
      <c r="H2376" t="s">
        <v>21</v>
      </c>
      <c r="I2376" t="s">
        <v>47</v>
      </c>
      <c r="J2376" t="s">
        <v>44</v>
      </c>
    </row>
    <row r="2377" spans="1:10" x14ac:dyDescent="0.35">
      <c r="A2377" t="s">
        <v>2561</v>
      </c>
      <c r="B2377" s="1">
        <v>46087</v>
      </c>
      <c r="C2377" t="s">
        <v>39</v>
      </c>
      <c r="D2377" t="s">
        <v>34</v>
      </c>
      <c r="E2377" t="s">
        <v>40</v>
      </c>
      <c r="F2377" t="s">
        <v>14</v>
      </c>
      <c r="G2377">
        <v>142.16</v>
      </c>
      <c r="H2377" t="s">
        <v>15</v>
      </c>
      <c r="I2377" t="s">
        <v>47</v>
      </c>
      <c r="J2377" t="s">
        <v>41</v>
      </c>
    </row>
    <row r="2378" spans="1:10" x14ac:dyDescent="0.35">
      <c r="A2378" t="s">
        <v>2562</v>
      </c>
      <c r="B2378" s="1">
        <v>46087</v>
      </c>
      <c r="C2378" t="s">
        <v>220</v>
      </c>
      <c r="D2378" t="s">
        <v>59</v>
      </c>
      <c r="E2378" t="s">
        <v>199</v>
      </c>
      <c r="F2378" t="s">
        <v>14</v>
      </c>
      <c r="G2378">
        <v>533.13</v>
      </c>
      <c r="H2378" t="s">
        <v>15</v>
      </c>
      <c r="I2378" t="s">
        <v>47</v>
      </c>
      <c r="J2378" t="s">
        <v>211</v>
      </c>
    </row>
    <row r="2379" spans="1:10" x14ac:dyDescent="0.35">
      <c r="A2379" t="s">
        <v>2563</v>
      </c>
      <c r="B2379" s="1">
        <v>46088</v>
      </c>
      <c r="C2379" t="s">
        <v>415</v>
      </c>
      <c r="D2379" t="s">
        <v>12</v>
      </c>
      <c r="E2379" t="s">
        <v>51</v>
      </c>
      <c r="F2379" t="s">
        <v>14</v>
      </c>
      <c r="G2379">
        <v>89.97</v>
      </c>
      <c r="H2379" t="s">
        <v>15</v>
      </c>
      <c r="I2379" t="s">
        <v>36</v>
      </c>
      <c r="J2379" t="s">
        <v>77</v>
      </c>
    </row>
    <row r="2380" spans="1:10" x14ac:dyDescent="0.35">
      <c r="A2380" t="s">
        <v>2564</v>
      </c>
      <c r="B2380" s="1">
        <v>46088</v>
      </c>
      <c r="C2380" t="s">
        <v>130</v>
      </c>
      <c r="D2380" t="s">
        <v>12</v>
      </c>
      <c r="E2380" t="s">
        <v>26</v>
      </c>
      <c r="F2380" t="s">
        <v>14</v>
      </c>
      <c r="G2380">
        <v>68.92</v>
      </c>
      <c r="H2380" t="s">
        <v>15</v>
      </c>
      <c r="I2380" t="s">
        <v>36</v>
      </c>
      <c r="J2380" t="s">
        <v>48</v>
      </c>
    </row>
    <row r="2381" spans="1:10" x14ac:dyDescent="0.35">
      <c r="A2381" t="s">
        <v>2565</v>
      </c>
      <c r="B2381" s="1">
        <v>46089</v>
      </c>
      <c r="C2381" t="s">
        <v>395</v>
      </c>
      <c r="D2381" t="s">
        <v>69</v>
      </c>
      <c r="E2381" t="s">
        <v>291</v>
      </c>
      <c r="F2381" t="s">
        <v>14</v>
      </c>
      <c r="G2381">
        <v>675.2</v>
      </c>
      <c r="H2381" t="s">
        <v>15</v>
      </c>
      <c r="I2381" t="s">
        <v>22</v>
      </c>
      <c r="J2381" t="s">
        <v>396</v>
      </c>
    </row>
    <row r="2382" spans="1:10" x14ac:dyDescent="0.35">
      <c r="A2382" t="s">
        <v>2566</v>
      </c>
      <c r="B2382" s="1">
        <v>46089</v>
      </c>
      <c r="C2382" t="s">
        <v>157</v>
      </c>
      <c r="D2382" t="s">
        <v>29</v>
      </c>
      <c r="E2382" t="s">
        <v>95</v>
      </c>
      <c r="F2382" t="s">
        <v>14</v>
      </c>
      <c r="G2382">
        <v>77.53</v>
      </c>
      <c r="H2382" t="s">
        <v>21</v>
      </c>
      <c r="I2382" t="s">
        <v>22</v>
      </c>
      <c r="J2382" t="s">
        <v>158</v>
      </c>
    </row>
    <row r="2383" spans="1:10" x14ac:dyDescent="0.35">
      <c r="A2383" t="s">
        <v>2567</v>
      </c>
      <c r="B2383" s="1">
        <v>46089</v>
      </c>
      <c r="C2383" t="s">
        <v>298</v>
      </c>
      <c r="D2383" t="s">
        <v>59</v>
      </c>
      <c r="E2383" t="s">
        <v>185</v>
      </c>
      <c r="F2383" t="s">
        <v>14</v>
      </c>
      <c r="G2383">
        <v>521.64</v>
      </c>
      <c r="H2383" t="s">
        <v>15</v>
      </c>
      <c r="I2383" t="s">
        <v>36</v>
      </c>
      <c r="J2383" t="s">
        <v>170</v>
      </c>
    </row>
    <row r="2384" spans="1:10" x14ac:dyDescent="0.35">
      <c r="A2384" t="s">
        <v>2568</v>
      </c>
      <c r="B2384" s="1">
        <v>46090</v>
      </c>
      <c r="C2384" t="s">
        <v>50</v>
      </c>
      <c r="D2384" t="s">
        <v>12</v>
      </c>
      <c r="E2384" t="s">
        <v>51</v>
      </c>
      <c r="F2384" t="s">
        <v>14</v>
      </c>
      <c r="G2384">
        <v>55.63</v>
      </c>
      <c r="H2384" t="s">
        <v>15</v>
      </c>
      <c r="I2384" t="s">
        <v>36</v>
      </c>
      <c r="J2384" t="s">
        <v>44</v>
      </c>
    </row>
    <row r="2385" spans="1:10" x14ac:dyDescent="0.35">
      <c r="A2385" t="s">
        <v>2569</v>
      </c>
      <c r="B2385" s="1">
        <v>46090</v>
      </c>
      <c r="C2385" t="s">
        <v>155</v>
      </c>
      <c r="D2385" t="s">
        <v>12</v>
      </c>
      <c r="E2385" t="s">
        <v>51</v>
      </c>
      <c r="F2385" t="s">
        <v>14</v>
      </c>
      <c r="G2385">
        <v>81.91</v>
      </c>
      <c r="H2385" t="s">
        <v>21</v>
      </c>
      <c r="I2385" t="s">
        <v>36</v>
      </c>
      <c r="J2385" t="s">
        <v>48</v>
      </c>
    </row>
    <row r="2386" spans="1:10" x14ac:dyDescent="0.35">
      <c r="A2386" t="s">
        <v>2570</v>
      </c>
      <c r="B2386" s="1">
        <v>46090</v>
      </c>
      <c r="C2386" t="s">
        <v>243</v>
      </c>
      <c r="D2386" t="s">
        <v>101</v>
      </c>
      <c r="E2386" t="s">
        <v>244</v>
      </c>
      <c r="F2386" t="s">
        <v>14</v>
      </c>
      <c r="G2386">
        <v>42.25</v>
      </c>
      <c r="H2386" t="s">
        <v>21</v>
      </c>
      <c r="I2386" t="s">
        <v>22</v>
      </c>
      <c r="J2386" t="s">
        <v>102</v>
      </c>
    </row>
    <row r="2387" spans="1:10" x14ac:dyDescent="0.35">
      <c r="A2387" t="s">
        <v>2571</v>
      </c>
      <c r="B2387" s="1">
        <v>46090</v>
      </c>
      <c r="C2387" t="s">
        <v>155</v>
      </c>
      <c r="D2387" t="s">
        <v>12</v>
      </c>
      <c r="E2387" t="s">
        <v>51</v>
      </c>
      <c r="F2387" t="s">
        <v>14</v>
      </c>
      <c r="G2387">
        <v>20.92</v>
      </c>
      <c r="H2387" t="s">
        <v>15</v>
      </c>
      <c r="I2387" t="s">
        <v>36</v>
      </c>
      <c r="J2387" t="s">
        <v>48</v>
      </c>
    </row>
    <row r="2388" spans="1:10" x14ac:dyDescent="0.35">
      <c r="A2388" t="s">
        <v>2572</v>
      </c>
      <c r="B2388" s="1">
        <v>46091</v>
      </c>
      <c r="C2388" t="s">
        <v>73</v>
      </c>
      <c r="D2388" t="s">
        <v>54</v>
      </c>
      <c r="E2388" t="s">
        <v>74</v>
      </c>
      <c r="F2388" t="s">
        <v>54</v>
      </c>
      <c r="G2388">
        <v>2798.94</v>
      </c>
      <c r="H2388" t="s">
        <v>98</v>
      </c>
      <c r="I2388" t="s">
        <v>47</v>
      </c>
      <c r="J2388" t="s">
        <v>65</v>
      </c>
    </row>
    <row r="2389" spans="1:10" x14ac:dyDescent="0.35">
      <c r="A2389" t="s">
        <v>2573</v>
      </c>
      <c r="B2389" s="1">
        <v>46091</v>
      </c>
      <c r="C2389" t="s">
        <v>217</v>
      </c>
      <c r="D2389" t="s">
        <v>80</v>
      </c>
      <c r="E2389" t="s">
        <v>81</v>
      </c>
      <c r="F2389" t="s">
        <v>14</v>
      </c>
      <c r="G2389">
        <v>26.23</v>
      </c>
      <c r="H2389" t="s">
        <v>21</v>
      </c>
      <c r="I2389" t="s">
        <v>22</v>
      </c>
      <c r="J2389" t="s">
        <v>180</v>
      </c>
    </row>
    <row r="2390" spans="1:10" x14ac:dyDescent="0.35">
      <c r="A2390" t="s">
        <v>2574</v>
      </c>
      <c r="B2390" s="1">
        <v>46091</v>
      </c>
      <c r="C2390" t="s">
        <v>248</v>
      </c>
      <c r="D2390" t="s">
        <v>80</v>
      </c>
      <c r="E2390" t="s">
        <v>81</v>
      </c>
      <c r="F2390" t="s">
        <v>14</v>
      </c>
      <c r="G2390">
        <v>90.56</v>
      </c>
      <c r="H2390" t="s">
        <v>21</v>
      </c>
      <c r="I2390" t="s">
        <v>36</v>
      </c>
      <c r="J2390" t="s">
        <v>161</v>
      </c>
    </row>
    <row r="2391" spans="1:10" x14ac:dyDescent="0.35">
      <c r="A2391" t="s">
        <v>2575</v>
      </c>
      <c r="B2391" s="1">
        <v>46091</v>
      </c>
      <c r="C2391" t="s">
        <v>150</v>
      </c>
      <c r="D2391" t="s">
        <v>29</v>
      </c>
      <c r="E2391" t="s">
        <v>30</v>
      </c>
      <c r="F2391" t="s">
        <v>14</v>
      </c>
      <c r="G2391">
        <v>70.02</v>
      </c>
      <c r="H2391" t="s">
        <v>15</v>
      </c>
      <c r="I2391" t="s">
        <v>22</v>
      </c>
      <c r="J2391" t="s">
        <v>151</v>
      </c>
    </row>
    <row r="2392" spans="1:10" x14ac:dyDescent="0.35">
      <c r="A2392" t="s">
        <v>2576</v>
      </c>
      <c r="B2392" s="1">
        <v>46091</v>
      </c>
      <c r="C2392" t="s">
        <v>143</v>
      </c>
      <c r="D2392" t="s">
        <v>54</v>
      </c>
      <c r="E2392" t="s">
        <v>55</v>
      </c>
      <c r="F2392" t="s">
        <v>54</v>
      </c>
      <c r="G2392">
        <v>576.21</v>
      </c>
      <c r="H2392" t="s">
        <v>21</v>
      </c>
      <c r="I2392" t="s">
        <v>47</v>
      </c>
      <c r="J2392" t="s">
        <v>89</v>
      </c>
    </row>
    <row r="2393" spans="1:10" x14ac:dyDescent="0.35">
      <c r="A2393" t="s">
        <v>2577</v>
      </c>
      <c r="B2393" s="1">
        <v>46091</v>
      </c>
      <c r="C2393" t="s">
        <v>229</v>
      </c>
      <c r="D2393" t="s">
        <v>54</v>
      </c>
      <c r="E2393" t="s">
        <v>64</v>
      </c>
      <c r="F2393" t="s">
        <v>54</v>
      </c>
      <c r="G2393">
        <v>336.52</v>
      </c>
      <c r="H2393" t="s">
        <v>15</v>
      </c>
      <c r="I2393" t="s">
        <v>16</v>
      </c>
      <c r="J2393" t="s">
        <v>56</v>
      </c>
    </row>
    <row r="2394" spans="1:10" x14ac:dyDescent="0.35">
      <c r="A2394" t="s">
        <v>2578</v>
      </c>
      <c r="B2394" s="1">
        <v>46091</v>
      </c>
      <c r="C2394" t="s">
        <v>272</v>
      </c>
      <c r="D2394" t="s">
        <v>54</v>
      </c>
      <c r="E2394" t="s">
        <v>55</v>
      </c>
      <c r="F2394" t="s">
        <v>54</v>
      </c>
      <c r="G2394">
        <v>706.1</v>
      </c>
      <c r="H2394" t="s">
        <v>98</v>
      </c>
      <c r="I2394" t="s">
        <v>36</v>
      </c>
      <c r="J2394" t="s">
        <v>65</v>
      </c>
    </row>
    <row r="2395" spans="1:10" x14ac:dyDescent="0.35">
      <c r="A2395" t="s">
        <v>2579</v>
      </c>
      <c r="B2395" s="1">
        <v>46092</v>
      </c>
      <c r="C2395" t="s">
        <v>58</v>
      </c>
      <c r="D2395" t="s">
        <v>59</v>
      </c>
      <c r="E2395" t="s">
        <v>60</v>
      </c>
      <c r="F2395" t="s">
        <v>14</v>
      </c>
      <c r="G2395">
        <v>278.44</v>
      </c>
      <c r="H2395" t="s">
        <v>15</v>
      </c>
      <c r="I2395" t="s">
        <v>22</v>
      </c>
      <c r="J2395" t="s">
        <v>61</v>
      </c>
    </row>
    <row r="2396" spans="1:10" x14ac:dyDescent="0.35">
      <c r="A2396" t="s">
        <v>2580</v>
      </c>
      <c r="B2396" s="1">
        <v>46092</v>
      </c>
      <c r="C2396" t="s">
        <v>272</v>
      </c>
      <c r="D2396" t="s">
        <v>54</v>
      </c>
      <c r="E2396" t="s">
        <v>55</v>
      </c>
      <c r="F2396" t="s">
        <v>54</v>
      </c>
      <c r="G2396">
        <v>635.88</v>
      </c>
      <c r="H2396" t="s">
        <v>21</v>
      </c>
      <c r="I2396" t="s">
        <v>22</v>
      </c>
      <c r="J2396" t="s">
        <v>65</v>
      </c>
    </row>
    <row r="2397" spans="1:10" x14ac:dyDescent="0.35">
      <c r="A2397" t="s">
        <v>2581</v>
      </c>
      <c r="B2397" s="1">
        <v>46092</v>
      </c>
      <c r="C2397" t="s">
        <v>269</v>
      </c>
      <c r="D2397" t="s">
        <v>34</v>
      </c>
      <c r="E2397" t="s">
        <v>35</v>
      </c>
      <c r="F2397" t="s">
        <v>14</v>
      </c>
      <c r="G2397">
        <v>95.38</v>
      </c>
      <c r="H2397" t="s">
        <v>21</v>
      </c>
      <c r="I2397" t="s">
        <v>16</v>
      </c>
      <c r="J2397" t="s">
        <v>123</v>
      </c>
    </row>
    <row r="2398" spans="1:10" x14ac:dyDescent="0.35">
      <c r="A2398" t="s">
        <v>2582</v>
      </c>
      <c r="B2398" s="1">
        <v>46092</v>
      </c>
      <c r="C2398" t="s">
        <v>33</v>
      </c>
      <c r="D2398" t="s">
        <v>34</v>
      </c>
      <c r="E2398" t="s">
        <v>35</v>
      </c>
      <c r="F2398" t="s">
        <v>14</v>
      </c>
      <c r="G2398">
        <v>104.2</v>
      </c>
      <c r="H2398" t="s">
        <v>21</v>
      </c>
      <c r="I2398" t="s">
        <v>47</v>
      </c>
      <c r="J2398" t="s">
        <v>37</v>
      </c>
    </row>
    <row r="2399" spans="1:10" x14ac:dyDescent="0.35">
      <c r="A2399" t="s">
        <v>2583</v>
      </c>
      <c r="B2399" s="1">
        <v>46093</v>
      </c>
      <c r="C2399" t="s">
        <v>308</v>
      </c>
      <c r="D2399" t="s">
        <v>54</v>
      </c>
      <c r="E2399" t="s">
        <v>64</v>
      </c>
      <c r="F2399" t="s">
        <v>54</v>
      </c>
      <c r="G2399">
        <v>374.76</v>
      </c>
      <c r="H2399" t="s">
        <v>15</v>
      </c>
      <c r="I2399" t="s">
        <v>36</v>
      </c>
      <c r="J2399" t="s">
        <v>89</v>
      </c>
    </row>
    <row r="2400" spans="1:10" x14ac:dyDescent="0.35">
      <c r="A2400" t="s">
        <v>2584</v>
      </c>
      <c r="B2400" s="1">
        <v>46093</v>
      </c>
      <c r="C2400" t="s">
        <v>132</v>
      </c>
      <c r="D2400" t="s">
        <v>69</v>
      </c>
      <c r="E2400" t="s">
        <v>70</v>
      </c>
      <c r="F2400" t="s">
        <v>14</v>
      </c>
      <c r="G2400">
        <v>883.35</v>
      </c>
      <c r="H2400" t="s">
        <v>15</v>
      </c>
      <c r="I2400" t="s">
        <v>22</v>
      </c>
      <c r="J2400" t="s">
        <v>133</v>
      </c>
    </row>
    <row r="2401" spans="1:10" x14ac:dyDescent="0.35">
      <c r="A2401" t="s">
        <v>2585</v>
      </c>
      <c r="B2401" s="1">
        <v>46093</v>
      </c>
      <c r="C2401" t="s">
        <v>177</v>
      </c>
      <c r="D2401" t="s">
        <v>54</v>
      </c>
      <c r="E2401" t="s">
        <v>74</v>
      </c>
      <c r="F2401" t="s">
        <v>54</v>
      </c>
      <c r="G2401">
        <v>2581.91</v>
      </c>
      <c r="H2401" t="s">
        <v>15</v>
      </c>
      <c r="I2401" t="s">
        <v>84</v>
      </c>
      <c r="J2401" t="s">
        <v>56</v>
      </c>
    </row>
    <row r="2402" spans="1:10" x14ac:dyDescent="0.35">
      <c r="A2402" t="s">
        <v>2586</v>
      </c>
      <c r="B2402" s="1">
        <v>46093</v>
      </c>
      <c r="C2402" t="s">
        <v>177</v>
      </c>
      <c r="D2402" t="s">
        <v>54</v>
      </c>
      <c r="E2402" t="s">
        <v>74</v>
      </c>
      <c r="F2402" t="s">
        <v>54</v>
      </c>
      <c r="G2402">
        <v>2350.89</v>
      </c>
      <c r="H2402" t="s">
        <v>15</v>
      </c>
      <c r="I2402" t="s">
        <v>36</v>
      </c>
      <c r="J2402" t="s">
        <v>56</v>
      </c>
    </row>
    <row r="2403" spans="1:10" x14ac:dyDescent="0.35">
      <c r="A2403" t="s">
        <v>2587</v>
      </c>
      <c r="B2403" s="1">
        <v>46094</v>
      </c>
      <c r="C2403" t="s">
        <v>411</v>
      </c>
      <c r="D2403" t="s">
        <v>29</v>
      </c>
      <c r="E2403" t="s">
        <v>151</v>
      </c>
      <c r="F2403" t="s">
        <v>14</v>
      </c>
      <c r="G2403">
        <v>99.29</v>
      </c>
      <c r="H2403" t="s">
        <v>21</v>
      </c>
      <c r="I2403" t="s">
        <v>36</v>
      </c>
      <c r="J2403" t="s">
        <v>151</v>
      </c>
    </row>
    <row r="2404" spans="1:10" x14ac:dyDescent="0.35">
      <c r="A2404" t="s">
        <v>2588</v>
      </c>
      <c r="B2404" s="1">
        <v>46094</v>
      </c>
      <c r="C2404" t="s">
        <v>238</v>
      </c>
      <c r="D2404" t="s">
        <v>34</v>
      </c>
      <c r="E2404" t="s">
        <v>35</v>
      </c>
      <c r="F2404" t="s">
        <v>14</v>
      </c>
      <c r="G2404">
        <v>399.56</v>
      </c>
      <c r="H2404" t="s">
        <v>15</v>
      </c>
      <c r="I2404" t="s">
        <v>47</v>
      </c>
      <c r="J2404" t="s">
        <v>239</v>
      </c>
    </row>
    <row r="2405" spans="1:10" x14ac:dyDescent="0.35">
      <c r="A2405" t="s">
        <v>2589</v>
      </c>
      <c r="B2405" s="1">
        <v>46094</v>
      </c>
      <c r="C2405" t="s">
        <v>175</v>
      </c>
      <c r="D2405" t="s">
        <v>80</v>
      </c>
      <c r="E2405" t="s">
        <v>92</v>
      </c>
      <c r="F2405" t="s">
        <v>14</v>
      </c>
      <c r="G2405">
        <v>107.41</v>
      </c>
      <c r="H2405" t="s">
        <v>21</v>
      </c>
      <c r="I2405" t="s">
        <v>47</v>
      </c>
      <c r="J2405" t="s">
        <v>141</v>
      </c>
    </row>
    <row r="2406" spans="1:10" x14ac:dyDescent="0.35">
      <c r="A2406" t="s">
        <v>2590</v>
      </c>
      <c r="B2406" s="1">
        <v>46095</v>
      </c>
      <c r="C2406" t="s">
        <v>281</v>
      </c>
      <c r="D2406" t="s">
        <v>34</v>
      </c>
      <c r="E2406" t="s">
        <v>40</v>
      </c>
      <c r="F2406" t="s">
        <v>14</v>
      </c>
      <c r="G2406">
        <v>58.34</v>
      </c>
      <c r="H2406" t="s">
        <v>15</v>
      </c>
      <c r="I2406" t="s">
        <v>16</v>
      </c>
      <c r="J2406" t="s">
        <v>123</v>
      </c>
    </row>
    <row r="2407" spans="1:10" x14ac:dyDescent="0.35">
      <c r="A2407" t="s">
        <v>2591</v>
      </c>
      <c r="B2407" s="1">
        <v>46095</v>
      </c>
      <c r="C2407" t="s">
        <v>76</v>
      </c>
      <c r="D2407" t="s">
        <v>12</v>
      </c>
      <c r="E2407" t="s">
        <v>13</v>
      </c>
      <c r="F2407" t="s">
        <v>14</v>
      </c>
      <c r="G2407">
        <v>14.48</v>
      </c>
      <c r="H2407" t="s">
        <v>15</v>
      </c>
      <c r="I2407" t="s">
        <v>36</v>
      </c>
      <c r="J2407" t="s">
        <v>77</v>
      </c>
    </row>
    <row r="2408" spans="1:10" x14ac:dyDescent="0.35">
      <c r="A2408" t="s">
        <v>2592</v>
      </c>
      <c r="B2408" s="1">
        <v>46095</v>
      </c>
      <c r="C2408" t="s">
        <v>415</v>
      </c>
      <c r="D2408" t="s">
        <v>12</v>
      </c>
      <c r="E2408" t="s">
        <v>51</v>
      </c>
      <c r="F2408" t="s">
        <v>14</v>
      </c>
      <c r="G2408">
        <v>15.25</v>
      </c>
      <c r="H2408" t="s">
        <v>15</v>
      </c>
      <c r="I2408" t="s">
        <v>22</v>
      </c>
      <c r="J2408" t="s">
        <v>77</v>
      </c>
    </row>
    <row r="2409" spans="1:10" x14ac:dyDescent="0.35">
      <c r="A2409" t="s">
        <v>2593</v>
      </c>
      <c r="B2409" s="1">
        <v>46095</v>
      </c>
      <c r="C2409" t="s">
        <v>138</v>
      </c>
      <c r="D2409" t="s">
        <v>12</v>
      </c>
      <c r="E2409" t="s">
        <v>26</v>
      </c>
      <c r="F2409" t="s">
        <v>14</v>
      </c>
      <c r="G2409">
        <v>46.23</v>
      </c>
      <c r="H2409" t="s">
        <v>21</v>
      </c>
      <c r="I2409" t="s">
        <v>22</v>
      </c>
      <c r="J2409" t="s">
        <v>77</v>
      </c>
    </row>
    <row r="2410" spans="1:10" x14ac:dyDescent="0.35">
      <c r="A2410" t="s">
        <v>2594</v>
      </c>
      <c r="B2410" s="1">
        <v>46095</v>
      </c>
      <c r="C2410" t="s">
        <v>79</v>
      </c>
      <c r="D2410" t="s">
        <v>80</v>
      </c>
      <c r="E2410" t="s">
        <v>81</v>
      </c>
      <c r="F2410" t="s">
        <v>14</v>
      </c>
      <c r="G2410">
        <v>43.13</v>
      </c>
      <c r="H2410" t="s">
        <v>15</v>
      </c>
      <c r="I2410" t="s">
        <v>22</v>
      </c>
      <c r="J2410" t="s">
        <v>82</v>
      </c>
    </row>
    <row r="2411" spans="1:10" x14ac:dyDescent="0.35">
      <c r="A2411" t="s">
        <v>2595</v>
      </c>
      <c r="B2411" s="1">
        <v>46096</v>
      </c>
      <c r="C2411" t="s">
        <v>415</v>
      </c>
      <c r="D2411" t="s">
        <v>12</v>
      </c>
      <c r="E2411" t="s">
        <v>51</v>
      </c>
      <c r="F2411" t="s">
        <v>14</v>
      </c>
      <c r="G2411">
        <v>121.48</v>
      </c>
      <c r="H2411" t="s">
        <v>98</v>
      </c>
      <c r="I2411" t="s">
        <v>47</v>
      </c>
      <c r="J2411" t="s">
        <v>77</v>
      </c>
    </row>
    <row r="2412" spans="1:10" x14ac:dyDescent="0.35">
      <c r="A2412" t="s">
        <v>2596</v>
      </c>
      <c r="B2412" s="1">
        <v>46096</v>
      </c>
      <c r="C2412" t="s">
        <v>63</v>
      </c>
      <c r="D2412" t="s">
        <v>54</v>
      </c>
      <c r="E2412" t="s">
        <v>64</v>
      </c>
      <c r="F2412" t="s">
        <v>54</v>
      </c>
      <c r="G2412">
        <v>297.24</v>
      </c>
      <c r="H2412" t="s">
        <v>15</v>
      </c>
      <c r="I2412" t="s">
        <v>22</v>
      </c>
      <c r="J2412" t="s">
        <v>65</v>
      </c>
    </row>
    <row r="2413" spans="1:10" x14ac:dyDescent="0.35">
      <c r="A2413" t="s">
        <v>2597</v>
      </c>
      <c r="B2413" s="1">
        <v>46097</v>
      </c>
      <c r="C2413" t="s">
        <v>43</v>
      </c>
      <c r="D2413" t="s">
        <v>12</v>
      </c>
      <c r="E2413" t="s">
        <v>26</v>
      </c>
      <c r="F2413" t="s">
        <v>14</v>
      </c>
      <c r="G2413">
        <v>67.5</v>
      </c>
      <c r="H2413" t="s">
        <v>15</v>
      </c>
      <c r="I2413" t="s">
        <v>36</v>
      </c>
      <c r="J2413" t="s">
        <v>44</v>
      </c>
    </row>
    <row r="2414" spans="1:10" x14ac:dyDescent="0.35">
      <c r="A2414" t="s">
        <v>2598</v>
      </c>
      <c r="B2414" s="1">
        <v>46097</v>
      </c>
      <c r="C2414" t="s">
        <v>350</v>
      </c>
      <c r="D2414" t="s">
        <v>29</v>
      </c>
      <c r="E2414" t="s">
        <v>151</v>
      </c>
      <c r="F2414" t="s">
        <v>14</v>
      </c>
      <c r="G2414">
        <v>28.08</v>
      </c>
      <c r="H2414" t="s">
        <v>15</v>
      </c>
      <c r="I2414" t="s">
        <v>22</v>
      </c>
      <c r="J2414" t="s">
        <v>158</v>
      </c>
    </row>
    <row r="2415" spans="1:10" x14ac:dyDescent="0.35">
      <c r="A2415" t="s">
        <v>2599</v>
      </c>
      <c r="B2415" s="1">
        <v>46097</v>
      </c>
      <c r="C2415" t="s">
        <v>395</v>
      </c>
      <c r="D2415" t="s">
        <v>69</v>
      </c>
      <c r="E2415" t="s">
        <v>291</v>
      </c>
      <c r="F2415" t="s">
        <v>14</v>
      </c>
      <c r="G2415">
        <v>174.89</v>
      </c>
      <c r="H2415" t="s">
        <v>15</v>
      </c>
      <c r="I2415" t="s">
        <v>47</v>
      </c>
      <c r="J2415" t="s">
        <v>396</v>
      </c>
    </row>
    <row r="2416" spans="1:10" x14ac:dyDescent="0.35">
      <c r="A2416" t="s">
        <v>2600</v>
      </c>
      <c r="B2416" s="1">
        <v>46097</v>
      </c>
      <c r="C2416" t="s">
        <v>157</v>
      </c>
      <c r="D2416" t="s">
        <v>29</v>
      </c>
      <c r="E2416" t="s">
        <v>95</v>
      </c>
      <c r="F2416" t="s">
        <v>14</v>
      </c>
      <c r="G2416">
        <v>34.630000000000003</v>
      </c>
      <c r="H2416" t="s">
        <v>21</v>
      </c>
      <c r="I2416" t="s">
        <v>16</v>
      </c>
      <c r="J2416" t="s">
        <v>158</v>
      </c>
    </row>
    <row r="2417" spans="1:10" x14ac:dyDescent="0.35">
      <c r="A2417" t="s">
        <v>2601</v>
      </c>
      <c r="B2417" s="1">
        <v>46097</v>
      </c>
      <c r="C2417" t="s">
        <v>168</v>
      </c>
      <c r="D2417" t="s">
        <v>59</v>
      </c>
      <c r="E2417" t="s">
        <v>60</v>
      </c>
      <c r="F2417" t="s">
        <v>14</v>
      </c>
      <c r="G2417">
        <v>125.09</v>
      </c>
      <c r="H2417" t="s">
        <v>98</v>
      </c>
      <c r="I2417" t="s">
        <v>47</v>
      </c>
      <c r="J2417" t="s">
        <v>170</v>
      </c>
    </row>
    <row r="2418" spans="1:10" x14ac:dyDescent="0.35">
      <c r="A2418" t="s">
        <v>2602</v>
      </c>
      <c r="B2418" s="1">
        <v>46098</v>
      </c>
      <c r="C2418" t="s">
        <v>580</v>
      </c>
      <c r="D2418" t="s">
        <v>80</v>
      </c>
      <c r="E2418" t="s">
        <v>81</v>
      </c>
      <c r="F2418" t="s">
        <v>14</v>
      </c>
      <c r="G2418">
        <v>160.41999999999999</v>
      </c>
      <c r="H2418" t="s">
        <v>21</v>
      </c>
      <c r="I2418" t="s">
        <v>36</v>
      </c>
      <c r="J2418" t="s">
        <v>118</v>
      </c>
    </row>
    <row r="2419" spans="1:10" x14ac:dyDescent="0.35">
      <c r="A2419" t="s">
        <v>2603</v>
      </c>
      <c r="B2419" s="1">
        <v>46098</v>
      </c>
      <c r="C2419" t="s">
        <v>298</v>
      </c>
      <c r="D2419" t="s">
        <v>59</v>
      </c>
      <c r="E2419" t="s">
        <v>185</v>
      </c>
      <c r="F2419" t="s">
        <v>14</v>
      </c>
      <c r="G2419">
        <v>357.83</v>
      </c>
      <c r="H2419" t="s">
        <v>15</v>
      </c>
      <c r="I2419" t="s">
        <v>47</v>
      </c>
      <c r="J2419" t="s">
        <v>170</v>
      </c>
    </row>
    <row r="2420" spans="1:10" x14ac:dyDescent="0.35">
      <c r="A2420" t="s">
        <v>2604</v>
      </c>
      <c r="B2420" s="1">
        <v>46098</v>
      </c>
      <c r="C2420" t="s">
        <v>53</v>
      </c>
      <c r="D2420" t="s">
        <v>54</v>
      </c>
      <c r="E2420" t="s">
        <v>55</v>
      </c>
      <c r="F2420" t="s">
        <v>54</v>
      </c>
      <c r="G2420">
        <v>719.06</v>
      </c>
      <c r="H2420" t="s">
        <v>21</v>
      </c>
      <c r="I2420" t="s">
        <v>47</v>
      </c>
      <c r="J2420" t="s">
        <v>56</v>
      </c>
    </row>
    <row r="2421" spans="1:10" x14ac:dyDescent="0.35">
      <c r="A2421" t="s">
        <v>2605</v>
      </c>
      <c r="B2421" s="1">
        <v>46098</v>
      </c>
      <c r="C2421" t="s">
        <v>19</v>
      </c>
      <c r="D2421" t="s">
        <v>12</v>
      </c>
      <c r="E2421" t="s">
        <v>13</v>
      </c>
      <c r="F2421" t="s">
        <v>14</v>
      </c>
      <c r="G2421">
        <v>14.72</v>
      </c>
      <c r="H2421" t="s">
        <v>21</v>
      </c>
      <c r="I2421" t="s">
        <v>36</v>
      </c>
      <c r="J2421" t="s">
        <v>23</v>
      </c>
    </row>
    <row r="2422" spans="1:10" x14ac:dyDescent="0.35">
      <c r="A2422" t="s">
        <v>2606</v>
      </c>
      <c r="B2422" s="1">
        <v>46098</v>
      </c>
      <c r="C2422" t="s">
        <v>194</v>
      </c>
      <c r="D2422" t="s">
        <v>101</v>
      </c>
      <c r="E2422" t="s">
        <v>136</v>
      </c>
      <c r="F2422" t="s">
        <v>14</v>
      </c>
      <c r="G2422">
        <v>120.39</v>
      </c>
      <c r="H2422" t="s">
        <v>15</v>
      </c>
      <c r="I2422" t="s">
        <v>47</v>
      </c>
      <c r="J2422" t="s">
        <v>103</v>
      </c>
    </row>
    <row r="2423" spans="1:10" x14ac:dyDescent="0.35">
      <c r="A2423" t="s">
        <v>2607</v>
      </c>
      <c r="B2423" s="1">
        <v>46098</v>
      </c>
      <c r="C2423" t="s">
        <v>269</v>
      </c>
      <c r="D2423" t="s">
        <v>34</v>
      </c>
      <c r="E2423" t="s">
        <v>35</v>
      </c>
      <c r="F2423" t="s">
        <v>14</v>
      </c>
      <c r="G2423">
        <v>184.56</v>
      </c>
      <c r="H2423" t="s">
        <v>98</v>
      </c>
      <c r="I2423" t="s">
        <v>47</v>
      </c>
      <c r="J2423" t="s">
        <v>123</v>
      </c>
    </row>
    <row r="2424" spans="1:10" x14ac:dyDescent="0.35">
      <c r="A2424" t="s">
        <v>2608</v>
      </c>
      <c r="B2424" s="1">
        <v>46098</v>
      </c>
      <c r="C2424" t="s">
        <v>229</v>
      </c>
      <c r="D2424" t="s">
        <v>54</v>
      </c>
      <c r="E2424" t="s">
        <v>64</v>
      </c>
      <c r="F2424" t="s">
        <v>54</v>
      </c>
      <c r="G2424">
        <v>315.13</v>
      </c>
      <c r="H2424" t="s">
        <v>21</v>
      </c>
      <c r="I2424" t="s">
        <v>36</v>
      </c>
      <c r="J2424" t="s">
        <v>56</v>
      </c>
    </row>
    <row r="2425" spans="1:10" x14ac:dyDescent="0.35">
      <c r="A2425" t="s">
        <v>2609</v>
      </c>
      <c r="B2425" s="1">
        <v>46098</v>
      </c>
      <c r="C2425" t="s">
        <v>58</v>
      </c>
      <c r="D2425" t="s">
        <v>59</v>
      </c>
      <c r="E2425" t="s">
        <v>60</v>
      </c>
      <c r="F2425" t="s">
        <v>14</v>
      </c>
      <c r="G2425">
        <v>483.65</v>
      </c>
      <c r="H2425" t="s">
        <v>21</v>
      </c>
      <c r="I2425" t="s">
        <v>22</v>
      </c>
      <c r="J2425" t="s">
        <v>61</v>
      </c>
    </row>
    <row r="2426" spans="1:10" x14ac:dyDescent="0.35">
      <c r="A2426" t="s">
        <v>2610</v>
      </c>
      <c r="B2426" s="1">
        <v>46098</v>
      </c>
      <c r="C2426" t="s">
        <v>143</v>
      </c>
      <c r="D2426" t="s">
        <v>54</v>
      </c>
      <c r="E2426" t="s">
        <v>55</v>
      </c>
      <c r="F2426" t="s">
        <v>54</v>
      </c>
      <c r="G2426">
        <v>590.72</v>
      </c>
      <c r="H2426" t="s">
        <v>21</v>
      </c>
      <c r="I2426" t="s">
        <v>47</v>
      </c>
      <c r="J2426" t="s">
        <v>89</v>
      </c>
    </row>
    <row r="2427" spans="1:10" x14ac:dyDescent="0.35">
      <c r="A2427" t="s">
        <v>2611</v>
      </c>
      <c r="B2427" s="1">
        <v>46099</v>
      </c>
      <c r="C2427" t="s">
        <v>19</v>
      </c>
      <c r="D2427" t="s">
        <v>12</v>
      </c>
      <c r="E2427" t="s">
        <v>13</v>
      </c>
      <c r="F2427" t="s">
        <v>14</v>
      </c>
      <c r="G2427">
        <v>18.63</v>
      </c>
      <c r="H2427" t="s">
        <v>15</v>
      </c>
      <c r="I2427" t="s">
        <v>22</v>
      </c>
      <c r="J2427" t="s">
        <v>23</v>
      </c>
    </row>
    <row r="2428" spans="1:10" x14ac:dyDescent="0.35">
      <c r="A2428" t="s">
        <v>2612</v>
      </c>
      <c r="B2428" s="1">
        <v>46099</v>
      </c>
      <c r="C2428" t="s">
        <v>210</v>
      </c>
      <c r="D2428" t="s">
        <v>59</v>
      </c>
      <c r="E2428" t="s">
        <v>185</v>
      </c>
      <c r="F2428" t="s">
        <v>14</v>
      </c>
      <c r="G2428">
        <v>267.45</v>
      </c>
      <c r="H2428" t="s">
        <v>98</v>
      </c>
      <c r="I2428" t="s">
        <v>22</v>
      </c>
      <c r="J2428" t="s">
        <v>211</v>
      </c>
    </row>
    <row r="2429" spans="1:10" x14ac:dyDescent="0.35">
      <c r="A2429" t="s">
        <v>2613</v>
      </c>
      <c r="B2429" s="1">
        <v>46099</v>
      </c>
      <c r="C2429" t="s">
        <v>116</v>
      </c>
      <c r="D2429" t="s">
        <v>80</v>
      </c>
      <c r="E2429" t="s">
        <v>117</v>
      </c>
      <c r="F2429" t="s">
        <v>14</v>
      </c>
      <c r="G2429">
        <v>56.61</v>
      </c>
      <c r="H2429" t="s">
        <v>21</v>
      </c>
      <c r="I2429" t="s">
        <v>47</v>
      </c>
      <c r="J2429" t="s">
        <v>118</v>
      </c>
    </row>
    <row r="2430" spans="1:10" x14ac:dyDescent="0.35">
      <c r="A2430" t="s">
        <v>2614</v>
      </c>
      <c r="B2430" s="1">
        <v>46099</v>
      </c>
      <c r="C2430" t="s">
        <v>1491</v>
      </c>
      <c r="D2430" t="s">
        <v>69</v>
      </c>
      <c r="E2430" t="s">
        <v>233</v>
      </c>
      <c r="F2430" t="s">
        <v>14</v>
      </c>
      <c r="G2430">
        <v>296.07</v>
      </c>
      <c r="H2430" t="s">
        <v>21</v>
      </c>
      <c r="I2430" t="s">
        <v>36</v>
      </c>
      <c r="J2430" t="s">
        <v>396</v>
      </c>
    </row>
    <row r="2431" spans="1:10" x14ac:dyDescent="0.35">
      <c r="A2431" t="s">
        <v>2615</v>
      </c>
      <c r="B2431" s="1">
        <v>46100</v>
      </c>
      <c r="C2431" t="s">
        <v>88</v>
      </c>
      <c r="D2431" t="s">
        <v>54</v>
      </c>
      <c r="E2431" t="s">
        <v>74</v>
      </c>
      <c r="F2431" t="s">
        <v>54</v>
      </c>
      <c r="G2431">
        <v>2089.7800000000002</v>
      </c>
      <c r="H2431" t="s">
        <v>15</v>
      </c>
      <c r="I2431" t="s">
        <v>16</v>
      </c>
      <c r="J2431" t="s">
        <v>89</v>
      </c>
    </row>
    <row r="2432" spans="1:10" x14ac:dyDescent="0.35">
      <c r="A2432" t="s">
        <v>2616</v>
      </c>
      <c r="B2432" s="1">
        <v>46100</v>
      </c>
      <c r="C2432" t="s">
        <v>63</v>
      </c>
      <c r="D2432" t="s">
        <v>54</v>
      </c>
      <c r="E2432" t="s">
        <v>64</v>
      </c>
      <c r="F2432" t="s">
        <v>54</v>
      </c>
      <c r="G2432">
        <v>356.89</v>
      </c>
      <c r="H2432" t="s">
        <v>21</v>
      </c>
      <c r="I2432" t="s">
        <v>22</v>
      </c>
      <c r="J2432" t="s">
        <v>65</v>
      </c>
    </row>
    <row r="2433" spans="1:10" x14ac:dyDescent="0.35">
      <c r="A2433" t="s">
        <v>2617</v>
      </c>
      <c r="B2433" s="1">
        <v>46100</v>
      </c>
      <c r="C2433" t="s">
        <v>88</v>
      </c>
      <c r="D2433" t="s">
        <v>54</v>
      </c>
      <c r="E2433" t="s">
        <v>74</v>
      </c>
      <c r="F2433" t="s">
        <v>54</v>
      </c>
      <c r="G2433">
        <v>2186.8200000000002</v>
      </c>
      <c r="H2433" t="s">
        <v>15</v>
      </c>
      <c r="I2433" t="s">
        <v>22</v>
      </c>
      <c r="J2433" t="s">
        <v>89</v>
      </c>
    </row>
    <row r="2434" spans="1:10" x14ac:dyDescent="0.35">
      <c r="A2434" t="s">
        <v>2618</v>
      </c>
      <c r="B2434" s="1">
        <v>46100</v>
      </c>
      <c r="C2434" t="s">
        <v>210</v>
      </c>
      <c r="D2434" t="s">
        <v>59</v>
      </c>
      <c r="E2434" t="s">
        <v>185</v>
      </c>
      <c r="F2434" t="s">
        <v>14</v>
      </c>
      <c r="G2434">
        <v>206.43</v>
      </c>
      <c r="H2434" t="s">
        <v>15</v>
      </c>
      <c r="I2434" t="s">
        <v>36</v>
      </c>
      <c r="J2434" t="s">
        <v>211</v>
      </c>
    </row>
    <row r="2435" spans="1:10" x14ac:dyDescent="0.35">
      <c r="A2435" t="s">
        <v>2619</v>
      </c>
      <c r="B2435" s="1">
        <v>46100</v>
      </c>
      <c r="C2435" t="s">
        <v>73</v>
      </c>
      <c r="D2435" t="s">
        <v>54</v>
      </c>
      <c r="E2435" t="s">
        <v>74</v>
      </c>
      <c r="F2435" t="s">
        <v>54</v>
      </c>
      <c r="G2435">
        <v>2651.98</v>
      </c>
      <c r="H2435" t="s">
        <v>15</v>
      </c>
      <c r="I2435" t="s">
        <v>22</v>
      </c>
      <c r="J2435" t="s">
        <v>65</v>
      </c>
    </row>
    <row r="2436" spans="1:10" x14ac:dyDescent="0.35">
      <c r="A2436" t="s">
        <v>2620</v>
      </c>
      <c r="B2436" s="1">
        <v>46100</v>
      </c>
      <c r="C2436" t="s">
        <v>88</v>
      </c>
      <c r="D2436" t="s">
        <v>54</v>
      </c>
      <c r="E2436" t="s">
        <v>74</v>
      </c>
      <c r="F2436" t="s">
        <v>54</v>
      </c>
      <c r="G2436">
        <v>2511.79</v>
      </c>
      <c r="H2436" t="s">
        <v>15</v>
      </c>
      <c r="I2436" t="s">
        <v>47</v>
      </c>
      <c r="J2436" t="s">
        <v>89</v>
      </c>
    </row>
    <row r="2437" spans="1:10" x14ac:dyDescent="0.35">
      <c r="A2437" t="s">
        <v>2621</v>
      </c>
      <c r="B2437" s="1">
        <v>46100</v>
      </c>
      <c r="C2437" t="s">
        <v>163</v>
      </c>
      <c r="D2437" t="s">
        <v>80</v>
      </c>
      <c r="E2437" t="s">
        <v>92</v>
      </c>
      <c r="F2437" t="s">
        <v>14</v>
      </c>
      <c r="G2437">
        <v>90.78</v>
      </c>
      <c r="H2437" t="s">
        <v>98</v>
      </c>
      <c r="I2437" t="s">
        <v>22</v>
      </c>
      <c r="J2437" t="s">
        <v>118</v>
      </c>
    </row>
    <row r="2438" spans="1:10" x14ac:dyDescent="0.35">
      <c r="A2438" t="s">
        <v>2622</v>
      </c>
      <c r="B2438" s="1">
        <v>46100</v>
      </c>
      <c r="C2438" t="s">
        <v>172</v>
      </c>
      <c r="D2438" t="s">
        <v>101</v>
      </c>
      <c r="E2438" t="s">
        <v>102</v>
      </c>
      <c r="F2438" t="s">
        <v>14</v>
      </c>
      <c r="G2438">
        <v>38.85</v>
      </c>
      <c r="H2438" t="s">
        <v>15</v>
      </c>
      <c r="I2438" t="s">
        <v>36</v>
      </c>
      <c r="J2438" t="s">
        <v>102</v>
      </c>
    </row>
    <row r="2439" spans="1:10" x14ac:dyDescent="0.35">
      <c r="A2439" t="s">
        <v>2623</v>
      </c>
      <c r="B2439" s="1">
        <v>46101</v>
      </c>
      <c r="C2439" t="s">
        <v>290</v>
      </c>
      <c r="D2439" t="s">
        <v>69</v>
      </c>
      <c r="E2439" t="s">
        <v>291</v>
      </c>
      <c r="F2439" t="s">
        <v>14</v>
      </c>
      <c r="G2439">
        <v>507.5</v>
      </c>
      <c r="H2439" t="s">
        <v>15</v>
      </c>
      <c r="I2439" t="s">
        <v>16</v>
      </c>
      <c r="J2439" t="s">
        <v>292</v>
      </c>
    </row>
    <row r="2440" spans="1:10" x14ac:dyDescent="0.35">
      <c r="A2440" t="s">
        <v>2624</v>
      </c>
      <c r="B2440" s="1">
        <v>46101</v>
      </c>
      <c r="C2440" t="s">
        <v>220</v>
      </c>
      <c r="D2440" t="s">
        <v>59</v>
      </c>
      <c r="E2440" t="s">
        <v>199</v>
      </c>
      <c r="F2440" t="s">
        <v>14</v>
      </c>
      <c r="G2440">
        <v>98.28</v>
      </c>
      <c r="H2440" t="s">
        <v>15</v>
      </c>
      <c r="I2440" t="s">
        <v>22</v>
      </c>
      <c r="J2440" t="s">
        <v>211</v>
      </c>
    </row>
    <row r="2441" spans="1:10" x14ac:dyDescent="0.35">
      <c r="A2441" t="s">
        <v>2625</v>
      </c>
      <c r="B2441" s="1">
        <v>46101</v>
      </c>
      <c r="C2441" t="s">
        <v>272</v>
      </c>
      <c r="D2441" t="s">
        <v>54</v>
      </c>
      <c r="E2441" t="s">
        <v>55</v>
      </c>
      <c r="F2441" t="s">
        <v>54</v>
      </c>
      <c r="G2441">
        <v>564.73</v>
      </c>
      <c r="H2441" t="s">
        <v>21</v>
      </c>
      <c r="I2441" t="s">
        <v>22</v>
      </c>
      <c r="J2441" t="s">
        <v>65</v>
      </c>
    </row>
    <row r="2442" spans="1:10" x14ac:dyDescent="0.35">
      <c r="A2442" t="s">
        <v>2626</v>
      </c>
      <c r="B2442" s="1">
        <v>46101</v>
      </c>
      <c r="C2442" t="s">
        <v>331</v>
      </c>
      <c r="D2442" t="s">
        <v>29</v>
      </c>
      <c r="E2442" t="s">
        <v>95</v>
      </c>
      <c r="F2442" t="s">
        <v>14</v>
      </c>
      <c r="G2442">
        <v>102.21</v>
      </c>
      <c r="H2442" t="s">
        <v>15</v>
      </c>
      <c r="I2442" t="s">
        <v>22</v>
      </c>
      <c r="J2442" t="s">
        <v>151</v>
      </c>
    </row>
    <row r="2443" spans="1:10" x14ac:dyDescent="0.35">
      <c r="A2443" t="s">
        <v>2627</v>
      </c>
      <c r="B2443" s="1">
        <v>46102</v>
      </c>
      <c r="C2443" t="s">
        <v>229</v>
      </c>
      <c r="D2443" t="s">
        <v>54</v>
      </c>
      <c r="E2443" t="s">
        <v>64</v>
      </c>
      <c r="F2443" t="s">
        <v>54</v>
      </c>
      <c r="G2443">
        <v>319.19</v>
      </c>
      <c r="H2443" t="s">
        <v>98</v>
      </c>
      <c r="I2443" t="s">
        <v>36</v>
      </c>
      <c r="J2443" t="s">
        <v>56</v>
      </c>
    </row>
    <row r="2444" spans="1:10" x14ac:dyDescent="0.35">
      <c r="A2444" t="s">
        <v>2628</v>
      </c>
      <c r="B2444" s="1">
        <v>46103</v>
      </c>
      <c r="C2444" t="s">
        <v>109</v>
      </c>
      <c r="D2444" t="s">
        <v>34</v>
      </c>
      <c r="E2444" t="s">
        <v>35</v>
      </c>
      <c r="F2444" t="s">
        <v>14</v>
      </c>
      <c r="G2444">
        <v>116.12</v>
      </c>
      <c r="H2444" t="s">
        <v>15</v>
      </c>
      <c r="I2444" t="s">
        <v>47</v>
      </c>
      <c r="J2444" t="s">
        <v>41</v>
      </c>
    </row>
    <row r="2445" spans="1:10" x14ac:dyDescent="0.35">
      <c r="A2445" t="s">
        <v>2629</v>
      </c>
      <c r="B2445" s="1">
        <v>46103</v>
      </c>
      <c r="C2445" t="s">
        <v>39</v>
      </c>
      <c r="D2445" t="s">
        <v>34</v>
      </c>
      <c r="E2445" t="s">
        <v>40</v>
      </c>
      <c r="F2445" t="s">
        <v>14</v>
      </c>
      <c r="G2445">
        <v>260.12</v>
      </c>
      <c r="H2445" t="s">
        <v>15</v>
      </c>
      <c r="I2445" t="s">
        <v>36</v>
      </c>
      <c r="J2445" t="s">
        <v>41</v>
      </c>
    </row>
    <row r="2446" spans="1:10" x14ac:dyDescent="0.35">
      <c r="A2446" t="s">
        <v>2630</v>
      </c>
      <c r="B2446" s="1">
        <v>46103</v>
      </c>
      <c r="C2446" t="s">
        <v>58</v>
      </c>
      <c r="D2446" t="s">
        <v>59</v>
      </c>
      <c r="E2446" t="s">
        <v>60</v>
      </c>
      <c r="F2446" t="s">
        <v>14</v>
      </c>
      <c r="G2446">
        <v>105.04</v>
      </c>
      <c r="H2446" t="s">
        <v>21</v>
      </c>
      <c r="I2446" t="s">
        <v>22</v>
      </c>
      <c r="J2446" t="s">
        <v>61</v>
      </c>
    </row>
    <row r="2447" spans="1:10" x14ac:dyDescent="0.35">
      <c r="A2447" t="s">
        <v>2631</v>
      </c>
      <c r="B2447" s="1">
        <v>46103</v>
      </c>
      <c r="C2447" t="s">
        <v>46</v>
      </c>
      <c r="D2447" t="s">
        <v>12</v>
      </c>
      <c r="E2447" t="s">
        <v>13</v>
      </c>
      <c r="F2447" t="s">
        <v>14</v>
      </c>
      <c r="G2447">
        <v>30.67</v>
      </c>
      <c r="H2447" t="s">
        <v>21</v>
      </c>
      <c r="I2447" t="s">
        <v>36</v>
      </c>
      <c r="J2447" t="s">
        <v>48</v>
      </c>
    </row>
    <row r="2448" spans="1:10" x14ac:dyDescent="0.35">
      <c r="A2448" t="s">
        <v>2632</v>
      </c>
      <c r="B2448" s="1">
        <v>46103</v>
      </c>
      <c r="C2448" t="s">
        <v>79</v>
      </c>
      <c r="D2448" t="s">
        <v>80</v>
      </c>
      <c r="E2448" t="s">
        <v>81</v>
      </c>
      <c r="F2448" t="s">
        <v>14</v>
      </c>
      <c r="G2448">
        <v>124.65</v>
      </c>
      <c r="H2448" t="s">
        <v>21</v>
      </c>
      <c r="I2448" t="s">
        <v>36</v>
      </c>
      <c r="J2448" t="s">
        <v>82</v>
      </c>
    </row>
    <row r="2449" spans="1:10" x14ac:dyDescent="0.35">
      <c r="A2449" t="s">
        <v>2633</v>
      </c>
      <c r="B2449" s="1">
        <v>46103</v>
      </c>
      <c r="C2449" t="s">
        <v>238</v>
      </c>
      <c r="D2449" t="s">
        <v>34</v>
      </c>
      <c r="E2449" t="s">
        <v>35</v>
      </c>
      <c r="F2449" t="s">
        <v>14</v>
      </c>
      <c r="G2449">
        <v>365.22</v>
      </c>
      <c r="H2449" t="s">
        <v>15</v>
      </c>
      <c r="I2449" t="s">
        <v>22</v>
      </c>
      <c r="J2449" t="s">
        <v>239</v>
      </c>
    </row>
    <row r="2450" spans="1:10" x14ac:dyDescent="0.35">
      <c r="A2450" t="s">
        <v>2634</v>
      </c>
      <c r="B2450" s="1">
        <v>46103</v>
      </c>
      <c r="C2450" t="s">
        <v>46</v>
      </c>
      <c r="D2450" t="s">
        <v>12</v>
      </c>
      <c r="E2450" t="s">
        <v>13</v>
      </c>
      <c r="F2450" t="s">
        <v>14</v>
      </c>
      <c r="G2450">
        <v>46.84</v>
      </c>
      <c r="H2450" t="s">
        <v>15</v>
      </c>
      <c r="I2450" t="s">
        <v>47</v>
      </c>
      <c r="J2450" t="s">
        <v>48</v>
      </c>
    </row>
    <row r="2451" spans="1:10" x14ac:dyDescent="0.35">
      <c r="A2451" t="s">
        <v>2635</v>
      </c>
      <c r="B2451" s="1">
        <v>46104</v>
      </c>
      <c r="C2451" t="s">
        <v>229</v>
      </c>
      <c r="D2451" t="s">
        <v>54</v>
      </c>
      <c r="E2451" t="s">
        <v>64</v>
      </c>
      <c r="F2451" t="s">
        <v>54</v>
      </c>
      <c r="G2451">
        <v>383.37</v>
      </c>
      <c r="H2451" t="s">
        <v>15</v>
      </c>
      <c r="I2451" t="s">
        <v>84</v>
      </c>
      <c r="J2451" t="s">
        <v>56</v>
      </c>
    </row>
    <row r="2452" spans="1:10" x14ac:dyDescent="0.35">
      <c r="A2452" t="s">
        <v>2636</v>
      </c>
      <c r="B2452" s="1">
        <v>46104</v>
      </c>
      <c r="C2452" t="s">
        <v>79</v>
      </c>
      <c r="D2452" t="s">
        <v>80</v>
      </c>
      <c r="E2452" t="s">
        <v>81</v>
      </c>
      <c r="F2452" t="s">
        <v>14</v>
      </c>
      <c r="G2452">
        <v>183.52</v>
      </c>
      <c r="H2452" t="s">
        <v>15</v>
      </c>
      <c r="I2452" t="s">
        <v>16</v>
      </c>
      <c r="J2452" t="s">
        <v>82</v>
      </c>
    </row>
    <row r="2453" spans="1:10" x14ac:dyDescent="0.35">
      <c r="A2453" t="s">
        <v>2637</v>
      </c>
      <c r="B2453" s="1">
        <v>46104</v>
      </c>
      <c r="C2453" t="s">
        <v>269</v>
      </c>
      <c r="D2453" t="s">
        <v>34</v>
      </c>
      <c r="E2453" t="s">
        <v>35</v>
      </c>
      <c r="F2453" t="s">
        <v>14</v>
      </c>
      <c r="G2453">
        <v>110.86</v>
      </c>
      <c r="H2453" t="s">
        <v>21</v>
      </c>
      <c r="I2453" t="s">
        <v>36</v>
      </c>
      <c r="J2453" t="s">
        <v>123</v>
      </c>
    </row>
    <row r="2454" spans="1:10" x14ac:dyDescent="0.35">
      <c r="A2454" t="s">
        <v>2638</v>
      </c>
      <c r="B2454" s="1">
        <v>46104</v>
      </c>
      <c r="C2454" t="s">
        <v>217</v>
      </c>
      <c r="D2454" t="s">
        <v>80</v>
      </c>
      <c r="E2454" t="s">
        <v>81</v>
      </c>
      <c r="F2454" t="s">
        <v>14</v>
      </c>
      <c r="G2454">
        <v>15.28</v>
      </c>
      <c r="H2454" t="s">
        <v>15</v>
      </c>
      <c r="I2454" t="s">
        <v>47</v>
      </c>
      <c r="J2454" t="s">
        <v>180</v>
      </c>
    </row>
    <row r="2455" spans="1:10" x14ac:dyDescent="0.35">
      <c r="A2455" t="s">
        <v>2639</v>
      </c>
      <c r="B2455" s="1">
        <v>46104</v>
      </c>
      <c r="C2455" t="s">
        <v>259</v>
      </c>
      <c r="D2455" t="s">
        <v>59</v>
      </c>
      <c r="E2455" t="s">
        <v>199</v>
      </c>
      <c r="F2455" t="s">
        <v>14</v>
      </c>
      <c r="G2455">
        <v>463.8</v>
      </c>
      <c r="H2455" t="s">
        <v>15</v>
      </c>
      <c r="I2455" t="s">
        <v>36</v>
      </c>
      <c r="J2455" t="s">
        <v>170</v>
      </c>
    </row>
    <row r="2456" spans="1:10" x14ac:dyDescent="0.35">
      <c r="A2456" t="s">
        <v>2640</v>
      </c>
      <c r="B2456" s="1">
        <v>46104</v>
      </c>
      <c r="C2456" t="s">
        <v>28</v>
      </c>
      <c r="D2456" t="s">
        <v>29</v>
      </c>
      <c r="E2456" t="s">
        <v>30</v>
      </c>
      <c r="F2456" t="s">
        <v>14</v>
      </c>
      <c r="G2456">
        <v>19.77</v>
      </c>
      <c r="H2456" t="s">
        <v>15</v>
      </c>
      <c r="I2456" t="s">
        <v>36</v>
      </c>
      <c r="J2456" t="s">
        <v>31</v>
      </c>
    </row>
    <row r="2457" spans="1:10" x14ac:dyDescent="0.35">
      <c r="A2457" t="s">
        <v>2641</v>
      </c>
      <c r="B2457" s="1">
        <v>46104</v>
      </c>
      <c r="C2457" t="s">
        <v>135</v>
      </c>
      <c r="D2457" t="s">
        <v>101</v>
      </c>
      <c r="E2457" t="s">
        <v>102</v>
      </c>
      <c r="F2457" t="s">
        <v>14</v>
      </c>
      <c r="G2457">
        <v>72.819999999999993</v>
      </c>
      <c r="H2457" t="s">
        <v>15</v>
      </c>
      <c r="I2457" t="s">
        <v>22</v>
      </c>
      <c r="J2457" t="s">
        <v>136</v>
      </c>
    </row>
    <row r="2458" spans="1:10" x14ac:dyDescent="0.35">
      <c r="A2458" t="s">
        <v>2642</v>
      </c>
      <c r="B2458" s="1">
        <v>46104</v>
      </c>
      <c r="C2458" t="s">
        <v>53</v>
      </c>
      <c r="D2458" t="s">
        <v>54</v>
      </c>
      <c r="E2458" t="s">
        <v>55</v>
      </c>
      <c r="F2458" t="s">
        <v>54</v>
      </c>
      <c r="G2458">
        <v>742.58</v>
      </c>
      <c r="H2458" t="s">
        <v>15</v>
      </c>
      <c r="I2458" t="s">
        <v>47</v>
      </c>
      <c r="J2458" t="s">
        <v>56</v>
      </c>
    </row>
    <row r="2459" spans="1:10" x14ac:dyDescent="0.35">
      <c r="A2459" t="s">
        <v>2643</v>
      </c>
      <c r="B2459" s="1">
        <v>46105</v>
      </c>
      <c r="C2459" t="s">
        <v>11</v>
      </c>
      <c r="D2459" t="s">
        <v>12</v>
      </c>
      <c r="E2459" t="s">
        <v>13</v>
      </c>
      <c r="F2459" t="s">
        <v>14</v>
      </c>
      <c r="G2459">
        <v>180</v>
      </c>
      <c r="H2459" t="s">
        <v>21</v>
      </c>
      <c r="I2459" t="s">
        <v>36</v>
      </c>
      <c r="J2459" t="s">
        <v>17</v>
      </c>
    </row>
    <row r="2460" spans="1:10" x14ac:dyDescent="0.35">
      <c r="A2460" t="s">
        <v>2644</v>
      </c>
      <c r="B2460" s="1">
        <v>46105</v>
      </c>
      <c r="C2460" t="s">
        <v>53</v>
      </c>
      <c r="D2460" t="s">
        <v>54</v>
      </c>
      <c r="E2460" t="s">
        <v>55</v>
      </c>
      <c r="F2460" t="s">
        <v>54</v>
      </c>
      <c r="G2460">
        <v>746.06</v>
      </c>
      <c r="H2460" t="s">
        <v>15</v>
      </c>
      <c r="I2460" t="s">
        <v>22</v>
      </c>
      <c r="J2460" t="s">
        <v>56</v>
      </c>
    </row>
    <row r="2461" spans="1:10" x14ac:dyDescent="0.35">
      <c r="A2461" t="s">
        <v>2645</v>
      </c>
      <c r="B2461" s="1">
        <v>46105</v>
      </c>
      <c r="C2461" t="s">
        <v>155</v>
      </c>
      <c r="D2461" t="s">
        <v>20</v>
      </c>
      <c r="E2461" t="s">
        <v>51</v>
      </c>
      <c r="F2461" t="s">
        <v>14</v>
      </c>
      <c r="G2461">
        <v>28.64</v>
      </c>
      <c r="H2461" t="s">
        <v>15</v>
      </c>
      <c r="I2461" t="s">
        <v>47</v>
      </c>
      <c r="J2461" t="s">
        <v>48</v>
      </c>
    </row>
    <row r="2462" spans="1:10" x14ac:dyDescent="0.35">
      <c r="A2462" t="s">
        <v>2646</v>
      </c>
      <c r="B2462" s="1">
        <v>46105</v>
      </c>
      <c r="C2462" t="s">
        <v>143</v>
      </c>
      <c r="D2462" t="s">
        <v>54</v>
      </c>
      <c r="E2462" t="s">
        <v>55</v>
      </c>
      <c r="F2462" t="s">
        <v>54</v>
      </c>
      <c r="G2462">
        <v>765.71</v>
      </c>
      <c r="H2462" t="s">
        <v>15</v>
      </c>
      <c r="I2462" t="s">
        <v>47</v>
      </c>
      <c r="J2462" t="s">
        <v>89</v>
      </c>
    </row>
    <row r="2463" spans="1:10" x14ac:dyDescent="0.35">
      <c r="A2463" t="s">
        <v>2647</v>
      </c>
      <c r="B2463" s="1">
        <v>46105</v>
      </c>
      <c r="C2463" t="s">
        <v>272</v>
      </c>
      <c r="D2463" t="s">
        <v>54</v>
      </c>
      <c r="E2463" t="s">
        <v>55</v>
      </c>
      <c r="F2463" t="s">
        <v>54</v>
      </c>
      <c r="G2463">
        <v>605.54999999999995</v>
      </c>
      <c r="H2463" t="s">
        <v>15</v>
      </c>
      <c r="I2463" t="s">
        <v>47</v>
      </c>
      <c r="J2463" t="s">
        <v>65</v>
      </c>
    </row>
    <row r="2464" spans="1:10" x14ac:dyDescent="0.35">
      <c r="A2464" t="s">
        <v>2648</v>
      </c>
      <c r="B2464" s="1">
        <v>46106</v>
      </c>
      <c r="C2464" t="s">
        <v>220</v>
      </c>
      <c r="D2464" t="s">
        <v>59</v>
      </c>
      <c r="E2464" t="s">
        <v>199</v>
      </c>
      <c r="F2464" t="s">
        <v>14</v>
      </c>
      <c r="G2464">
        <v>150.77000000000001</v>
      </c>
      <c r="H2464" t="s">
        <v>15</v>
      </c>
      <c r="I2464" t="s">
        <v>22</v>
      </c>
      <c r="J2464" t="s">
        <v>211</v>
      </c>
    </row>
    <row r="2465" spans="1:10" x14ac:dyDescent="0.35">
      <c r="A2465" t="s">
        <v>2649</v>
      </c>
      <c r="B2465" s="1">
        <v>46106</v>
      </c>
      <c r="C2465" t="s">
        <v>116</v>
      </c>
      <c r="D2465" t="s">
        <v>80</v>
      </c>
      <c r="E2465" t="s">
        <v>117</v>
      </c>
      <c r="F2465" t="s">
        <v>14</v>
      </c>
      <c r="G2465">
        <v>54.96</v>
      </c>
      <c r="H2465" t="s">
        <v>15</v>
      </c>
      <c r="I2465" t="s">
        <v>47</v>
      </c>
      <c r="J2465" t="s">
        <v>118</v>
      </c>
    </row>
    <row r="2466" spans="1:10" x14ac:dyDescent="0.35">
      <c r="A2466" t="s">
        <v>2650</v>
      </c>
      <c r="B2466" s="1">
        <v>46106</v>
      </c>
      <c r="C2466" t="s">
        <v>63</v>
      </c>
      <c r="D2466" t="s">
        <v>54</v>
      </c>
      <c r="E2466" t="s">
        <v>64</v>
      </c>
      <c r="F2466" t="s">
        <v>54</v>
      </c>
      <c r="G2466">
        <v>359.37</v>
      </c>
      <c r="H2466" t="s">
        <v>98</v>
      </c>
      <c r="I2466" t="s">
        <v>22</v>
      </c>
      <c r="J2466" t="s">
        <v>65</v>
      </c>
    </row>
    <row r="2467" spans="1:10" x14ac:dyDescent="0.35">
      <c r="A2467" t="s">
        <v>2651</v>
      </c>
      <c r="B2467" s="1">
        <v>46106</v>
      </c>
      <c r="C2467" t="s">
        <v>53</v>
      </c>
      <c r="D2467" t="s">
        <v>54</v>
      </c>
      <c r="E2467" t="s">
        <v>55</v>
      </c>
      <c r="F2467" t="s">
        <v>54</v>
      </c>
      <c r="G2467">
        <v>662.47</v>
      </c>
      <c r="H2467" t="s">
        <v>15</v>
      </c>
      <c r="I2467" t="s">
        <v>22</v>
      </c>
      <c r="J2467" t="s">
        <v>56</v>
      </c>
    </row>
    <row r="2468" spans="1:10" x14ac:dyDescent="0.35">
      <c r="A2468" t="s">
        <v>2652</v>
      </c>
      <c r="B2468" s="1">
        <v>46106</v>
      </c>
      <c r="C2468" t="s">
        <v>272</v>
      </c>
      <c r="D2468" t="s">
        <v>54</v>
      </c>
      <c r="E2468" t="s">
        <v>55</v>
      </c>
      <c r="F2468" t="s">
        <v>54</v>
      </c>
      <c r="G2468">
        <v>708.31</v>
      </c>
      <c r="H2468" t="s">
        <v>15</v>
      </c>
      <c r="I2468" t="s">
        <v>22</v>
      </c>
      <c r="J2468" t="s">
        <v>65</v>
      </c>
    </row>
    <row r="2469" spans="1:10" x14ac:dyDescent="0.35">
      <c r="A2469" t="s">
        <v>2653</v>
      </c>
      <c r="B2469" s="1">
        <v>46106</v>
      </c>
      <c r="C2469" t="s">
        <v>68</v>
      </c>
      <c r="D2469" t="s">
        <v>69</v>
      </c>
      <c r="E2469" t="s">
        <v>70</v>
      </c>
      <c r="F2469" t="s">
        <v>14</v>
      </c>
      <c r="G2469">
        <v>163.25</v>
      </c>
      <c r="H2469" t="s">
        <v>15</v>
      </c>
      <c r="I2469" t="s">
        <v>36</v>
      </c>
      <c r="J2469" t="s">
        <v>71</v>
      </c>
    </row>
    <row r="2470" spans="1:10" x14ac:dyDescent="0.35">
      <c r="A2470" t="s">
        <v>2654</v>
      </c>
      <c r="B2470" s="1">
        <v>46106</v>
      </c>
      <c r="C2470" t="s">
        <v>73</v>
      </c>
      <c r="D2470" t="s">
        <v>54</v>
      </c>
      <c r="E2470" t="s">
        <v>74</v>
      </c>
      <c r="F2470" t="s">
        <v>54</v>
      </c>
      <c r="G2470">
        <v>2499.59</v>
      </c>
      <c r="H2470" t="s">
        <v>15</v>
      </c>
      <c r="I2470" t="s">
        <v>22</v>
      </c>
      <c r="J2470" t="s">
        <v>65</v>
      </c>
    </row>
    <row r="2471" spans="1:10" x14ac:dyDescent="0.35">
      <c r="A2471" t="s">
        <v>2655</v>
      </c>
      <c r="B2471" s="1">
        <v>46106</v>
      </c>
      <c r="C2471" t="s">
        <v>215</v>
      </c>
      <c r="D2471" t="s">
        <v>80</v>
      </c>
      <c r="E2471" t="s">
        <v>117</v>
      </c>
      <c r="F2471" t="s">
        <v>14</v>
      </c>
      <c r="G2471">
        <v>165.16</v>
      </c>
      <c r="H2471" t="s">
        <v>15</v>
      </c>
      <c r="I2471" t="s">
        <v>36</v>
      </c>
      <c r="J2471" t="s">
        <v>141</v>
      </c>
    </row>
    <row r="2472" spans="1:10" x14ac:dyDescent="0.35">
      <c r="A2472" t="s">
        <v>2656</v>
      </c>
      <c r="B2472" s="1">
        <v>46106</v>
      </c>
      <c r="C2472" t="s">
        <v>206</v>
      </c>
      <c r="D2472" t="s">
        <v>29</v>
      </c>
      <c r="E2472" t="s">
        <v>95</v>
      </c>
      <c r="F2472" t="s">
        <v>14</v>
      </c>
      <c r="G2472">
        <v>25.17</v>
      </c>
      <c r="H2472" t="s">
        <v>15</v>
      </c>
      <c r="I2472" t="s">
        <v>36</v>
      </c>
      <c r="J2472" t="s">
        <v>31</v>
      </c>
    </row>
    <row r="2473" spans="1:10" x14ac:dyDescent="0.35">
      <c r="A2473" t="s">
        <v>2657</v>
      </c>
      <c r="B2473" s="1">
        <v>46107</v>
      </c>
      <c r="C2473" t="s">
        <v>259</v>
      </c>
      <c r="D2473" t="s">
        <v>59</v>
      </c>
      <c r="E2473" t="s">
        <v>199</v>
      </c>
      <c r="F2473" t="s">
        <v>14</v>
      </c>
      <c r="G2473">
        <v>255.42</v>
      </c>
      <c r="H2473" t="s">
        <v>21</v>
      </c>
      <c r="I2473" t="s">
        <v>16</v>
      </c>
      <c r="J2473" t="s">
        <v>170</v>
      </c>
    </row>
    <row r="2474" spans="1:10" x14ac:dyDescent="0.35">
      <c r="A2474" t="s">
        <v>2658</v>
      </c>
      <c r="B2474" s="1">
        <v>46107</v>
      </c>
      <c r="C2474" t="s">
        <v>33</v>
      </c>
      <c r="D2474" t="s">
        <v>34</v>
      </c>
      <c r="E2474" t="s">
        <v>35</v>
      </c>
      <c r="F2474" t="s">
        <v>14</v>
      </c>
      <c r="G2474">
        <v>90.41</v>
      </c>
      <c r="H2474" t="s">
        <v>21</v>
      </c>
      <c r="I2474" t="s">
        <v>22</v>
      </c>
      <c r="J2474" t="s">
        <v>37</v>
      </c>
    </row>
    <row r="2475" spans="1:10" x14ac:dyDescent="0.35">
      <c r="A2475" t="s">
        <v>2659</v>
      </c>
      <c r="B2475" s="1">
        <v>46107</v>
      </c>
      <c r="C2475" t="s">
        <v>229</v>
      </c>
      <c r="D2475" t="s">
        <v>54</v>
      </c>
      <c r="E2475" t="s">
        <v>64</v>
      </c>
      <c r="F2475" t="s">
        <v>54</v>
      </c>
      <c r="G2475">
        <v>337.86</v>
      </c>
      <c r="H2475" t="s">
        <v>21</v>
      </c>
      <c r="I2475" t="s">
        <v>22</v>
      </c>
      <c r="J2475" t="s">
        <v>56</v>
      </c>
    </row>
    <row r="2476" spans="1:10" x14ac:dyDescent="0.35">
      <c r="A2476" t="s">
        <v>2660</v>
      </c>
      <c r="B2476" s="1">
        <v>46107</v>
      </c>
      <c r="C2476" t="s">
        <v>43</v>
      </c>
      <c r="D2476" t="s">
        <v>12</v>
      </c>
      <c r="E2476" t="s">
        <v>26</v>
      </c>
      <c r="F2476" t="s">
        <v>14</v>
      </c>
      <c r="G2476">
        <v>48.76</v>
      </c>
      <c r="H2476" t="s">
        <v>21</v>
      </c>
      <c r="I2476" t="s">
        <v>16</v>
      </c>
      <c r="J2476" t="s">
        <v>44</v>
      </c>
    </row>
    <row r="2477" spans="1:10" x14ac:dyDescent="0.35">
      <c r="A2477" t="s">
        <v>2661</v>
      </c>
      <c r="B2477" s="1">
        <v>46107</v>
      </c>
      <c r="C2477" t="s">
        <v>267</v>
      </c>
      <c r="D2477" t="s">
        <v>29</v>
      </c>
      <c r="E2477" t="s">
        <v>30</v>
      </c>
      <c r="F2477" t="s">
        <v>14</v>
      </c>
      <c r="G2477">
        <v>13.69</v>
      </c>
      <c r="H2477" t="s">
        <v>15</v>
      </c>
      <c r="I2477" t="s">
        <v>47</v>
      </c>
      <c r="J2477" t="s">
        <v>96</v>
      </c>
    </row>
    <row r="2478" spans="1:10" x14ac:dyDescent="0.35">
      <c r="A2478" t="s">
        <v>2662</v>
      </c>
      <c r="B2478" s="1">
        <v>46107</v>
      </c>
      <c r="C2478" t="s">
        <v>94</v>
      </c>
      <c r="D2478" t="s">
        <v>29</v>
      </c>
      <c r="E2478" t="s">
        <v>95</v>
      </c>
      <c r="F2478" t="s">
        <v>14</v>
      </c>
      <c r="G2478">
        <v>104.02</v>
      </c>
      <c r="H2478" t="s">
        <v>15</v>
      </c>
      <c r="I2478" t="s">
        <v>36</v>
      </c>
      <c r="J2478" t="s">
        <v>96</v>
      </c>
    </row>
    <row r="2479" spans="1:10" x14ac:dyDescent="0.35">
      <c r="A2479" t="s">
        <v>2663</v>
      </c>
      <c r="B2479" s="1">
        <v>46107</v>
      </c>
      <c r="C2479" t="s">
        <v>248</v>
      </c>
      <c r="D2479" t="s">
        <v>80</v>
      </c>
      <c r="E2479" t="s">
        <v>81</v>
      </c>
      <c r="F2479" t="s">
        <v>14</v>
      </c>
      <c r="G2479">
        <v>30.59</v>
      </c>
      <c r="H2479" t="s">
        <v>15</v>
      </c>
      <c r="I2479" t="s">
        <v>84</v>
      </c>
      <c r="J2479" t="s">
        <v>161</v>
      </c>
    </row>
    <row r="2480" spans="1:10" x14ac:dyDescent="0.35">
      <c r="A2480" t="s">
        <v>2664</v>
      </c>
      <c r="B2480" s="1">
        <v>46107</v>
      </c>
      <c r="C2480" t="s">
        <v>111</v>
      </c>
      <c r="D2480" t="s">
        <v>12</v>
      </c>
      <c r="E2480" t="s">
        <v>26</v>
      </c>
      <c r="F2480" t="s">
        <v>14</v>
      </c>
      <c r="G2480">
        <v>162.63999999999999</v>
      </c>
      <c r="H2480" t="s">
        <v>15</v>
      </c>
      <c r="I2480" t="s">
        <v>36</v>
      </c>
      <c r="J2480" t="s">
        <v>23</v>
      </c>
    </row>
    <row r="2481" spans="1:10" x14ac:dyDescent="0.35">
      <c r="A2481" t="s">
        <v>2665</v>
      </c>
      <c r="B2481" s="1">
        <v>46107</v>
      </c>
      <c r="C2481" t="s">
        <v>132</v>
      </c>
      <c r="D2481" t="s">
        <v>69</v>
      </c>
      <c r="E2481" t="s">
        <v>70</v>
      </c>
      <c r="F2481" t="s">
        <v>14</v>
      </c>
      <c r="G2481">
        <v>184.2</v>
      </c>
      <c r="H2481" t="s">
        <v>21</v>
      </c>
      <c r="I2481" t="s">
        <v>22</v>
      </c>
      <c r="J2481" t="s">
        <v>133</v>
      </c>
    </row>
    <row r="2482" spans="1:10" x14ac:dyDescent="0.35">
      <c r="A2482" t="s">
        <v>2666</v>
      </c>
      <c r="B2482" s="1">
        <v>46108</v>
      </c>
      <c r="C2482" t="s">
        <v>73</v>
      </c>
      <c r="D2482" t="s">
        <v>54</v>
      </c>
      <c r="E2482" t="s">
        <v>74</v>
      </c>
      <c r="F2482" t="s">
        <v>54</v>
      </c>
      <c r="G2482">
        <v>2558.0500000000002</v>
      </c>
      <c r="H2482" t="s">
        <v>21</v>
      </c>
      <c r="I2482" t="s">
        <v>16</v>
      </c>
      <c r="J2482" t="s">
        <v>65</v>
      </c>
    </row>
    <row r="2483" spans="1:10" x14ac:dyDescent="0.35">
      <c r="A2483" t="s">
        <v>2667</v>
      </c>
      <c r="B2483" s="1">
        <v>46108</v>
      </c>
      <c r="C2483" t="s">
        <v>227</v>
      </c>
      <c r="D2483" t="s">
        <v>12</v>
      </c>
      <c r="E2483" t="s">
        <v>51</v>
      </c>
      <c r="F2483" t="s">
        <v>14</v>
      </c>
      <c r="G2483">
        <v>31.49</v>
      </c>
      <c r="H2483" t="s">
        <v>21</v>
      </c>
      <c r="I2483" t="s">
        <v>16</v>
      </c>
      <c r="J2483" t="s">
        <v>17</v>
      </c>
    </row>
    <row r="2484" spans="1:10" x14ac:dyDescent="0.35">
      <c r="A2484" t="s">
        <v>2668</v>
      </c>
      <c r="B2484" s="1">
        <v>46108</v>
      </c>
      <c r="C2484" t="s">
        <v>331</v>
      </c>
      <c r="D2484" t="s">
        <v>29</v>
      </c>
      <c r="E2484" t="s">
        <v>95</v>
      </c>
      <c r="F2484" t="s">
        <v>14</v>
      </c>
      <c r="G2484">
        <v>14.27</v>
      </c>
      <c r="H2484" t="s">
        <v>15</v>
      </c>
      <c r="I2484" t="s">
        <v>22</v>
      </c>
      <c r="J2484" t="s">
        <v>151</v>
      </c>
    </row>
    <row r="2485" spans="1:10" x14ac:dyDescent="0.35">
      <c r="A2485" t="s">
        <v>2669</v>
      </c>
      <c r="B2485" s="1">
        <v>46109</v>
      </c>
      <c r="C2485" t="s">
        <v>79</v>
      </c>
      <c r="D2485" t="s">
        <v>80</v>
      </c>
      <c r="E2485" t="s">
        <v>81</v>
      </c>
      <c r="F2485" t="s">
        <v>14</v>
      </c>
      <c r="G2485">
        <v>101.69</v>
      </c>
      <c r="H2485" t="s">
        <v>21</v>
      </c>
      <c r="I2485" t="s">
        <v>47</v>
      </c>
      <c r="J2485" t="s">
        <v>82</v>
      </c>
    </row>
    <row r="2486" spans="1:10" x14ac:dyDescent="0.35">
      <c r="A2486" t="s">
        <v>2670</v>
      </c>
      <c r="B2486" s="1">
        <v>46109</v>
      </c>
      <c r="C2486" t="s">
        <v>290</v>
      </c>
      <c r="D2486" t="s">
        <v>69</v>
      </c>
      <c r="E2486" t="s">
        <v>291</v>
      </c>
      <c r="F2486" t="s">
        <v>14</v>
      </c>
      <c r="G2486">
        <v>87.75</v>
      </c>
      <c r="H2486" t="s">
        <v>15</v>
      </c>
      <c r="I2486" t="s">
        <v>47</v>
      </c>
      <c r="J2486" t="s">
        <v>292</v>
      </c>
    </row>
    <row r="2487" spans="1:10" x14ac:dyDescent="0.35">
      <c r="A2487" t="s">
        <v>2671</v>
      </c>
      <c r="B2487" s="1">
        <v>46110</v>
      </c>
      <c r="C2487" t="s">
        <v>210</v>
      </c>
      <c r="D2487" t="s">
        <v>59</v>
      </c>
      <c r="E2487" t="s">
        <v>185</v>
      </c>
      <c r="F2487" t="s">
        <v>14</v>
      </c>
      <c r="G2487">
        <v>338.39</v>
      </c>
      <c r="H2487" t="s">
        <v>21</v>
      </c>
      <c r="I2487" t="s">
        <v>47</v>
      </c>
      <c r="J2487" t="s">
        <v>211</v>
      </c>
    </row>
    <row r="2488" spans="1:10" x14ac:dyDescent="0.35">
      <c r="A2488" t="s">
        <v>2672</v>
      </c>
      <c r="B2488" s="1">
        <v>46110</v>
      </c>
      <c r="C2488" t="s">
        <v>243</v>
      </c>
      <c r="D2488" t="s">
        <v>101</v>
      </c>
      <c r="E2488" t="s">
        <v>244</v>
      </c>
      <c r="F2488" t="s">
        <v>14</v>
      </c>
      <c r="G2488">
        <v>18.53</v>
      </c>
      <c r="H2488" t="s">
        <v>98</v>
      </c>
      <c r="I2488" t="s">
        <v>36</v>
      </c>
      <c r="J2488" t="s">
        <v>102</v>
      </c>
    </row>
    <row r="2489" spans="1:10" x14ac:dyDescent="0.35">
      <c r="A2489" t="s">
        <v>2673</v>
      </c>
      <c r="B2489" s="1">
        <v>46110</v>
      </c>
      <c r="C2489" t="s">
        <v>411</v>
      </c>
      <c r="D2489" t="s">
        <v>29</v>
      </c>
      <c r="E2489" t="s">
        <v>151</v>
      </c>
      <c r="F2489" t="s">
        <v>14</v>
      </c>
      <c r="G2489">
        <v>27.3</v>
      </c>
      <c r="H2489" t="s">
        <v>15</v>
      </c>
      <c r="I2489" t="s">
        <v>36</v>
      </c>
      <c r="J2489" t="s">
        <v>151</v>
      </c>
    </row>
    <row r="2490" spans="1:10" x14ac:dyDescent="0.35">
      <c r="A2490" t="s">
        <v>2674</v>
      </c>
      <c r="B2490" s="1">
        <v>46110</v>
      </c>
      <c r="C2490" t="s">
        <v>121</v>
      </c>
      <c r="D2490" t="s">
        <v>34</v>
      </c>
      <c r="E2490" t="s">
        <v>122</v>
      </c>
      <c r="F2490" t="s">
        <v>14</v>
      </c>
      <c r="G2490">
        <v>54.48</v>
      </c>
      <c r="H2490" t="s">
        <v>21</v>
      </c>
      <c r="I2490" t="s">
        <v>22</v>
      </c>
      <c r="J2490" t="s">
        <v>123</v>
      </c>
    </row>
    <row r="2491" spans="1:10" x14ac:dyDescent="0.35">
      <c r="A2491" t="s">
        <v>2675</v>
      </c>
      <c r="B2491" s="1">
        <v>46111</v>
      </c>
      <c r="C2491" t="s">
        <v>204</v>
      </c>
      <c r="D2491" t="s">
        <v>12</v>
      </c>
      <c r="E2491" t="s">
        <v>51</v>
      </c>
      <c r="F2491" t="s">
        <v>14</v>
      </c>
      <c r="G2491">
        <v>34.25</v>
      </c>
      <c r="H2491" t="s">
        <v>21</v>
      </c>
      <c r="I2491" t="s">
        <v>22</v>
      </c>
      <c r="J2491" t="s">
        <v>23</v>
      </c>
    </row>
    <row r="2492" spans="1:10" x14ac:dyDescent="0.35">
      <c r="A2492" t="s">
        <v>2676</v>
      </c>
      <c r="B2492" s="1">
        <v>46111</v>
      </c>
      <c r="C2492" t="s">
        <v>272</v>
      </c>
      <c r="D2492" t="s">
        <v>54</v>
      </c>
      <c r="E2492" t="s">
        <v>55</v>
      </c>
      <c r="F2492" t="s">
        <v>54</v>
      </c>
      <c r="G2492">
        <v>585.88</v>
      </c>
      <c r="H2492" t="s">
        <v>15</v>
      </c>
      <c r="I2492" t="s">
        <v>22</v>
      </c>
      <c r="J2492" t="s">
        <v>65</v>
      </c>
    </row>
    <row r="2493" spans="1:10" x14ac:dyDescent="0.35">
      <c r="A2493" t="s">
        <v>2677</v>
      </c>
      <c r="B2493" s="1">
        <v>46111</v>
      </c>
      <c r="C2493" t="s">
        <v>143</v>
      </c>
      <c r="D2493" t="s">
        <v>54</v>
      </c>
      <c r="E2493" t="s">
        <v>55</v>
      </c>
      <c r="F2493" t="s">
        <v>54</v>
      </c>
      <c r="G2493">
        <v>748.46</v>
      </c>
      <c r="H2493" t="s">
        <v>98</v>
      </c>
      <c r="I2493" t="s">
        <v>22</v>
      </c>
      <c r="J2493" t="s">
        <v>89</v>
      </c>
    </row>
    <row r="2494" spans="1:10" x14ac:dyDescent="0.35">
      <c r="A2494" t="s">
        <v>2678</v>
      </c>
      <c r="B2494" s="1">
        <v>46111</v>
      </c>
      <c r="C2494" t="s">
        <v>256</v>
      </c>
      <c r="D2494" t="s">
        <v>34</v>
      </c>
      <c r="E2494" t="s">
        <v>40</v>
      </c>
      <c r="F2494" t="s">
        <v>14</v>
      </c>
      <c r="G2494">
        <v>186.98</v>
      </c>
      <c r="H2494" t="s">
        <v>15</v>
      </c>
      <c r="I2494" t="s">
        <v>22</v>
      </c>
      <c r="J2494" t="s">
        <v>239</v>
      </c>
    </row>
    <row r="2495" spans="1:10" x14ac:dyDescent="0.35">
      <c r="A2495" t="s">
        <v>2679</v>
      </c>
      <c r="B2495" s="1">
        <v>46111</v>
      </c>
      <c r="C2495" t="s">
        <v>259</v>
      </c>
      <c r="D2495" t="s">
        <v>59</v>
      </c>
      <c r="E2495" t="s">
        <v>199</v>
      </c>
      <c r="F2495" t="s">
        <v>14</v>
      </c>
      <c r="G2495">
        <v>950</v>
      </c>
      <c r="H2495" t="s">
        <v>21</v>
      </c>
      <c r="I2495" t="s">
        <v>84</v>
      </c>
      <c r="J2495" t="s">
        <v>170</v>
      </c>
    </row>
    <row r="2496" spans="1:10" x14ac:dyDescent="0.35">
      <c r="A2496" t="s">
        <v>2680</v>
      </c>
      <c r="B2496" s="1">
        <v>46112</v>
      </c>
      <c r="C2496" t="s">
        <v>19</v>
      </c>
      <c r="D2496" t="s">
        <v>12</v>
      </c>
      <c r="E2496" t="s">
        <v>13</v>
      </c>
      <c r="F2496" t="s">
        <v>14</v>
      </c>
      <c r="G2496">
        <v>101.98</v>
      </c>
      <c r="H2496" t="s">
        <v>98</v>
      </c>
      <c r="I2496" t="s">
        <v>36</v>
      </c>
      <c r="J2496" t="s">
        <v>23</v>
      </c>
    </row>
    <row r="2497" spans="1:10" x14ac:dyDescent="0.35">
      <c r="A2497" t="s">
        <v>2681</v>
      </c>
      <c r="B2497" s="1">
        <v>46112</v>
      </c>
      <c r="C2497" t="s">
        <v>415</v>
      </c>
      <c r="D2497" t="s">
        <v>12</v>
      </c>
      <c r="E2497" t="s">
        <v>51</v>
      </c>
      <c r="F2497" t="s">
        <v>14</v>
      </c>
      <c r="G2497">
        <v>19.63</v>
      </c>
      <c r="H2497" t="s">
        <v>21</v>
      </c>
      <c r="I2497" t="s">
        <v>22</v>
      </c>
      <c r="J2497" t="s">
        <v>77</v>
      </c>
    </row>
    <row r="2498" spans="1:10" x14ac:dyDescent="0.35">
      <c r="A2498" t="s">
        <v>2682</v>
      </c>
      <c r="B2498" s="1">
        <v>46113</v>
      </c>
      <c r="C2498" t="s">
        <v>63</v>
      </c>
      <c r="D2498" t="s">
        <v>54</v>
      </c>
      <c r="E2498" t="s">
        <v>64</v>
      </c>
      <c r="F2498" t="s">
        <v>54</v>
      </c>
      <c r="G2498">
        <v>313.97000000000003</v>
      </c>
      <c r="H2498" t="s">
        <v>15</v>
      </c>
      <c r="I2498" t="s">
        <v>16</v>
      </c>
      <c r="J2498" t="s">
        <v>65</v>
      </c>
    </row>
    <row r="2499" spans="1:10" x14ac:dyDescent="0.35">
      <c r="A2499" t="s">
        <v>2683</v>
      </c>
      <c r="B2499" s="1">
        <v>46113</v>
      </c>
      <c r="C2499" t="s">
        <v>232</v>
      </c>
      <c r="D2499" t="s">
        <v>69</v>
      </c>
      <c r="E2499" t="s">
        <v>233</v>
      </c>
      <c r="F2499" t="s">
        <v>14</v>
      </c>
      <c r="G2499">
        <v>177.24</v>
      </c>
      <c r="H2499" t="s">
        <v>21</v>
      </c>
      <c r="I2499" t="s">
        <v>16</v>
      </c>
      <c r="J2499" t="s">
        <v>71</v>
      </c>
    </row>
    <row r="2500" spans="1:10" x14ac:dyDescent="0.35">
      <c r="A2500" t="s">
        <v>2684</v>
      </c>
      <c r="B2500" s="1">
        <v>46113</v>
      </c>
      <c r="C2500" t="s">
        <v>184</v>
      </c>
      <c r="D2500" t="s">
        <v>59</v>
      </c>
      <c r="E2500" t="s">
        <v>185</v>
      </c>
      <c r="F2500" t="s">
        <v>14</v>
      </c>
      <c r="G2500">
        <v>108.52</v>
      </c>
      <c r="H2500" t="s">
        <v>15</v>
      </c>
      <c r="I2500" t="s">
        <v>47</v>
      </c>
      <c r="J2500" t="s">
        <v>61</v>
      </c>
    </row>
    <row r="2501" spans="1:10" x14ac:dyDescent="0.35">
      <c r="A2501" t="s">
        <v>2685</v>
      </c>
      <c r="B2501" s="1">
        <v>46113</v>
      </c>
      <c r="C2501" t="s">
        <v>109</v>
      </c>
      <c r="D2501" t="s">
        <v>34</v>
      </c>
      <c r="E2501" t="s">
        <v>35</v>
      </c>
      <c r="F2501" t="s">
        <v>14</v>
      </c>
      <c r="G2501">
        <v>59.4</v>
      </c>
      <c r="H2501" t="s">
        <v>15</v>
      </c>
      <c r="I2501" t="s">
        <v>36</v>
      </c>
      <c r="J2501" t="s">
        <v>41</v>
      </c>
    </row>
    <row r="2502" spans="1:10" x14ac:dyDescent="0.35">
      <c r="A2502" t="s">
        <v>2686</v>
      </c>
      <c r="B2502" s="1">
        <v>46113</v>
      </c>
      <c r="C2502" t="s">
        <v>25</v>
      </c>
      <c r="D2502" t="s">
        <v>12</v>
      </c>
      <c r="E2502" t="s">
        <v>26</v>
      </c>
      <c r="F2502" t="s">
        <v>14</v>
      </c>
      <c r="G2502">
        <v>30.09</v>
      </c>
      <c r="H2502" t="s">
        <v>98</v>
      </c>
      <c r="I2502" t="s">
        <v>36</v>
      </c>
      <c r="J2502" t="s">
        <v>17</v>
      </c>
    </row>
    <row r="2503" spans="1:10" x14ac:dyDescent="0.35">
      <c r="A2503" t="s">
        <v>2687</v>
      </c>
      <c r="B2503" s="1">
        <v>46113</v>
      </c>
      <c r="C2503" t="s">
        <v>177</v>
      </c>
      <c r="D2503" t="s">
        <v>54</v>
      </c>
      <c r="E2503" t="s">
        <v>74</v>
      </c>
      <c r="F2503" t="s">
        <v>54</v>
      </c>
      <c r="G2503">
        <v>2508.9</v>
      </c>
      <c r="H2503" t="s">
        <v>15</v>
      </c>
      <c r="I2503" t="s">
        <v>22</v>
      </c>
      <c r="J2503" t="s">
        <v>56</v>
      </c>
    </row>
    <row r="2504" spans="1:10" x14ac:dyDescent="0.35">
      <c r="A2504" t="s">
        <v>2688</v>
      </c>
      <c r="B2504" s="1">
        <v>46113</v>
      </c>
      <c r="C2504" t="s">
        <v>415</v>
      </c>
      <c r="D2504" t="s">
        <v>12</v>
      </c>
      <c r="E2504" t="s">
        <v>51</v>
      </c>
      <c r="F2504" t="s">
        <v>14</v>
      </c>
      <c r="G2504">
        <v>61.92</v>
      </c>
      <c r="H2504" t="s">
        <v>15</v>
      </c>
      <c r="I2504" t="s">
        <v>16</v>
      </c>
      <c r="J2504" t="s">
        <v>77</v>
      </c>
    </row>
    <row r="2505" spans="1:10" x14ac:dyDescent="0.35">
      <c r="A2505" t="s">
        <v>2689</v>
      </c>
      <c r="B2505" s="1">
        <v>46114</v>
      </c>
      <c r="C2505" t="s">
        <v>238</v>
      </c>
      <c r="D2505" t="s">
        <v>34</v>
      </c>
      <c r="E2505" t="s">
        <v>35</v>
      </c>
      <c r="F2505" t="s">
        <v>14</v>
      </c>
      <c r="G2505">
        <v>104.77</v>
      </c>
      <c r="H2505" t="s">
        <v>15</v>
      </c>
      <c r="I2505" t="s">
        <v>22</v>
      </c>
      <c r="J2505" t="s">
        <v>239</v>
      </c>
    </row>
    <row r="2506" spans="1:10" x14ac:dyDescent="0.35">
      <c r="A2506" t="s">
        <v>2690</v>
      </c>
      <c r="B2506" s="1">
        <v>46114</v>
      </c>
      <c r="C2506" t="s">
        <v>272</v>
      </c>
      <c r="D2506" t="s">
        <v>54</v>
      </c>
      <c r="E2506" t="s">
        <v>55</v>
      </c>
      <c r="F2506" t="s">
        <v>54</v>
      </c>
      <c r="G2506">
        <v>619.88</v>
      </c>
      <c r="H2506" t="s">
        <v>15</v>
      </c>
      <c r="I2506" t="s">
        <v>47</v>
      </c>
      <c r="J2506" t="s">
        <v>65</v>
      </c>
    </row>
    <row r="2507" spans="1:10" x14ac:dyDescent="0.35">
      <c r="A2507" t="s">
        <v>2691</v>
      </c>
      <c r="B2507" s="1">
        <v>46114</v>
      </c>
      <c r="C2507" t="s">
        <v>238</v>
      </c>
      <c r="D2507" t="s">
        <v>34</v>
      </c>
      <c r="E2507" t="s">
        <v>35</v>
      </c>
      <c r="F2507" t="s">
        <v>14</v>
      </c>
      <c r="G2507">
        <v>71.180000000000007</v>
      </c>
      <c r="H2507" t="s">
        <v>98</v>
      </c>
      <c r="I2507" t="s">
        <v>36</v>
      </c>
      <c r="J2507" t="s">
        <v>239</v>
      </c>
    </row>
    <row r="2508" spans="1:10" x14ac:dyDescent="0.35">
      <c r="A2508" t="s">
        <v>2692</v>
      </c>
      <c r="B2508" s="1">
        <v>46114</v>
      </c>
      <c r="C2508" t="s">
        <v>33</v>
      </c>
      <c r="D2508" t="s">
        <v>34</v>
      </c>
      <c r="E2508" t="s">
        <v>35</v>
      </c>
      <c r="F2508" t="s">
        <v>14</v>
      </c>
      <c r="G2508">
        <v>58.12</v>
      </c>
      <c r="H2508" t="s">
        <v>15</v>
      </c>
      <c r="I2508" t="s">
        <v>22</v>
      </c>
      <c r="J2508" t="s">
        <v>37</v>
      </c>
    </row>
    <row r="2509" spans="1:10" x14ac:dyDescent="0.35">
      <c r="A2509" t="s">
        <v>2693</v>
      </c>
      <c r="B2509" s="1">
        <v>46114</v>
      </c>
      <c r="C2509" t="s">
        <v>296</v>
      </c>
      <c r="D2509" t="s">
        <v>101</v>
      </c>
      <c r="E2509" t="s">
        <v>136</v>
      </c>
      <c r="F2509" t="s">
        <v>14</v>
      </c>
      <c r="G2509">
        <v>92.57</v>
      </c>
      <c r="H2509" t="s">
        <v>98</v>
      </c>
      <c r="I2509" t="s">
        <v>36</v>
      </c>
      <c r="J2509" t="s">
        <v>136</v>
      </c>
    </row>
    <row r="2510" spans="1:10" x14ac:dyDescent="0.35">
      <c r="A2510" t="s">
        <v>2694</v>
      </c>
      <c r="B2510" s="1">
        <v>46115</v>
      </c>
      <c r="C2510" t="s">
        <v>168</v>
      </c>
      <c r="D2510" t="s">
        <v>59</v>
      </c>
      <c r="E2510" t="s">
        <v>60</v>
      </c>
      <c r="F2510" t="s">
        <v>14</v>
      </c>
      <c r="G2510">
        <v>221.24</v>
      </c>
      <c r="H2510" t="s">
        <v>15</v>
      </c>
      <c r="I2510" t="s">
        <v>22</v>
      </c>
      <c r="J2510" t="s">
        <v>170</v>
      </c>
    </row>
    <row r="2511" spans="1:10" x14ac:dyDescent="0.35">
      <c r="A2511" t="s">
        <v>2695</v>
      </c>
      <c r="B2511" s="1">
        <v>46115</v>
      </c>
      <c r="C2511" t="s">
        <v>111</v>
      </c>
      <c r="D2511" t="s">
        <v>12</v>
      </c>
      <c r="E2511" t="s">
        <v>26</v>
      </c>
      <c r="F2511" t="s">
        <v>14</v>
      </c>
      <c r="G2511">
        <v>64.239999999999995</v>
      </c>
      <c r="H2511" t="s">
        <v>15</v>
      </c>
      <c r="I2511" t="s">
        <v>47</v>
      </c>
      <c r="J2511" t="s">
        <v>23</v>
      </c>
    </row>
    <row r="2512" spans="1:10" x14ac:dyDescent="0.35">
      <c r="A2512" t="s">
        <v>2696</v>
      </c>
      <c r="B2512" s="1">
        <v>46115</v>
      </c>
      <c r="C2512" t="s">
        <v>73</v>
      </c>
      <c r="D2512" t="s">
        <v>54</v>
      </c>
      <c r="E2512" t="s">
        <v>74</v>
      </c>
      <c r="F2512" t="s">
        <v>54</v>
      </c>
      <c r="G2512">
        <v>2435.0100000000002</v>
      </c>
      <c r="H2512" t="s">
        <v>15</v>
      </c>
      <c r="I2512" t="s">
        <v>22</v>
      </c>
      <c r="J2512" t="s">
        <v>65</v>
      </c>
    </row>
    <row r="2513" spans="1:10" x14ac:dyDescent="0.35">
      <c r="A2513" t="s">
        <v>2697</v>
      </c>
      <c r="B2513" s="1">
        <v>46115</v>
      </c>
      <c r="C2513" t="s">
        <v>227</v>
      </c>
      <c r="D2513" t="s">
        <v>12</v>
      </c>
      <c r="E2513" t="s">
        <v>51</v>
      </c>
      <c r="F2513" t="s">
        <v>14</v>
      </c>
      <c r="G2513">
        <v>36.29</v>
      </c>
      <c r="H2513" t="s">
        <v>21</v>
      </c>
      <c r="I2513" t="s">
        <v>22</v>
      </c>
      <c r="J2513" t="s">
        <v>17</v>
      </c>
    </row>
    <row r="2514" spans="1:10" x14ac:dyDescent="0.35">
      <c r="A2514" t="s">
        <v>2698</v>
      </c>
      <c r="B2514" s="1">
        <v>46115</v>
      </c>
      <c r="C2514" t="s">
        <v>198</v>
      </c>
      <c r="D2514" t="s">
        <v>59</v>
      </c>
      <c r="E2514" t="s">
        <v>199</v>
      </c>
      <c r="F2514" t="s">
        <v>14</v>
      </c>
      <c r="G2514">
        <v>272.73</v>
      </c>
      <c r="H2514" t="s">
        <v>98</v>
      </c>
      <c r="I2514" t="s">
        <v>36</v>
      </c>
      <c r="J2514" t="s">
        <v>61</v>
      </c>
    </row>
    <row r="2515" spans="1:10" x14ac:dyDescent="0.35">
      <c r="A2515" t="s">
        <v>2699</v>
      </c>
      <c r="B2515" s="1">
        <v>46115</v>
      </c>
      <c r="C2515" t="s">
        <v>53</v>
      </c>
      <c r="D2515" t="s">
        <v>54</v>
      </c>
      <c r="E2515" t="s">
        <v>55</v>
      </c>
      <c r="F2515" t="s">
        <v>54</v>
      </c>
      <c r="G2515">
        <v>749.29</v>
      </c>
      <c r="H2515" t="s">
        <v>15</v>
      </c>
      <c r="I2515" t="s">
        <v>22</v>
      </c>
      <c r="J2515" t="s">
        <v>56</v>
      </c>
    </row>
    <row r="2516" spans="1:10" x14ac:dyDescent="0.35">
      <c r="A2516" t="s">
        <v>2700</v>
      </c>
      <c r="B2516" s="1">
        <v>46115</v>
      </c>
      <c r="C2516" t="s">
        <v>194</v>
      </c>
      <c r="D2516" t="s">
        <v>101</v>
      </c>
      <c r="E2516" t="s">
        <v>136</v>
      </c>
      <c r="F2516" t="s">
        <v>14</v>
      </c>
      <c r="G2516">
        <v>38.380000000000003</v>
      </c>
      <c r="H2516" t="s">
        <v>21</v>
      </c>
      <c r="I2516" t="s">
        <v>22</v>
      </c>
      <c r="J2516" t="s">
        <v>103</v>
      </c>
    </row>
    <row r="2517" spans="1:10" x14ac:dyDescent="0.35">
      <c r="A2517" t="s">
        <v>2701</v>
      </c>
      <c r="B2517" s="1">
        <v>46115</v>
      </c>
      <c r="C2517" t="s">
        <v>63</v>
      </c>
      <c r="D2517" t="s">
        <v>54</v>
      </c>
      <c r="E2517" t="s">
        <v>64</v>
      </c>
      <c r="F2517" t="s">
        <v>54</v>
      </c>
      <c r="G2517">
        <v>364.46</v>
      </c>
      <c r="H2517" t="s">
        <v>15</v>
      </c>
      <c r="I2517" t="s">
        <v>47</v>
      </c>
      <c r="J2517" t="s">
        <v>65</v>
      </c>
    </row>
    <row r="2518" spans="1:10" x14ac:dyDescent="0.35">
      <c r="A2518" t="s">
        <v>2702</v>
      </c>
      <c r="B2518" s="1">
        <v>46115</v>
      </c>
      <c r="C2518" t="s">
        <v>73</v>
      </c>
      <c r="D2518" t="s">
        <v>54</v>
      </c>
      <c r="E2518" t="s">
        <v>74</v>
      </c>
      <c r="F2518" t="s">
        <v>54</v>
      </c>
      <c r="G2518">
        <v>2235.63</v>
      </c>
      <c r="H2518" t="s">
        <v>21</v>
      </c>
      <c r="I2518" t="s">
        <v>22</v>
      </c>
      <c r="J2518" t="s">
        <v>65</v>
      </c>
    </row>
    <row r="2519" spans="1:10" x14ac:dyDescent="0.35">
      <c r="A2519" t="s">
        <v>2703</v>
      </c>
      <c r="B2519" s="1">
        <v>46115</v>
      </c>
      <c r="C2519" t="s">
        <v>73</v>
      </c>
      <c r="D2519" t="s">
        <v>54</v>
      </c>
      <c r="E2519" t="s">
        <v>74</v>
      </c>
      <c r="F2519" t="s">
        <v>54</v>
      </c>
      <c r="G2519">
        <v>2680.82</v>
      </c>
      <c r="H2519" t="s">
        <v>15</v>
      </c>
      <c r="I2519" t="s">
        <v>36</v>
      </c>
      <c r="J2519" t="s">
        <v>65</v>
      </c>
    </row>
    <row r="2520" spans="1:10" x14ac:dyDescent="0.35">
      <c r="A2520" t="s">
        <v>2704</v>
      </c>
      <c r="B2520" s="1">
        <v>46116</v>
      </c>
      <c r="C2520" t="s">
        <v>46</v>
      </c>
      <c r="D2520" t="s">
        <v>12</v>
      </c>
      <c r="E2520" t="s">
        <v>13</v>
      </c>
      <c r="F2520" t="s">
        <v>14</v>
      </c>
      <c r="G2520">
        <v>45.1</v>
      </c>
      <c r="H2520" t="s">
        <v>21</v>
      </c>
      <c r="I2520" t="s">
        <v>47</v>
      </c>
      <c r="J2520" t="s">
        <v>48</v>
      </c>
    </row>
    <row r="2521" spans="1:10" x14ac:dyDescent="0.35">
      <c r="A2521" t="s">
        <v>2705</v>
      </c>
      <c r="B2521" s="1">
        <v>46116</v>
      </c>
      <c r="C2521" t="s">
        <v>143</v>
      </c>
      <c r="D2521" t="s">
        <v>54</v>
      </c>
      <c r="E2521" t="s">
        <v>55</v>
      </c>
      <c r="F2521" t="s">
        <v>54</v>
      </c>
      <c r="G2521">
        <v>624.25</v>
      </c>
      <c r="H2521" t="s">
        <v>21</v>
      </c>
      <c r="I2521" t="s">
        <v>16</v>
      </c>
      <c r="J2521" t="s">
        <v>89</v>
      </c>
    </row>
    <row r="2522" spans="1:10" x14ac:dyDescent="0.35">
      <c r="A2522" t="s">
        <v>2706</v>
      </c>
      <c r="B2522" s="1">
        <v>46116</v>
      </c>
      <c r="C2522" t="s">
        <v>91</v>
      </c>
      <c r="D2522" t="s">
        <v>80</v>
      </c>
      <c r="E2522" t="s">
        <v>92</v>
      </c>
      <c r="F2522" t="s">
        <v>14</v>
      </c>
      <c r="G2522">
        <v>78.739999999999995</v>
      </c>
      <c r="H2522" t="s">
        <v>21</v>
      </c>
      <c r="I2522" t="s">
        <v>22</v>
      </c>
      <c r="J2522" t="s">
        <v>82</v>
      </c>
    </row>
    <row r="2523" spans="1:10" x14ac:dyDescent="0.35">
      <c r="A2523" t="s">
        <v>2707</v>
      </c>
      <c r="B2523" s="1">
        <v>46117</v>
      </c>
      <c r="C2523" t="s">
        <v>28</v>
      </c>
      <c r="D2523" t="s">
        <v>29</v>
      </c>
      <c r="E2523" t="s">
        <v>30</v>
      </c>
      <c r="F2523" t="s">
        <v>14</v>
      </c>
      <c r="G2523">
        <v>41.22</v>
      </c>
      <c r="H2523" t="s">
        <v>98</v>
      </c>
      <c r="I2523" t="s">
        <v>36</v>
      </c>
      <c r="J2523" t="s">
        <v>31</v>
      </c>
    </row>
    <row r="2524" spans="1:10" x14ac:dyDescent="0.35">
      <c r="A2524" t="s">
        <v>2708</v>
      </c>
      <c r="B2524" s="1">
        <v>46117</v>
      </c>
      <c r="C2524" t="s">
        <v>194</v>
      </c>
      <c r="D2524" t="s">
        <v>101</v>
      </c>
      <c r="E2524" t="s">
        <v>136</v>
      </c>
      <c r="F2524" t="s">
        <v>14</v>
      </c>
      <c r="G2524">
        <v>26.71</v>
      </c>
      <c r="H2524" t="s">
        <v>15</v>
      </c>
      <c r="I2524" t="s">
        <v>47</v>
      </c>
      <c r="J2524" t="s">
        <v>103</v>
      </c>
    </row>
    <row r="2525" spans="1:10" x14ac:dyDescent="0.35">
      <c r="A2525" t="s">
        <v>2709</v>
      </c>
      <c r="B2525" s="1">
        <v>46117</v>
      </c>
      <c r="C2525" t="s">
        <v>113</v>
      </c>
      <c r="D2525" t="s">
        <v>34</v>
      </c>
      <c r="E2525" t="s">
        <v>40</v>
      </c>
      <c r="F2525" t="s">
        <v>14</v>
      </c>
      <c r="G2525">
        <v>343.64</v>
      </c>
      <c r="H2525" t="s">
        <v>15</v>
      </c>
      <c r="I2525" t="s">
        <v>22</v>
      </c>
      <c r="J2525" t="s">
        <v>37</v>
      </c>
    </row>
    <row r="2526" spans="1:10" x14ac:dyDescent="0.35">
      <c r="A2526" t="s">
        <v>2710</v>
      </c>
      <c r="B2526" s="1">
        <v>46117</v>
      </c>
      <c r="C2526" t="s">
        <v>229</v>
      </c>
      <c r="D2526" t="s">
        <v>54</v>
      </c>
      <c r="E2526" t="s">
        <v>64</v>
      </c>
      <c r="F2526" t="s">
        <v>54</v>
      </c>
      <c r="G2526">
        <v>357.47</v>
      </c>
      <c r="H2526" t="s">
        <v>21</v>
      </c>
      <c r="I2526" t="s">
        <v>16</v>
      </c>
      <c r="J2526" t="s">
        <v>56</v>
      </c>
    </row>
    <row r="2527" spans="1:10" x14ac:dyDescent="0.35">
      <c r="A2527" t="s">
        <v>2711</v>
      </c>
      <c r="B2527" s="1">
        <v>46117</v>
      </c>
      <c r="C2527" t="s">
        <v>331</v>
      </c>
      <c r="D2527" t="s">
        <v>29</v>
      </c>
      <c r="E2527" t="s">
        <v>95</v>
      </c>
      <c r="F2527" t="s">
        <v>14</v>
      </c>
      <c r="G2527">
        <v>23.22</v>
      </c>
      <c r="H2527" t="s">
        <v>21</v>
      </c>
      <c r="I2527" t="s">
        <v>22</v>
      </c>
      <c r="J2527" t="s">
        <v>151</v>
      </c>
    </row>
    <row r="2528" spans="1:10" x14ac:dyDescent="0.35">
      <c r="A2528" t="s">
        <v>2712</v>
      </c>
      <c r="B2528" s="1">
        <v>46117</v>
      </c>
      <c r="C2528" t="s">
        <v>734</v>
      </c>
      <c r="D2528" t="s">
        <v>69</v>
      </c>
      <c r="E2528" t="s">
        <v>291</v>
      </c>
      <c r="F2528" t="s">
        <v>14</v>
      </c>
      <c r="G2528">
        <v>288.83999999999997</v>
      </c>
      <c r="H2528" t="s">
        <v>21</v>
      </c>
      <c r="I2528" t="s">
        <v>47</v>
      </c>
      <c r="J2528" t="s">
        <v>71</v>
      </c>
    </row>
    <row r="2529" spans="1:10" x14ac:dyDescent="0.35">
      <c r="A2529" t="s">
        <v>2713</v>
      </c>
      <c r="B2529" s="1">
        <v>46118</v>
      </c>
      <c r="C2529" t="s">
        <v>350</v>
      </c>
      <c r="D2529" t="s">
        <v>29</v>
      </c>
      <c r="E2529" t="s">
        <v>151</v>
      </c>
      <c r="F2529" t="s">
        <v>14</v>
      </c>
      <c r="G2529">
        <v>37.340000000000003</v>
      </c>
      <c r="H2529" t="s">
        <v>15</v>
      </c>
      <c r="I2529" t="s">
        <v>16</v>
      </c>
      <c r="J2529" t="s">
        <v>158</v>
      </c>
    </row>
    <row r="2530" spans="1:10" x14ac:dyDescent="0.35">
      <c r="A2530" t="s">
        <v>2714</v>
      </c>
      <c r="B2530" s="1">
        <v>46118</v>
      </c>
      <c r="C2530" t="s">
        <v>109</v>
      </c>
      <c r="D2530" t="s">
        <v>34</v>
      </c>
      <c r="E2530" t="s">
        <v>35</v>
      </c>
      <c r="F2530" t="s">
        <v>14</v>
      </c>
      <c r="G2530">
        <v>500</v>
      </c>
      <c r="H2530" t="s">
        <v>15</v>
      </c>
      <c r="I2530" t="s">
        <v>22</v>
      </c>
      <c r="J2530" t="s">
        <v>41</v>
      </c>
    </row>
    <row r="2531" spans="1:10" x14ac:dyDescent="0.35">
      <c r="A2531" t="s">
        <v>2715</v>
      </c>
      <c r="B2531" s="1">
        <v>46118</v>
      </c>
      <c r="C2531" t="s">
        <v>215</v>
      </c>
      <c r="D2531" t="s">
        <v>80</v>
      </c>
      <c r="E2531" t="s">
        <v>117</v>
      </c>
      <c r="F2531" t="s">
        <v>14</v>
      </c>
      <c r="G2531">
        <v>87.99</v>
      </c>
      <c r="H2531" t="s">
        <v>15</v>
      </c>
      <c r="I2531" t="s">
        <v>47</v>
      </c>
      <c r="J2531" t="s">
        <v>141</v>
      </c>
    </row>
    <row r="2532" spans="1:10" x14ac:dyDescent="0.35">
      <c r="A2532" t="s">
        <v>2716</v>
      </c>
      <c r="B2532" s="1">
        <v>46118</v>
      </c>
      <c r="C2532" t="s">
        <v>168</v>
      </c>
      <c r="D2532" t="s">
        <v>59</v>
      </c>
      <c r="E2532" t="s">
        <v>60</v>
      </c>
      <c r="F2532" t="s">
        <v>14</v>
      </c>
      <c r="G2532">
        <v>437.82</v>
      </c>
      <c r="H2532" t="s">
        <v>21</v>
      </c>
      <c r="I2532" t="s">
        <v>36</v>
      </c>
      <c r="J2532" t="s">
        <v>170</v>
      </c>
    </row>
    <row r="2533" spans="1:10" x14ac:dyDescent="0.35">
      <c r="A2533" t="s">
        <v>2717</v>
      </c>
      <c r="B2533" s="1">
        <v>46119</v>
      </c>
      <c r="C2533" t="s">
        <v>227</v>
      </c>
      <c r="D2533" t="s">
        <v>12</v>
      </c>
      <c r="E2533" t="s">
        <v>51</v>
      </c>
      <c r="F2533" t="s">
        <v>14</v>
      </c>
      <c r="G2533">
        <v>27.56</v>
      </c>
      <c r="H2533" t="s">
        <v>21</v>
      </c>
      <c r="I2533" t="s">
        <v>22</v>
      </c>
      <c r="J2533" t="s">
        <v>17</v>
      </c>
    </row>
    <row r="2534" spans="1:10" x14ac:dyDescent="0.35">
      <c r="A2534" t="s">
        <v>2718</v>
      </c>
      <c r="B2534" s="1">
        <v>46119</v>
      </c>
      <c r="C2534" t="s">
        <v>33</v>
      </c>
      <c r="D2534" t="s">
        <v>34</v>
      </c>
      <c r="E2534" t="s">
        <v>35</v>
      </c>
      <c r="F2534" t="s">
        <v>14</v>
      </c>
      <c r="G2534">
        <v>190.06</v>
      </c>
      <c r="H2534" t="s">
        <v>15</v>
      </c>
      <c r="I2534" t="s">
        <v>36</v>
      </c>
      <c r="J2534" t="s">
        <v>37</v>
      </c>
    </row>
    <row r="2535" spans="1:10" x14ac:dyDescent="0.35">
      <c r="A2535" t="s">
        <v>2719</v>
      </c>
      <c r="B2535" s="1">
        <v>46119</v>
      </c>
      <c r="C2535" t="s">
        <v>875</v>
      </c>
      <c r="D2535" t="s">
        <v>69</v>
      </c>
      <c r="E2535" t="s">
        <v>291</v>
      </c>
      <c r="F2535" t="s">
        <v>14</v>
      </c>
      <c r="G2535">
        <v>303.18</v>
      </c>
      <c r="H2535" t="s">
        <v>21</v>
      </c>
      <c r="I2535" t="s">
        <v>36</v>
      </c>
      <c r="J2535" t="s">
        <v>133</v>
      </c>
    </row>
    <row r="2536" spans="1:10" x14ac:dyDescent="0.35">
      <c r="A2536" t="s">
        <v>2720</v>
      </c>
      <c r="B2536" s="1">
        <v>46119</v>
      </c>
      <c r="C2536" t="s">
        <v>194</v>
      </c>
      <c r="D2536" t="s">
        <v>101</v>
      </c>
      <c r="E2536" t="s">
        <v>136</v>
      </c>
      <c r="F2536" t="s">
        <v>14</v>
      </c>
      <c r="G2536">
        <v>155.86000000000001</v>
      </c>
      <c r="H2536" t="s">
        <v>15</v>
      </c>
      <c r="I2536" t="s">
        <v>36</v>
      </c>
      <c r="J2536" t="s">
        <v>103</v>
      </c>
    </row>
    <row r="2537" spans="1:10" x14ac:dyDescent="0.35">
      <c r="A2537" t="s">
        <v>2721</v>
      </c>
      <c r="B2537" s="1">
        <v>46120</v>
      </c>
      <c r="C2537" t="s">
        <v>125</v>
      </c>
      <c r="D2537" t="s">
        <v>12</v>
      </c>
      <c r="E2537" t="s">
        <v>13</v>
      </c>
      <c r="F2537" t="s">
        <v>14</v>
      </c>
      <c r="G2537">
        <v>44.06</v>
      </c>
      <c r="H2537" t="s">
        <v>21</v>
      </c>
      <c r="I2537" t="s">
        <v>36</v>
      </c>
      <c r="J2537" t="s">
        <v>44</v>
      </c>
    </row>
    <row r="2538" spans="1:10" x14ac:dyDescent="0.35">
      <c r="A2538" t="s">
        <v>2722</v>
      </c>
      <c r="B2538" s="1">
        <v>46120</v>
      </c>
      <c r="C2538" t="s">
        <v>113</v>
      </c>
      <c r="D2538" t="s">
        <v>34</v>
      </c>
      <c r="E2538" t="s">
        <v>40</v>
      </c>
      <c r="F2538" t="s">
        <v>14</v>
      </c>
      <c r="G2538">
        <v>59.05</v>
      </c>
      <c r="H2538" t="s">
        <v>15</v>
      </c>
      <c r="I2538" t="s">
        <v>22</v>
      </c>
      <c r="J2538" t="s">
        <v>37</v>
      </c>
    </row>
    <row r="2539" spans="1:10" x14ac:dyDescent="0.35">
      <c r="A2539" t="s">
        <v>2723</v>
      </c>
      <c r="B2539" s="1">
        <v>46120</v>
      </c>
      <c r="C2539" t="s">
        <v>251</v>
      </c>
      <c r="D2539" t="s">
        <v>29</v>
      </c>
      <c r="E2539" t="s">
        <v>151</v>
      </c>
      <c r="F2539" t="s">
        <v>14</v>
      </c>
      <c r="G2539">
        <v>29.81</v>
      </c>
      <c r="H2539" t="s">
        <v>15</v>
      </c>
      <c r="I2539" t="s">
        <v>36</v>
      </c>
      <c r="J2539" t="s">
        <v>31</v>
      </c>
    </row>
    <row r="2540" spans="1:10" x14ac:dyDescent="0.35">
      <c r="A2540" t="s">
        <v>2724</v>
      </c>
      <c r="B2540" s="1">
        <v>46120</v>
      </c>
      <c r="C2540" t="s">
        <v>153</v>
      </c>
      <c r="D2540" t="s">
        <v>34</v>
      </c>
      <c r="E2540" t="s">
        <v>122</v>
      </c>
      <c r="F2540" t="s">
        <v>14</v>
      </c>
      <c r="G2540">
        <v>167.23</v>
      </c>
      <c r="H2540" t="s">
        <v>15</v>
      </c>
      <c r="I2540" t="s">
        <v>47</v>
      </c>
      <c r="J2540" t="s">
        <v>41</v>
      </c>
    </row>
    <row r="2541" spans="1:10" x14ac:dyDescent="0.35">
      <c r="A2541" t="s">
        <v>2725</v>
      </c>
      <c r="B2541" s="1">
        <v>46120</v>
      </c>
      <c r="C2541" t="s">
        <v>155</v>
      </c>
      <c r="D2541" t="s">
        <v>12</v>
      </c>
      <c r="E2541" t="s">
        <v>51</v>
      </c>
      <c r="F2541" t="s">
        <v>14</v>
      </c>
      <c r="G2541">
        <v>29.27</v>
      </c>
      <c r="H2541" t="s">
        <v>15</v>
      </c>
      <c r="I2541" t="s">
        <v>36</v>
      </c>
      <c r="J2541" t="s">
        <v>48</v>
      </c>
    </row>
    <row r="2542" spans="1:10" x14ac:dyDescent="0.35">
      <c r="A2542" t="s">
        <v>2726</v>
      </c>
      <c r="B2542" s="1">
        <v>46120</v>
      </c>
      <c r="C2542" t="s">
        <v>220</v>
      </c>
      <c r="D2542" t="s">
        <v>59</v>
      </c>
      <c r="E2542" t="s">
        <v>199</v>
      </c>
      <c r="F2542" t="s">
        <v>14</v>
      </c>
      <c r="G2542">
        <v>229.2</v>
      </c>
      <c r="H2542" t="s">
        <v>21</v>
      </c>
      <c r="I2542" t="s">
        <v>22</v>
      </c>
      <c r="J2542" t="s">
        <v>211</v>
      </c>
    </row>
    <row r="2543" spans="1:10" x14ac:dyDescent="0.35">
      <c r="A2543" t="s">
        <v>2727</v>
      </c>
      <c r="B2543" s="1">
        <v>46120</v>
      </c>
      <c r="C2543" t="s">
        <v>130</v>
      </c>
      <c r="D2543" t="s">
        <v>12</v>
      </c>
      <c r="E2543" t="s">
        <v>26</v>
      </c>
      <c r="F2543" t="s">
        <v>14</v>
      </c>
      <c r="G2543">
        <v>115.45</v>
      </c>
      <c r="H2543" t="s">
        <v>15</v>
      </c>
      <c r="I2543" t="s">
        <v>22</v>
      </c>
      <c r="J2543" t="s">
        <v>48</v>
      </c>
    </row>
    <row r="2544" spans="1:10" x14ac:dyDescent="0.35">
      <c r="A2544" t="s">
        <v>2728</v>
      </c>
      <c r="B2544" s="1">
        <v>46121</v>
      </c>
      <c r="C2544" t="s">
        <v>43</v>
      </c>
      <c r="D2544" t="s">
        <v>12</v>
      </c>
      <c r="E2544" t="s">
        <v>26</v>
      </c>
      <c r="F2544" t="s">
        <v>14</v>
      </c>
      <c r="G2544">
        <v>45.16</v>
      </c>
      <c r="H2544" t="s">
        <v>21</v>
      </c>
      <c r="I2544" t="s">
        <v>22</v>
      </c>
      <c r="J2544" t="s">
        <v>44</v>
      </c>
    </row>
    <row r="2545" spans="1:10" x14ac:dyDescent="0.35">
      <c r="A2545" t="s">
        <v>2729</v>
      </c>
      <c r="B2545" s="1">
        <v>46121</v>
      </c>
      <c r="C2545" t="s">
        <v>88</v>
      </c>
      <c r="D2545" t="s">
        <v>54</v>
      </c>
      <c r="E2545" t="s">
        <v>74</v>
      </c>
      <c r="F2545" t="s">
        <v>54</v>
      </c>
      <c r="G2545">
        <v>2396.5100000000002</v>
      </c>
      <c r="H2545" t="s">
        <v>15</v>
      </c>
      <c r="I2545" t="s">
        <v>36</v>
      </c>
      <c r="J2545" t="s">
        <v>89</v>
      </c>
    </row>
    <row r="2546" spans="1:10" x14ac:dyDescent="0.35">
      <c r="A2546" t="s">
        <v>2730</v>
      </c>
      <c r="B2546" s="1">
        <v>46121</v>
      </c>
      <c r="C2546" t="s">
        <v>88</v>
      </c>
      <c r="D2546" t="s">
        <v>54</v>
      </c>
      <c r="E2546" t="s">
        <v>74</v>
      </c>
      <c r="F2546" t="s">
        <v>54</v>
      </c>
      <c r="G2546">
        <v>2650.88</v>
      </c>
      <c r="H2546" t="s">
        <v>21</v>
      </c>
      <c r="I2546" t="s">
        <v>16</v>
      </c>
      <c r="J2546" t="s">
        <v>89</v>
      </c>
    </row>
    <row r="2547" spans="1:10" x14ac:dyDescent="0.35">
      <c r="A2547" t="s">
        <v>2731</v>
      </c>
      <c r="B2547" s="1">
        <v>46121</v>
      </c>
      <c r="C2547" t="s">
        <v>248</v>
      </c>
      <c r="D2547" t="s">
        <v>80</v>
      </c>
      <c r="E2547" t="s">
        <v>81</v>
      </c>
      <c r="F2547" t="s">
        <v>14</v>
      </c>
      <c r="G2547">
        <v>45.65</v>
      </c>
      <c r="H2547" t="s">
        <v>15</v>
      </c>
      <c r="I2547" t="s">
        <v>22</v>
      </c>
      <c r="J2547" t="s">
        <v>161</v>
      </c>
    </row>
    <row r="2548" spans="1:10" x14ac:dyDescent="0.35">
      <c r="A2548" t="s">
        <v>2732</v>
      </c>
      <c r="B2548" s="1">
        <v>46121</v>
      </c>
      <c r="C2548" t="s">
        <v>251</v>
      </c>
      <c r="D2548" t="s">
        <v>29</v>
      </c>
      <c r="E2548" t="s">
        <v>151</v>
      </c>
      <c r="F2548" t="s">
        <v>14</v>
      </c>
      <c r="G2548">
        <v>15.42</v>
      </c>
      <c r="H2548" t="s">
        <v>15</v>
      </c>
      <c r="I2548" t="s">
        <v>47</v>
      </c>
      <c r="J2548" t="s">
        <v>31</v>
      </c>
    </row>
    <row r="2549" spans="1:10" x14ac:dyDescent="0.35">
      <c r="A2549" t="s">
        <v>2733</v>
      </c>
      <c r="B2549" s="1">
        <v>46122</v>
      </c>
      <c r="C2549" t="s">
        <v>177</v>
      </c>
      <c r="D2549" t="s">
        <v>54</v>
      </c>
      <c r="E2549" t="s">
        <v>74</v>
      </c>
      <c r="F2549" t="s">
        <v>54</v>
      </c>
      <c r="G2549">
        <v>2170.7800000000002</v>
      </c>
      <c r="H2549" t="s">
        <v>15</v>
      </c>
      <c r="I2549" t="s">
        <v>22</v>
      </c>
      <c r="J2549" t="s">
        <v>56</v>
      </c>
    </row>
    <row r="2550" spans="1:10" x14ac:dyDescent="0.35">
      <c r="A2550" t="s">
        <v>2734</v>
      </c>
      <c r="B2550" s="1">
        <v>46122</v>
      </c>
      <c r="C2550" t="s">
        <v>227</v>
      </c>
      <c r="D2550" t="s">
        <v>12</v>
      </c>
      <c r="E2550" t="s">
        <v>51</v>
      </c>
      <c r="F2550" t="s">
        <v>14</v>
      </c>
      <c r="G2550">
        <v>66.02</v>
      </c>
      <c r="H2550" t="s">
        <v>21</v>
      </c>
      <c r="I2550" t="s">
        <v>22</v>
      </c>
      <c r="J2550" t="s">
        <v>17</v>
      </c>
    </row>
    <row r="2551" spans="1:10" x14ac:dyDescent="0.35">
      <c r="A2551" t="s">
        <v>2735</v>
      </c>
      <c r="B2551" s="1">
        <v>46122</v>
      </c>
      <c r="C2551" t="s">
        <v>160</v>
      </c>
      <c r="D2551" t="s">
        <v>80</v>
      </c>
      <c r="E2551" t="s">
        <v>117</v>
      </c>
      <c r="F2551" t="s">
        <v>14</v>
      </c>
      <c r="G2551">
        <v>70.680000000000007</v>
      </c>
      <c r="H2551" t="s">
        <v>15</v>
      </c>
      <c r="I2551" t="s">
        <v>36</v>
      </c>
      <c r="J2551" t="s">
        <v>161</v>
      </c>
    </row>
    <row r="2552" spans="1:10" x14ac:dyDescent="0.35">
      <c r="A2552" t="s">
        <v>2736</v>
      </c>
      <c r="B2552" s="1">
        <v>46122</v>
      </c>
      <c r="C2552" t="s">
        <v>204</v>
      </c>
      <c r="D2552" t="s">
        <v>12</v>
      </c>
      <c r="E2552" t="s">
        <v>51</v>
      </c>
      <c r="F2552" t="s">
        <v>14</v>
      </c>
      <c r="G2552">
        <v>47.42</v>
      </c>
      <c r="H2552" t="s">
        <v>15</v>
      </c>
      <c r="I2552" t="s">
        <v>47</v>
      </c>
      <c r="J2552" t="s">
        <v>23</v>
      </c>
    </row>
    <row r="2553" spans="1:10" x14ac:dyDescent="0.35">
      <c r="A2553" t="s">
        <v>2737</v>
      </c>
      <c r="B2553" s="1">
        <v>46122</v>
      </c>
      <c r="C2553" t="s">
        <v>109</v>
      </c>
      <c r="D2553" t="s">
        <v>34</v>
      </c>
      <c r="E2553" t="s">
        <v>35</v>
      </c>
      <c r="F2553" t="s">
        <v>14</v>
      </c>
      <c r="G2553">
        <v>52.06</v>
      </c>
      <c r="H2553" t="s">
        <v>15</v>
      </c>
      <c r="I2553" t="s">
        <v>22</v>
      </c>
      <c r="J2553" t="s">
        <v>41</v>
      </c>
    </row>
    <row r="2554" spans="1:10" x14ac:dyDescent="0.35">
      <c r="A2554" t="s">
        <v>2738</v>
      </c>
      <c r="B2554" s="1">
        <v>46122</v>
      </c>
      <c r="C2554" t="s">
        <v>198</v>
      </c>
      <c r="D2554" t="s">
        <v>59</v>
      </c>
      <c r="E2554" t="s">
        <v>199</v>
      </c>
      <c r="F2554" t="s">
        <v>14</v>
      </c>
      <c r="G2554">
        <v>263.27</v>
      </c>
      <c r="H2554" t="s">
        <v>15</v>
      </c>
      <c r="I2554" t="s">
        <v>36</v>
      </c>
      <c r="J2554" t="s">
        <v>61</v>
      </c>
    </row>
    <row r="2555" spans="1:10" x14ac:dyDescent="0.35">
      <c r="A2555" t="s">
        <v>2739</v>
      </c>
      <c r="B2555" s="1">
        <v>46122</v>
      </c>
      <c r="C2555" t="s">
        <v>68</v>
      </c>
      <c r="D2555" t="s">
        <v>69</v>
      </c>
      <c r="E2555" t="s">
        <v>70</v>
      </c>
      <c r="F2555" t="s">
        <v>14</v>
      </c>
      <c r="G2555">
        <v>292.89</v>
      </c>
      <c r="H2555" t="s">
        <v>21</v>
      </c>
      <c r="I2555" t="s">
        <v>22</v>
      </c>
      <c r="J2555" t="s">
        <v>71</v>
      </c>
    </row>
    <row r="2556" spans="1:10" x14ac:dyDescent="0.35">
      <c r="A2556" t="s">
        <v>2740</v>
      </c>
      <c r="B2556" s="1">
        <v>46122</v>
      </c>
      <c r="C2556" t="s">
        <v>33</v>
      </c>
      <c r="D2556" t="s">
        <v>34</v>
      </c>
      <c r="E2556" t="s">
        <v>35</v>
      </c>
      <c r="F2556" t="s">
        <v>14</v>
      </c>
      <c r="G2556">
        <v>73.48</v>
      </c>
      <c r="H2556" t="s">
        <v>21</v>
      </c>
      <c r="I2556" t="s">
        <v>47</v>
      </c>
      <c r="J2556" t="s">
        <v>37</v>
      </c>
    </row>
    <row r="2557" spans="1:10" x14ac:dyDescent="0.35">
      <c r="A2557" t="s">
        <v>2741</v>
      </c>
      <c r="B2557" s="1">
        <v>46122</v>
      </c>
      <c r="C2557" t="s">
        <v>875</v>
      </c>
      <c r="D2557" t="s">
        <v>69</v>
      </c>
      <c r="E2557" t="s">
        <v>291</v>
      </c>
      <c r="F2557" t="s">
        <v>14</v>
      </c>
      <c r="G2557">
        <v>355.4</v>
      </c>
      <c r="H2557" t="s">
        <v>21</v>
      </c>
      <c r="I2557" t="s">
        <v>36</v>
      </c>
      <c r="J2557" t="s">
        <v>133</v>
      </c>
    </row>
    <row r="2558" spans="1:10" x14ac:dyDescent="0.35">
      <c r="A2558" t="s">
        <v>2742</v>
      </c>
      <c r="B2558" s="1">
        <v>46122</v>
      </c>
      <c r="C2558" t="s">
        <v>53</v>
      </c>
      <c r="D2558" t="s">
        <v>54</v>
      </c>
      <c r="E2558" t="s">
        <v>55</v>
      </c>
      <c r="F2558" t="s">
        <v>54</v>
      </c>
      <c r="G2558">
        <v>721.43</v>
      </c>
      <c r="H2558" t="s">
        <v>21</v>
      </c>
      <c r="I2558" t="s">
        <v>16</v>
      </c>
      <c r="J2558" t="s">
        <v>56</v>
      </c>
    </row>
    <row r="2559" spans="1:10" x14ac:dyDescent="0.35">
      <c r="A2559" t="s">
        <v>2743</v>
      </c>
      <c r="B2559" s="1">
        <v>46123</v>
      </c>
      <c r="C2559" t="s">
        <v>11</v>
      </c>
      <c r="D2559" t="s">
        <v>12</v>
      </c>
      <c r="E2559" t="s">
        <v>13</v>
      </c>
      <c r="F2559" t="s">
        <v>14</v>
      </c>
      <c r="G2559">
        <v>31.86</v>
      </c>
      <c r="H2559" t="s">
        <v>15</v>
      </c>
      <c r="I2559" t="s">
        <v>22</v>
      </c>
      <c r="J2559" t="s">
        <v>17</v>
      </c>
    </row>
    <row r="2560" spans="1:10" x14ac:dyDescent="0.35">
      <c r="A2560" t="s">
        <v>2744</v>
      </c>
      <c r="B2560" s="1">
        <v>46123</v>
      </c>
      <c r="C2560" t="s">
        <v>116</v>
      </c>
      <c r="D2560" t="s">
        <v>80</v>
      </c>
      <c r="E2560" t="s">
        <v>117</v>
      </c>
      <c r="F2560" t="s">
        <v>14</v>
      </c>
      <c r="G2560">
        <v>34.9</v>
      </c>
      <c r="H2560" t="s">
        <v>21</v>
      </c>
      <c r="I2560" t="s">
        <v>22</v>
      </c>
      <c r="J2560" t="s">
        <v>118</v>
      </c>
    </row>
    <row r="2561" spans="1:10" x14ac:dyDescent="0.35">
      <c r="A2561" t="s">
        <v>2745</v>
      </c>
      <c r="B2561" s="1">
        <v>46123</v>
      </c>
      <c r="C2561" t="s">
        <v>63</v>
      </c>
      <c r="D2561" t="s">
        <v>54</v>
      </c>
      <c r="E2561" t="s">
        <v>64</v>
      </c>
      <c r="F2561" t="s">
        <v>54</v>
      </c>
      <c r="G2561">
        <v>341.32</v>
      </c>
      <c r="H2561" t="s">
        <v>15</v>
      </c>
      <c r="I2561" t="s">
        <v>36</v>
      </c>
      <c r="J2561" t="s">
        <v>65</v>
      </c>
    </row>
    <row r="2562" spans="1:10" x14ac:dyDescent="0.35">
      <c r="A2562" t="s">
        <v>2746</v>
      </c>
      <c r="B2562" s="1">
        <v>46123</v>
      </c>
      <c r="C2562" t="s">
        <v>150</v>
      </c>
      <c r="D2562" t="s">
        <v>29</v>
      </c>
      <c r="E2562" t="s">
        <v>30</v>
      </c>
      <c r="F2562" t="s">
        <v>14</v>
      </c>
      <c r="G2562">
        <v>19.39</v>
      </c>
      <c r="H2562" t="s">
        <v>15</v>
      </c>
      <c r="I2562" t="s">
        <v>22</v>
      </c>
      <c r="J2562" t="s">
        <v>151</v>
      </c>
    </row>
    <row r="2563" spans="1:10" x14ac:dyDescent="0.35">
      <c r="A2563" t="s">
        <v>2747</v>
      </c>
      <c r="B2563" s="1">
        <v>46123</v>
      </c>
      <c r="C2563" t="s">
        <v>272</v>
      </c>
      <c r="D2563" t="s">
        <v>54</v>
      </c>
      <c r="E2563" t="s">
        <v>55</v>
      </c>
      <c r="F2563" t="s">
        <v>54</v>
      </c>
      <c r="G2563">
        <v>686.44</v>
      </c>
      <c r="H2563" t="s">
        <v>15</v>
      </c>
      <c r="I2563" t="s">
        <v>16</v>
      </c>
      <c r="J2563" t="s">
        <v>65</v>
      </c>
    </row>
    <row r="2564" spans="1:10" x14ac:dyDescent="0.35">
      <c r="A2564" t="s">
        <v>2748</v>
      </c>
      <c r="B2564" s="1">
        <v>46124</v>
      </c>
      <c r="C2564" t="s">
        <v>177</v>
      </c>
      <c r="D2564" t="s">
        <v>54</v>
      </c>
      <c r="E2564" t="s">
        <v>74</v>
      </c>
      <c r="F2564" t="s">
        <v>54</v>
      </c>
      <c r="G2564">
        <v>2597.77</v>
      </c>
      <c r="H2564" t="s">
        <v>21</v>
      </c>
      <c r="I2564" t="s">
        <v>16</v>
      </c>
      <c r="J2564" t="s">
        <v>56</v>
      </c>
    </row>
    <row r="2565" spans="1:10" x14ac:dyDescent="0.35">
      <c r="A2565" t="s">
        <v>2749</v>
      </c>
      <c r="B2565" s="1">
        <v>46124</v>
      </c>
      <c r="C2565" t="s">
        <v>155</v>
      </c>
      <c r="D2565" t="s">
        <v>12</v>
      </c>
      <c r="E2565" t="s">
        <v>51</v>
      </c>
      <c r="F2565" t="s">
        <v>14</v>
      </c>
      <c r="G2565">
        <v>159.41</v>
      </c>
      <c r="H2565" t="s">
        <v>21</v>
      </c>
      <c r="I2565" t="s">
        <v>22</v>
      </c>
      <c r="J2565" t="s">
        <v>48</v>
      </c>
    </row>
    <row r="2566" spans="1:10" x14ac:dyDescent="0.35">
      <c r="A2566" t="s">
        <v>2750</v>
      </c>
      <c r="B2566" s="1">
        <v>46124</v>
      </c>
      <c r="C2566" t="s">
        <v>415</v>
      </c>
      <c r="D2566" t="s">
        <v>12</v>
      </c>
      <c r="E2566" t="s">
        <v>51</v>
      </c>
      <c r="F2566" t="s">
        <v>14</v>
      </c>
      <c r="G2566">
        <v>35.54</v>
      </c>
      <c r="H2566" t="s">
        <v>15</v>
      </c>
      <c r="I2566" t="s">
        <v>36</v>
      </c>
      <c r="J2566" t="s">
        <v>77</v>
      </c>
    </row>
    <row r="2567" spans="1:10" x14ac:dyDescent="0.35">
      <c r="A2567" t="s">
        <v>2751</v>
      </c>
      <c r="B2567" s="1">
        <v>46124</v>
      </c>
      <c r="C2567" t="s">
        <v>153</v>
      </c>
      <c r="D2567" t="s">
        <v>34</v>
      </c>
      <c r="E2567" t="s">
        <v>122</v>
      </c>
      <c r="F2567" t="s">
        <v>14</v>
      </c>
      <c r="G2567">
        <v>127.98</v>
      </c>
      <c r="H2567" t="s">
        <v>21</v>
      </c>
      <c r="I2567" t="s">
        <v>36</v>
      </c>
      <c r="J2567" t="s">
        <v>41</v>
      </c>
    </row>
    <row r="2568" spans="1:10" x14ac:dyDescent="0.35">
      <c r="A2568" t="s">
        <v>2752</v>
      </c>
      <c r="B2568" s="1">
        <v>46124</v>
      </c>
      <c r="C2568" t="s">
        <v>28</v>
      </c>
      <c r="D2568" t="s">
        <v>29</v>
      </c>
      <c r="E2568" t="s">
        <v>30</v>
      </c>
      <c r="F2568" t="s">
        <v>14</v>
      </c>
      <c r="G2568">
        <v>20.37</v>
      </c>
      <c r="H2568" t="s">
        <v>15</v>
      </c>
      <c r="I2568" t="s">
        <v>47</v>
      </c>
      <c r="J2568" t="s">
        <v>31</v>
      </c>
    </row>
    <row r="2569" spans="1:10" x14ac:dyDescent="0.35">
      <c r="A2569" t="s">
        <v>2753</v>
      </c>
      <c r="B2569" s="1">
        <v>46124</v>
      </c>
      <c r="C2569" t="s">
        <v>130</v>
      </c>
      <c r="D2569" t="s">
        <v>12</v>
      </c>
      <c r="E2569" t="s">
        <v>26</v>
      </c>
      <c r="F2569" t="s">
        <v>14</v>
      </c>
      <c r="G2569">
        <v>54.64</v>
      </c>
      <c r="H2569" t="s">
        <v>15</v>
      </c>
      <c r="I2569" t="s">
        <v>36</v>
      </c>
      <c r="J2569" t="s">
        <v>48</v>
      </c>
    </row>
    <row r="2570" spans="1:10" x14ac:dyDescent="0.35">
      <c r="A2570" t="s">
        <v>2754</v>
      </c>
      <c r="B2570" s="1">
        <v>46125</v>
      </c>
      <c r="C2570" t="s">
        <v>121</v>
      </c>
      <c r="D2570" t="s">
        <v>34</v>
      </c>
      <c r="E2570" t="s">
        <v>122</v>
      </c>
      <c r="F2570" t="s">
        <v>14</v>
      </c>
      <c r="G2570">
        <v>105.11</v>
      </c>
      <c r="H2570" t="s">
        <v>15</v>
      </c>
      <c r="I2570" t="s">
        <v>22</v>
      </c>
      <c r="J2570" t="s">
        <v>123</v>
      </c>
    </row>
    <row r="2571" spans="1:10" x14ac:dyDescent="0.35">
      <c r="A2571" t="s">
        <v>2755</v>
      </c>
      <c r="B2571" s="1">
        <v>46125</v>
      </c>
      <c r="C2571" t="s">
        <v>238</v>
      </c>
      <c r="D2571" t="s">
        <v>34</v>
      </c>
      <c r="E2571" t="s">
        <v>35</v>
      </c>
      <c r="F2571" t="s">
        <v>14</v>
      </c>
      <c r="G2571">
        <v>97.86</v>
      </c>
      <c r="H2571" t="s">
        <v>15</v>
      </c>
      <c r="I2571" t="s">
        <v>22</v>
      </c>
      <c r="J2571" t="s">
        <v>239</v>
      </c>
    </row>
    <row r="2572" spans="1:10" x14ac:dyDescent="0.35">
      <c r="A2572" t="s">
        <v>2756</v>
      </c>
      <c r="B2572" s="1">
        <v>46125</v>
      </c>
      <c r="C2572" t="s">
        <v>88</v>
      </c>
      <c r="D2572" t="s">
        <v>54</v>
      </c>
      <c r="E2572" t="s">
        <v>74</v>
      </c>
      <c r="F2572" t="s">
        <v>54</v>
      </c>
      <c r="G2572">
        <v>2953.51</v>
      </c>
      <c r="H2572" t="s">
        <v>98</v>
      </c>
      <c r="I2572" t="s">
        <v>22</v>
      </c>
      <c r="J2572" t="s">
        <v>89</v>
      </c>
    </row>
    <row r="2573" spans="1:10" x14ac:dyDescent="0.35">
      <c r="A2573" t="s">
        <v>2757</v>
      </c>
      <c r="B2573" s="1">
        <v>46125</v>
      </c>
      <c r="C2573" t="s">
        <v>269</v>
      </c>
      <c r="D2573" t="s">
        <v>34</v>
      </c>
      <c r="E2573" t="s">
        <v>35</v>
      </c>
      <c r="F2573" t="s">
        <v>14</v>
      </c>
      <c r="G2573">
        <v>77.02</v>
      </c>
      <c r="H2573" t="s">
        <v>15</v>
      </c>
      <c r="I2573" t="s">
        <v>36</v>
      </c>
      <c r="J2573" t="s">
        <v>123</v>
      </c>
    </row>
    <row r="2574" spans="1:10" x14ac:dyDescent="0.35">
      <c r="A2574" t="s">
        <v>2758</v>
      </c>
      <c r="B2574" s="1">
        <v>46125</v>
      </c>
      <c r="C2574" t="s">
        <v>130</v>
      </c>
      <c r="D2574" t="s">
        <v>12</v>
      </c>
      <c r="E2574" t="s">
        <v>26</v>
      </c>
      <c r="F2574" t="s">
        <v>14</v>
      </c>
      <c r="G2574">
        <v>48.69</v>
      </c>
      <c r="H2574" t="s">
        <v>15</v>
      </c>
      <c r="I2574" t="s">
        <v>16</v>
      </c>
      <c r="J2574" t="s">
        <v>48</v>
      </c>
    </row>
    <row r="2575" spans="1:10" x14ac:dyDescent="0.35">
      <c r="A2575" t="s">
        <v>2759</v>
      </c>
      <c r="B2575" s="1">
        <v>46125</v>
      </c>
      <c r="C2575" t="s">
        <v>88</v>
      </c>
      <c r="D2575" t="s">
        <v>54</v>
      </c>
      <c r="E2575" t="s">
        <v>74</v>
      </c>
      <c r="F2575" t="s">
        <v>54</v>
      </c>
      <c r="G2575">
        <v>2492.7600000000002</v>
      </c>
      <c r="H2575" t="s">
        <v>15</v>
      </c>
      <c r="I2575" t="s">
        <v>47</v>
      </c>
      <c r="J2575" t="s">
        <v>89</v>
      </c>
    </row>
    <row r="2576" spans="1:10" x14ac:dyDescent="0.35">
      <c r="A2576" t="s">
        <v>2760</v>
      </c>
      <c r="B2576" s="1">
        <v>46125</v>
      </c>
      <c r="C2576" t="s">
        <v>543</v>
      </c>
      <c r="D2576" t="s">
        <v>69</v>
      </c>
      <c r="E2576" t="s">
        <v>70</v>
      </c>
      <c r="F2576" t="s">
        <v>14</v>
      </c>
      <c r="G2576">
        <v>824.59</v>
      </c>
      <c r="H2576" t="s">
        <v>21</v>
      </c>
      <c r="I2576" t="s">
        <v>16</v>
      </c>
      <c r="J2576" t="s">
        <v>292</v>
      </c>
    </row>
    <row r="2577" spans="1:10" x14ac:dyDescent="0.35">
      <c r="A2577" t="s">
        <v>2761</v>
      </c>
      <c r="B2577" s="1">
        <v>46126</v>
      </c>
      <c r="C2577" t="s">
        <v>177</v>
      </c>
      <c r="D2577" t="s">
        <v>54</v>
      </c>
      <c r="E2577" t="s">
        <v>74</v>
      </c>
      <c r="F2577" t="s">
        <v>54</v>
      </c>
      <c r="G2577">
        <v>2631.29</v>
      </c>
      <c r="H2577" t="s">
        <v>21</v>
      </c>
      <c r="I2577" t="s">
        <v>36</v>
      </c>
      <c r="J2577" t="s">
        <v>56</v>
      </c>
    </row>
    <row r="2578" spans="1:10" x14ac:dyDescent="0.35">
      <c r="A2578" t="s">
        <v>2762</v>
      </c>
      <c r="B2578" s="1">
        <v>46126</v>
      </c>
      <c r="C2578" t="s">
        <v>130</v>
      </c>
      <c r="D2578" t="s">
        <v>12</v>
      </c>
      <c r="E2578" t="s">
        <v>26</v>
      </c>
      <c r="F2578" t="s">
        <v>14</v>
      </c>
      <c r="G2578">
        <v>31.2</v>
      </c>
      <c r="H2578" t="s">
        <v>15</v>
      </c>
      <c r="I2578" t="s">
        <v>36</v>
      </c>
      <c r="J2578" t="s">
        <v>48</v>
      </c>
    </row>
    <row r="2579" spans="1:10" x14ac:dyDescent="0.35">
      <c r="A2579" t="s">
        <v>2763</v>
      </c>
      <c r="B2579" s="1">
        <v>46126</v>
      </c>
      <c r="C2579" t="s">
        <v>347</v>
      </c>
      <c r="D2579" t="s">
        <v>29</v>
      </c>
      <c r="E2579" t="s">
        <v>151</v>
      </c>
      <c r="F2579" t="s">
        <v>14</v>
      </c>
      <c r="G2579">
        <v>11.24</v>
      </c>
      <c r="H2579" t="s">
        <v>21</v>
      </c>
      <c r="I2579" t="s">
        <v>22</v>
      </c>
      <c r="J2579" t="s">
        <v>96</v>
      </c>
    </row>
    <row r="2580" spans="1:10" x14ac:dyDescent="0.35">
      <c r="A2580" t="s">
        <v>2764</v>
      </c>
      <c r="B2580" s="1">
        <v>46126</v>
      </c>
      <c r="C2580" t="s">
        <v>572</v>
      </c>
      <c r="D2580" t="s">
        <v>69</v>
      </c>
      <c r="E2580" t="s">
        <v>233</v>
      </c>
      <c r="F2580" t="s">
        <v>14</v>
      </c>
      <c r="G2580">
        <v>362.33</v>
      </c>
      <c r="H2580" t="s">
        <v>15</v>
      </c>
      <c r="I2580" t="s">
        <v>36</v>
      </c>
      <c r="J2580" t="s">
        <v>292</v>
      </c>
    </row>
    <row r="2581" spans="1:10" x14ac:dyDescent="0.35">
      <c r="A2581" t="s">
        <v>2765</v>
      </c>
      <c r="B2581" s="1">
        <v>46126</v>
      </c>
      <c r="C2581" t="s">
        <v>734</v>
      </c>
      <c r="D2581" t="s">
        <v>69</v>
      </c>
      <c r="E2581" t="s">
        <v>291</v>
      </c>
      <c r="F2581" t="s">
        <v>14</v>
      </c>
      <c r="G2581">
        <v>702.5</v>
      </c>
      <c r="H2581" t="s">
        <v>21</v>
      </c>
      <c r="I2581" t="s">
        <v>84</v>
      </c>
      <c r="J2581" t="s">
        <v>71</v>
      </c>
    </row>
    <row r="2582" spans="1:10" x14ac:dyDescent="0.35">
      <c r="A2582" t="s">
        <v>2766</v>
      </c>
      <c r="B2582" s="1">
        <v>46126</v>
      </c>
      <c r="C2582" t="s">
        <v>43</v>
      </c>
      <c r="D2582" t="s">
        <v>12</v>
      </c>
      <c r="E2582" t="s">
        <v>26</v>
      </c>
      <c r="F2582" t="s">
        <v>14</v>
      </c>
      <c r="G2582">
        <v>23.08</v>
      </c>
      <c r="H2582" t="s">
        <v>21</v>
      </c>
      <c r="I2582" t="s">
        <v>22</v>
      </c>
      <c r="J2582" t="s">
        <v>44</v>
      </c>
    </row>
    <row r="2583" spans="1:10" x14ac:dyDescent="0.35">
      <c r="A2583" t="s">
        <v>2767</v>
      </c>
      <c r="B2583" s="1">
        <v>46126</v>
      </c>
      <c r="C2583" t="s">
        <v>426</v>
      </c>
      <c r="D2583" t="s">
        <v>69</v>
      </c>
      <c r="E2583" t="s">
        <v>70</v>
      </c>
      <c r="F2583" t="s">
        <v>14</v>
      </c>
      <c r="G2583">
        <v>569.24</v>
      </c>
      <c r="H2583" t="s">
        <v>21</v>
      </c>
      <c r="I2583" t="s">
        <v>22</v>
      </c>
      <c r="J2583" t="s">
        <v>396</v>
      </c>
    </row>
    <row r="2584" spans="1:10" x14ac:dyDescent="0.35">
      <c r="A2584" t="s">
        <v>2768</v>
      </c>
      <c r="B2584" s="1">
        <v>46127</v>
      </c>
      <c r="C2584" t="s">
        <v>243</v>
      </c>
      <c r="D2584" t="s">
        <v>101</v>
      </c>
      <c r="E2584" t="s">
        <v>244</v>
      </c>
      <c r="F2584" t="s">
        <v>14</v>
      </c>
      <c r="G2584">
        <v>51.25</v>
      </c>
      <c r="H2584" t="s">
        <v>15</v>
      </c>
      <c r="I2584" t="s">
        <v>22</v>
      </c>
      <c r="J2584" t="s">
        <v>102</v>
      </c>
    </row>
    <row r="2585" spans="1:10" x14ac:dyDescent="0.35">
      <c r="A2585" t="s">
        <v>2769</v>
      </c>
      <c r="B2585" s="1">
        <v>46128</v>
      </c>
      <c r="C2585" t="s">
        <v>229</v>
      </c>
      <c r="D2585" t="s">
        <v>54</v>
      </c>
      <c r="E2585" t="s">
        <v>64</v>
      </c>
      <c r="F2585" t="s">
        <v>54</v>
      </c>
      <c r="G2585">
        <v>374.56</v>
      </c>
      <c r="H2585" t="s">
        <v>15</v>
      </c>
      <c r="I2585" t="s">
        <v>47</v>
      </c>
      <c r="J2585" t="s">
        <v>56</v>
      </c>
    </row>
    <row r="2586" spans="1:10" x14ac:dyDescent="0.35">
      <c r="A2586" t="s">
        <v>2770</v>
      </c>
      <c r="B2586" s="1">
        <v>46128</v>
      </c>
      <c r="C2586" t="s">
        <v>215</v>
      </c>
      <c r="D2586" t="s">
        <v>80</v>
      </c>
      <c r="E2586" t="s">
        <v>117</v>
      </c>
      <c r="F2586" t="s">
        <v>14</v>
      </c>
      <c r="G2586">
        <v>56.06</v>
      </c>
      <c r="H2586" t="s">
        <v>15</v>
      </c>
      <c r="I2586" t="s">
        <v>16</v>
      </c>
      <c r="J2586" t="s">
        <v>141</v>
      </c>
    </row>
    <row r="2587" spans="1:10" x14ac:dyDescent="0.35">
      <c r="A2587" t="s">
        <v>2771</v>
      </c>
      <c r="B2587" s="1">
        <v>46128</v>
      </c>
      <c r="C2587" t="s">
        <v>177</v>
      </c>
      <c r="D2587" t="s">
        <v>54</v>
      </c>
      <c r="E2587" t="s">
        <v>74</v>
      </c>
      <c r="F2587" t="s">
        <v>54</v>
      </c>
      <c r="G2587">
        <v>2158.8200000000002</v>
      </c>
      <c r="H2587" t="s">
        <v>15</v>
      </c>
      <c r="I2587" t="s">
        <v>47</v>
      </c>
      <c r="J2587" t="s">
        <v>56</v>
      </c>
    </row>
    <row r="2588" spans="1:10" x14ac:dyDescent="0.35">
      <c r="A2588" t="s">
        <v>2772</v>
      </c>
      <c r="B2588" s="1">
        <v>46129</v>
      </c>
      <c r="C2588" t="s">
        <v>415</v>
      </c>
      <c r="D2588" t="s">
        <v>12</v>
      </c>
      <c r="E2588" t="s">
        <v>51</v>
      </c>
      <c r="F2588" t="s">
        <v>14</v>
      </c>
      <c r="G2588">
        <v>48.37</v>
      </c>
      <c r="H2588" t="s">
        <v>21</v>
      </c>
      <c r="I2588" t="s">
        <v>36</v>
      </c>
      <c r="J2588" t="s">
        <v>77</v>
      </c>
    </row>
    <row r="2589" spans="1:10" x14ac:dyDescent="0.35">
      <c r="A2589" t="s">
        <v>2773</v>
      </c>
      <c r="B2589" s="1">
        <v>46129</v>
      </c>
      <c r="C2589" t="s">
        <v>411</v>
      </c>
      <c r="D2589" t="s">
        <v>29</v>
      </c>
      <c r="E2589" t="s">
        <v>151</v>
      </c>
      <c r="F2589" t="s">
        <v>14</v>
      </c>
      <c r="G2589">
        <v>18.79</v>
      </c>
      <c r="H2589" t="s">
        <v>15</v>
      </c>
      <c r="I2589" t="s">
        <v>47</v>
      </c>
      <c r="J2589" t="s">
        <v>151</v>
      </c>
    </row>
    <row r="2590" spans="1:10" x14ac:dyDescent="0.35">
      <c r="A2590" t="s">
        <v>2774</v>
      </c>
      <c r="B2590" s="1">
        <v>46129</v>
      </c>
      <c r="C2590" t="s">
        <v>298</v>
      </c>
      <c r="D2590" t="s">
        <v>59</v>
      </c>
      <c r="E2590" t="s">
        <v>185</v>
      </c>
      <c r="F2590" t="s">
        <v>14</v>
      </c>
      <c r="G2590">
        <v>571.29999999999995</v>
      </c>
      <c r="H2590" t="s">
        <v>15</v>
      </c>
      <c r="I2590" t="s">
        <v>22</v>
      </c>
      <c r="J2590" t="s">
        <v>170</v>
      </c>
    </row>
    <row r="2591" spans="1:10" x14ac:dyDescent="0.35">
      <c r="A2591" t="s">
        <v>2775</v>
      </c>
      <c r="B2591" s="1">
        <v>46129</v>
      </c>
      <c r="C2591" t="s">
        <v>267</v>
      </c>
      <c r="D2591" t="s">
        <v>29</v>
      </c>
      <c r="E2591" t="s">
        <v>30</v>
      </c>
      <c r="F2591" t="s">
        <v>14</v>
      </c>
      <c r="G2591">
        <v>22.99</v>
      </c>
      <c r="H2591" t="s">
        <v>21</v>
      </c>
      <c r="I2591" t="s">
        <v>16</v>
      </c>
      <c r="J2591" t="s">
        <v>96</v>
      </c>
    </row>
    <row r="2592" spans="1:10" x14ac:dyDescent="0.35">
      <c r="A2592" t="s">
        <v>2776</v>
      </c>
      <c r="B2592" s="1">
        <v>46129</v>
      </c>
      <c r="C2592" t="s">
        <v>153</v>
      </c>
      <c r="D2592" t="s">
        <v>34</v>
      </c>
      <c r="E2592" t="s">
        <v>122</v>
      </c>
      <c r="F2592" t="s">
        <v>14</v>
      </c>
      <c r="G2592">
        <v>80.8</v>
      </c>
      <c r="H2592" t="s">
        <v>15</v>
      </c>
      <c r="I2592" t="s">
        <v>22</v>
      </c>
      <c r="J2592" t="s">
        <v>41</v>
      </c>
    </row>
    <row r="2593" spans="1:10" x14ac:dyDescent="0.35">
      <c r="A2593" t="s">
        <v>2777</v>
      </c>
      <c r="B2593" s="1">
        <v>46129</v>
      </c>
      <c r="C2593" t="s">
        <v>251</v>
      </c>
      <c r="D2593" t="s">
        <v>29</v>
      </c>
      <c r="E2593" t="s">
        <v>151</v>
      </c>
      <c r="F2593" t="s">
        <v>14</v>
      </c>
      <c r="G2593">
        <v>27.26</v>
      </c>
      <c r="H2593" t="s">
        <v>98</v>
      </c>
      <c r="I2593" t="s">
        <v>22</v>
      </c>
      <c r="J2593" t="s">
        <v>31</v>
      </c>
    </row>
    <row r="2594" spans="1:10" x14ac:dyDescent="0.35">
      <c r="A2594" t="s">
        <v>2778</v>
      </c>
      <c r="B2594" s="1">
        <v>46130</v>
      </c>
      <c r="C2594" t="s">
        <v>138</v>
      </c>
      <c r="D2594" t="s">
        <v>12</v>
      </c>
      <c r="E2594" t="s">
        <v>26</v>
      </c>
      <c r="F2594" t="s">
        <v>14</v>
      </c>
      <c r="G2594">
        <v>18.010000000000002</v>
      </c>
      <c r="H2594" t="s">
        <v>15</v>
      </c>
      <c r="I2594" t="s">
        <v>36</v>
      </c>
      <c r="J2594" t="s">
        <v>77</v>
      </c>
    </row>
    <row r="2595" spans="1:10" x14ac:dyDescent="0.35">
      <c r="A2595" t="s">
        <v>2779</v>
      </c>
      <c r="B2595" s="1">
        <v>46130</v>
      </c>
      <c r="C2595" t="s">
        <v>177</v>
      </c>
      <c r="D2595" t="s">
        <v>54</v>
      </c>
      <c r="E2595" t="s">
        <v>74</v>
      </c>
      <c r="F2595" t="s">
        <v>54</v>
      </c>
      <c r="G2595">
        <v>2377.25</v>
      </c>
      <c r="H2595" t="s">
        <v>98</v>
      </c>
      <c r="I2595" t="s">
        <v>36</v>
      </c>
      <c r="J2595" t="s">
        <v>56</v>
      </c>
    </row>
    <row r="2596" spans="1:10" x14ac:dyDescent="0.35">
      <c r="A2596" t="s">
        <v>2780</v>
      </c>
      <c r="B2596" s="1">
        <v>46130</v>
      </c>
      <c r="C2596" t="s">
        <v>168</v>
      </c>
      <c r="D2596" t="s">
        <v>59</v>
      </c>
      <c r="E2596" t="s">
        <v>60</v>
      </c>
      <c r="F2596" t="s">
        <v>14</v>
      </c>
      <c r="G2596">
        <v>950</v>
      </c>
      <c r="H2596" t="s">
        <v>15</v>
      </c>
      <c r="I2596" t="s">
        <v>36</v>
      </c>
      <c r="J2596" t="s">
        <v>170</v>
      </c>
    </row>
    <row r="2597" spans="1:10" x14ac:dyDescent="0.35">
      <c r="A2597" t="s">
        <v>2781</v>
      </c>
      <c r="B2597" s="1">
        <v>46130</v>
      </c>
      <c r="C2597" t="s">
        <v>210</v>
      </c>
      <c r="D2597" t="s">
        <v>59</v>
      </c>
      <c r="E2597" t="s">
        <v>185</v>
      </c>
      <c r="F2597" t="s">
        <v>14</v>
      </c>
      <c r="G2597">
        <v>159.33000000000001</v>
      </c>
      <c r="H2597" t="s">
        <v>15</v>
      </c>
      <c r="I2597" t="s">
        <v>22</v>
      </c>
      <c r="J2597" t="s">
        <v>211</v>
      </c>
    </row>
    <row r="2598" spans="1:10" x14ac:dyDescent="0.35">
      <c r="A2598" t="s">
        <v>2782</v>
      </c>
      <c r="B2598" s="1">
        <v>46131</v>
      </c>
      <c r="C2598" t="s">
        <v>88</v>
      </c>
      <c r="D2598" t="s">
        <v>54</v>
      </c>
      <c r="E2598" t="s">
        <v>74</v>
      </c>
      <c r="F2598" t="s">
        <v>54</v>
      </c>
      <c r="G2598">
        <v>2811.95</v>
      </c>
      <c r="H2598" t="s">
        <v>15</v>
      </c>
      <c r="I2598" t="s">
        <v>36</v>
      </c>
      <c r="J2598" t="s">
        <v>89</v>
      </c>
    </row>
    <row r="2599" spans="1:10" x14ac:dyDescent="0.35">
      <c r="A2599" t="s">
        <v>2783</v>
      </c>
      <c r="B2599" s="1">
        <v>46131</v>
      </c>
      <c r="C2599" t="s">
        <v>63</v>
      </c>
      <c r="D2599" t="s">
        <v>54</v>
      </c>
      <c r="E2599" t="s">
        <v>64</v>
      </c>
      <c r="F2599" t="s">
        <v>54</v>
      </c>
      <c r="G2599">
        <v>366.64</v>
      </c>
      <c r="H2599" t="s">
        <v>21</v>
      </c>
      <c r="I2599" t="s">
        <v>16</v>
      </c>
      <c r="J2599" t="s">
        <v>65</v>
      </c>
    </row>
    <row r="2600" spans="1:10" x14ac:dyDescent="0.35">
      <c r="A2600" t="s">
        <v>2784</v>
      </c>
      <c r="B2600" s="1">
        <v>46131</v>
      </c>
      <c r="C2600" t="s">
        <v>411</v>
      </c>
      <c r="D2600" t="s">
        <v>29</v>
      </c>
      <c r="E2600" t="s">
        <v>151</v>
      </c>
      <c r="F2600" t="s">
        <v>14</v>
      </c>
      <c r="G2600">
        <v>14.82</v>
      </c>
      <c r="H2600" t="s">
        <v>15</v>
      </c>
      <c r="I2600" t="s">
        <v>22</v>
      </c>
      <c r="J2600" t="s">
        <v>151</v>
      </c>
    </row>
    <row r="2601" spans="1:10" x14ac:dyDescent="0.35">
      <c r="A2601" t="s">
        <v>2785</v>
      </c>
      <c r="B2601" s="1">
        <v>46131</v>
      </c>
      <c r="C2601" t="s">
        <v>94</v>
      </c>
      <c r="D2601" t="s">
        <v>29</v>
      </c>
      <c r="E2601" t="s">
        <v>95</v>
      </c>
      <c r="F2601" t="s">
        <v>14</v>
      </c>
      <c r="G2601">
        <v>21.95</v>
      </c>
      <c r="H2601" t="s">
        <v>21</v>
      </c>
      <c r="I2601" t="s">
        <v>36</v>
      </c>
      <c r="J2601" t="s">
        <v>96</v>
      </c>
    </row>
    <row r="2602" spans="1:10" x14ac:dyDescent="0.35">
      <c r="A2602" t="s">
        <v>2786</v>
      </c>
      <c r="B2602" s="1">
        <v>46131</v>
      </c>
      <c r="C2602" t="s">
        <v>175</v>
      </c>
      <c r="D2602" t="s">
        <v>80</v>
      </c>
      <c r="E2602" t="s">
        <v>92</v>
      </c>
      <c r="F2602" t="s">
        <v>14</v>
      </c>
      <c r="G2602">
        <v>63.6</v>
      </c>
      <c r="H2602" t="s">
        <v>15</v>
      </c>
      <c r="I2602" t="s">
        <v>16</v>
      </c>
      <c r="J2602" t="s">
        <v>141</v>
      </c>
    </row>
    <row r="2603" spans="1:10" x14ac:dyDescent="0.35">
      <c r="A2603" t="s">
        <v>2787</v>
      </c>
      <c r="B2603" s="1">
        <v>46131</v>
      </c>
      <c r="C2603" t="s">
        <v>298</v>
      </c>
      <c r="D2603" t="s">
        <v>59</v>
      </c>
      <c r="E2603" t="s">
        <v>185</v>
      </c>
      <c r="F2603" t="s">
        <v>14</v>
      </c>
      <c r="G2603">
        <v>179</v>
      </c>
      <c r="H2603" t="s">
        <v>21</v>
      </c>
      <c r="I2603" t="s">
        <v>36</v>
      </c>
      <c r="J2603" t="s">
        <v>170</v>
      </c>
    </row>
    <row r="2604" spans="1:10" x14ac:dyDescent="0.35">
      <c r="A2604" t="s">
        <v>2788</v>
      </c>
      <c r="B2604" s="1">
        <v>46131</v>
      </c>
      <c r="C2604" t="s">
        <v>28</v>
      </c>
      <c r="D2604" t="s">
        <v>29</v>
      </c>
      <c r="E2604" t="s">
        <v>30</v>
      </c>
      <c r="F2604" t="s">
        <v>14</v>
      </c>
      <c r="G2604">
        <v>15.55</v>
      </c>
      <c r="H2604" t="s">
        <v>15</v>
      </c>
      <c r="I2604" t="s">
        <v>36</v>
      </c>
      <c r="J2604" t="s">
        <v>31</v>
      </c>
    </row>
    <row r="2605" spans="1:10" x14ac:dyDescent="0.35">
      <c r="A2605" t="s">
        <v>2789</v>
      </c>
      <c r="B2605" s="1">
        <v>46132</v>
      </c>
      <c r="C2605" t="s">
        <v>168</v>
      </c>
      <c r="D2605" t="s">
        <v>59</v>
      </c>
      <c r="E2605" t="s">
        <v>60</v>
      </c>
      <c r="F2605" t="s">
        <v>14</v>
      </c>
      <c r="G2605">
        <v>678.32</v>
      </c>
      <c r="H2605" t="s">
        <v>15</v>
      </c>
      <c r="I2605" t="s">
        <v>84</v>
      </c>
      <c r="J2605" t="s">
        <v>170</v>
      </c>
    </row>
    <row r="2606" spans="1:10" x14ac:dyDescent="0.35">
      <c r="A2606" t="s">
        <v>2790</v>
      </c>
      <c r="B2606" s="1">
        <v>46132</v>
      </c>
      <c r="C2606" t="s">
        <v>253</v>
      </c>
      <c r="D2606" t="s">
        <v>29</v>
      </c>
      <c r="E2606" t="s">
        <v>30</v>
      </c>
      <c r="F2606" t="s">
        <v>14</v>
      </c>
      <c r="G2606">
        <v>17.010000000000002</v>
      </c>
      <c r="H2606" t="s">
        <v>15</v>
      </c>
      <c r="I2606" t="s">
        <v>16</v>
      </c>
      <c r="J2606" t="s">
        <v>158</v>
      </c>
    </row>
    <row r="2607" spans="1:10" x14ac:dyDescent="0.35">
      <c r="A2607" t="s">
        <v>2791</v>
      </c>
      <c r="B2607" s="1">
        <v>46132</v>
      </c>
      <c r="C2607" t="s">
        <v>111</v>
      </c>
      <c r="D2607" t="s">
        <v>12</v>
      </c>
      <c r="E2607" t="s">
        <v>26</v>
      </c>
      <c r="F2607" t="s">
        <v>14</v>
      </c>
      <c r="G2607">
        <v>63.41</v>
      </c>
      <c r="H2607" t="s">
        <v>15</v>
      </c>
      <c r="I2607" t="s">
        <v>22</v>
      </c>
      <c r="J2607" t="s">
        <v>23</v>
      </c>
    </row>
    <row r="2608" spans="1:10" x14ac:dyDescent="0.35">
      <c r="A2608" t="s">
        <v>2792</v>
      </c>
      <c r="B2608" s="1">
        <v>46132</v>
      </c>
      <c r="C2608" t="s">
        <v>58</v>
      </c>
      <c r="D2608" t="s">
        <v>59</v>
      </c>
      <c r="E2608" t="s">
        <v>60</v>
      </c>
      <c r="F2608" t="s">
        <v>14</v>
      </c>
      <c r="G2608">
        <v>236.52</v>
      </c>
      <c r="H2608" t="s">
        <v>15</v>
      </c>
      <c r="I2608" t="s">
        <v>22</v>
      </c>
      <c r="J2608" t="s">
        <v>61</v>
      </c>
    </row>
    <row r="2609" spans="1:10" x14ac:dyDescent="0.35">
      <c r="A2609" t="s">
        <v>2793</v>
      </c>
      <c r="B2609" s="1">
        <v>46133</v>
      </c>
      <c r="C2609" t="s">
        <v>281</v>
      </c>
      <c r="D2609" t="s">
        <v>34</v>
      </c>
      <c r="E2609" t="s">
        <v>40</v>
      </c>
      <c r="F2609" t="s">
        <v>14</v>
      </c>
      <c r="G2609">
        <v>42.78</v>
      </c>
      <c r="H2609" t="s">
        <v>21</v>
      </c>
      <c r="I2609" t="s">
        <v>36</v>
      </c>
      <c r="J2609" t="s">
        <v>123</v>
      </c>
    </row>
    <row r="2610" spans="1:10" x14ac:dyDescent="0.35">
      <c r="A2610" t="s">
        <v>2794</v>
      </c>
      <c r="B2610" s="1">
        <v>46133</v>
      </c>
      <c r="C2610" t="s">
        <v>94</v>
      </c>
      <c r="D2610" t="s">
        <v>29</v>
      </c>
      <c r="E2610" t="s">
        <v>95</v>
      </c>
      <c r="F2610" t="s">
        <v>14</v>
      </c>
      <c r="G2610">
        <v>21.52</v>
      </c>
      <c r="H2610" t="s">
        <v>15</v>
      </c>
      <c r="I2610" t="s">
        <v>36</v>
      </c>
      <c r="J2610" t="s">
        <v>96</v>
      </c>
    </row>
    <row r="2611" spans="1:10" x14ac:dyDescent="0.35">
      <c r="A2611" t="s">
        <v>2795</v>
      </c>
      <c r="B2611" s="1">
        <v>46133</v>
      </c>
      <c r="C2611" t="s">
        <v>100</v>
      </c>
      <c r="D2611" t="s">
        <v>101</v>
      </c>
      <c r="E2611" t="s">
        <v>102</v>
      </c>
      <c r="F2611" t="s">
        <v>14</v>
      </c>
      <c r="G2611">
        <v>44.86</v>
      </c>
      <c r="H2611" t="s">
        <v>15</v>
      </c>
      <c r="I2611" t="s">
        <v>36</v>
      </c>
      <c r="J2611" t="s">
        <v>103</v>
      </c>
    </row>
    <row r="2612" spans="1:10" x14ac:dyDescent="0.35">
      <c r="A2612" t="s">
        <v>2796</v>
      </c>
      <c r="B2612" s="1">
        <v>46133</v>
      </c>
      <c r="C2612" t="s">
        <v>415</v>
      </c>
      <c r="D2612" t="s">
        <v>12</v>
      </c>
      <c r="E2612" t="s">
        <v>51</v>
      </c>
      <c r="F2612" t="s">
        <v>14</v>
      </c>
      <c r="G2612">
        <v>82.87</v>
      </c>
      <c r="H2612" t="s">
        <v>21</v>
      </c>
      <c r="I2612" t="s">
        <v>22</v>
      </c>
      <c r="J2612" t="s">
        <v>77</v>
      </c>
    </row>
    <row r="2613" spans="1:10" x14ac:dyDescent="0.35">
      <c r="A2613" t="s">
        <v>2797</v>
      </c>
      <c r="B2613" s="1">
        <v>46133</v>
      </c>
      <c r="C2613" t="s">
        <v>217</v>
      </c>
      <c r="D2613" t="s">
        <v>80</v>
      </c>
      <c r="E2613" t="s">
        <v>81</v>
      </c>
      <c r="F2613" t="s">
        <v>14</v>
      </c>
      <c r="G2613">
        <v>171.33</v>
      </c>
      <c r="H2613" t="s">
        <v>21</v>
      </c>
      <c r="I2613" t="s">
        <v>47</v>
      </c>
      <c r="J2613" t="s">
        <v>180</v>
      </c>
    </row>
    <row r="2614" spans="1:10" x14ac:dyDescent="0.35">
      <c r="A2614" t="s">
        <v>2798</v>
      </c>
      <c r="B2614" s="1">
        <v>46134</v>
      </c>
      <c r="C2614" t="s">
        <v>350</v>
      </c>
      <c r="D2614" t="s">
        <v>29</v>
      </c>
      <c r="E2614" t="s">
        <v>151</v>
      </c>
      <c r="F2614" t="s">
        <v>14</v>
      </c>
      <c r="G2614">
        <v>15.32</v>
      </c>
      <c r="H2614" t="s">
        <v>21</v>
      </c>
      <c r="I2614" t="s">
        <v>22</v>
      </c>
      <c r="J2614" t="s">
        <v>158</v>
      </c>
    </row>
    <row r="2615" spans="1:10" x14ac:dyDescent="0.35">
      <c r="A2615" t="s">
        <v>2799</v>
      </c>
      <c r="B2615" s="1">
        <v>46134</v>
      </c>
      <c r="C2615" t="s">
        <v>259</v>
      </c>
      <c r="D2615" t="s">
        <v>59</v>
      </c>
      <c r="E2615" t="s">
        <v>199</v>
      </c>
      <c r="F2615" t="s">
        <v>14</v>
      </c>
      <c r="G2615">
        <v>950</v>
      </c>
      <c r="H2615" t="s">
        <v>15</v>
      </c>
      <c r="I2615" t="s">
        <v>36</v>
      </c>
      <c r="J2615" t="s">
        <v>170</v>
      </c>
    </row>
    <row r="2616" spans="1:10" x14ac:dyDescent="0.35">
      <c r="A2616" t="s">
        <v>2800</v>
      </c>
      <c r="B2616" s="1">
        <v>46134</v>
      </c>
      <c r="C2616" t="s">
        <v>73</v>
      </c>
      <c r="D2616" t="s">
        <v>54</v>
      </c>
      <c r="E2616" t="s">
        <v>74</v>
      </c>
      <c r="F2616" t="s">
        <v>54</v>
      </c>
      <c r="G2616">
        <v>2534.61</v>
      </c>
      <c r="H2616" t="s">
        <v>15</v>
      </c>
      <c r="I2616" t="s">
        <v>36</v>
      </c>
      <c r="J2616" t="s">
        <v>65</v>
      </c>
    </row>
    <row r="2617" spans="1:10" x14ac:dyDescent="0.35">
      <c r="A2617" t="s">
        <v>2801</v>
      </c>
      <c r="B2617" s="1">
        <v>46134</v>
      </c>
      <c r="C2617" t="s">
        <v>281</v>
      </c>
      <c r="D2617" t="s">
        <v>34</v>
      </c>
      <c r="E2617" t="s">
        <v>40</v>
      </c>
      <c r="F2617" t="s">
        <v>14</v>
      </c>
      <c r="G2617">
        <v>86.74</v>
      </c>
      <c r="H2617" t="s">
        <v>15</v>
      </c>
      <c r="I2617" t="s">
        <v>36</v>
      </c>
      <c r="J2617" t="s">
        <v>123</v>
      </c>
    </row>
    <row r="2618" spans="1:10" x14ac:dyDescent="0.35">
      <c r="A2618" t="s">
        <v>2802</v>
      </c>
      <c r="B2618" s="1">
        <v>46134</v>
      </c>
      <c r="C2618" t="s">
        <v>63</v>
      </c>
      <c r="D2618" t="s">
        <v>54</v>
      </c>
      <c r="E2618" t="s">
        <v>64</v>
      </c>
      <c r="F2618" t="s">
        <v>54</v>
      </c>
      <c r="G2618">
        <v>389.3</v>
      </c>
      <c r="H2618" t="s">
        <v>21</v>
      </c>
      <c r="I2618" t="s">
        <v>22</v>
      </c>
      <c r="J2618" t="s">
        <v>65</v>
      </c>
    </row>
    <row r="2619" spans="1:10" x14ac:dyDescent="0.35">
      <c r="A2619" t="s">
        <v>2803</v>
      </c>
      <c r="B2619" s="1">
        <v>46134</v>
      </c>
      <c r="C2619" t="s">
        <v>73</v>
      </c>
      <c r="D2619" t="s">
        <v>54</v>
      </c>
      <c r="E2619" t="s">
        <v>74</v>
      </c>
      <c r="F2619" t="s">
        <v>54</v>
      </c>
      <c r="G2619">
        <v>2983.81</v>
      </c>
      <c r="H2619" t="s">
        <v>15</v>
      </c>
      <c r="I2619" t="s">
        <v>16</v>
      </c>
      <c r="J2619" t="s">
        <v>65</v>
      </c>
    </row>
    <row r="2620" spans="1:10" x14ac:dyDescent="0.35">
      <c r="A2620" t="s">
        <v>2804</v>
      </c>
      <c r="B2620" s="1">
        <v>46135</v>
      </c>
      <c r="C2620" t="s">
        <v>91</v>
      </c>
      <c r="D2620" t="s">
        <v>80</v>
      </c>
      <c r="E2620" t="s">
        <v>92</v>
      </c>
      <c r="F2620" t="s">
        <v>14</v>
      </c>
      <c r="G2620">
        <v>62.1</v>
      </c>
      <c r="H2620" t="s">
        <v>15</v>
      </c>
      <c r="I2620" t="s">
        <v>36</v>
      </c>
      <c r="J2620" t="s">
        <v>82</v>
      </c>
    </row>
    <row r="2621" spans="1:10" x14ac:dyDescent="0.35">
      <c r="A2621" t="s">
        <v>2805</v>
      </c>
      <c r="B2621" s="1">
        <v>46135</v>
      </c>
      <c r="C2621" t="s">
        <v>229</v>
      </c>
      <c r="D2621" t="s">
        <v>54</v>
      </c>
      <c r="E2621" t="s">
        <v>64</v>
      </c>
      <c r="F2621" t="s">
        <v>54</v>
      </c>
      <c r="G2621">
        <v>336.4</v>
      </c>
      <c r="H2621" t="s">
        <v>21</v>
      </c>
      <c r="I2621" t="s">
        <v>47</v>
      </c>
      <c r="J2621" t="s">
        <v>56</v>
      </c>
    </row>
    <row r="2622" spans="1:10" x14ac:dyDescent="0.35">
      <c r="A2622" t="s">
        <v>2806</v>
      </c>
      <c r="B2622" s="1">
        <v>46135</v>
      </c>
      <c r="C2622" t="s">
        <v>28</v>
      </c>
      <c r="D2622" t="s">
        <v>29</v>
      </c>
      <c r="E2622" t="s">
        <v>30</v>
      </c>
      <c r="F2622" t="s">
        <v>14</v>
      </c>
      <c r="G2622">
        <v>32.03</v>
      </c>
      <c r="H2622" t="s">
        <v>98</v>
      </c>
      <c r="I2622" t="s">
        <v>22</v>
      </c>
      <c r="J2622" t="s">
        <v>31</v>
      </c>
    </row>
    <row r="2623" spans="1:10" x14ac:dyDescent="0.35">
      <c r="A2623" t="s">
        <v>2807</v>
      </c>
      <c r="B2623" s="1">
        <v>46135</v>
      </c>
      <c r="C2623" t="s">
        <v>130</v>
      </c>
      <c r="D2623" t="s">
        <v>12</v>
      </c>
      <c r="E2623" t="s">
        <v>26</v>
      </c>
      <c r="F2623" t="s">
        <v>14</v>
      </c>
      <c r="G2623">
        <v>62.08</v>
      </c>
      <c r="H2623" t="s">
        <v>15</v>
      </c>
      <c r="I2623" t="s">
        <v>47</v>
      </c>
      <c r="J2623" t="s">
        <v>48</v>
      </c>
    </row>
    <row r="2624" spans="1:10" x14ac:dyDescent="0.35">
      <c r="A2624" t="s">
        <v>2808</v>
      </c>
      <c r="B2624" s="1">
        <v>46135</v>
      </c>
      <c r="C2624" t="s">
        <v>259</v>
      </c>
      <c r="D2624" t="s">
        <v>59</v>
      </c>
      <c r="E2624" t="s">
        <v>199</v>
      </c>
      <c r="F2624" t="s">
        <v>14</v>
      </c>
      <c r="G2624">
        <v>226.88</v>
      </c>
      <c r="H2624" t="s">
        <v>15</v>
      </c>
      <c r="I2624" t="s">
        <v>22</v>
      </c>
      <c r="J2624" t="s">
        <v>170</v>
      </c>
    </row>
    <row r="2625" spans="1:10" x14ac:dyDescent="0.35">
      <c r="A2625" t="s">
        <v>2809</v>
      </c>
      <c r="B2625" s="1">
        <v>46135</v>
      </c>
      <c r="C2625" t="s">
        <v>63</v>
      </c>
      <c r="D2625" t="s">
        <v>54</v>
      </c>
      <c r="E2625" t="s">
        <v>64</v>
      </c>
      <c r="F2625" t="s">
        <v>54</v>
      </c>
      <c r="G2625">
        <v>334.54</v>
      </c>
      <c r="H2625" t="s">
        <v>15</v>
      </c>
      <c r="I2625" t="s">
        <v>22</v>
      </c>
      <c r="J2625" t="s">
        <v>65</v>
      </c>
    </row>
    <row r="2626" spans="1:10" x14ac:dyDescent="0.35">
      <c r="A2626" t="s">
        <v>2810</v>
      </c>
      <c r="B2626" s="1">
        <v>46135</v>
      </c>
      <c r="C2626" t="s">
        <v>88</v>
      </c>
      <c r="D2626" t="s">
        <v>54</v>
      </c>
      <c r="E2626" t="s">
        <v>74</v>
      </c>
      <c r="F2626" t="s">
        <v>54</v>
      </c>
      <c r="G2626">
        <v>2384.36</v>
      </c>
      <c r="H2626" t="s">
        <v>15</v>
      </c>
      <c r="I2626" t="s">
        <v>84</v>
      </c>
      <c r="J2626" t="s">
        <v>89</v>
      </c>
    </row>
    <row r="2627" spans="1:10" x14ac:dyDescent="0.35">
      <c r="A2627" t="s">
        <v>2811</v>
      </c>
      <c r="B2627" s="1">
        <v>46135</v>
      </c>
      <c r="C2627" t="s">
        <v>153</v>
      </c>
      <c r="D2627" t="s">
        <v>34</v>
      </c>
      <c r="E2627" t="s">
        <v>122</v>
      </c>
      <c r="F2627" t="s">
        <v>14</v>
      </c>
      <c r="G2627">
        <v>142.4</v>
      </c>
      <c r="H2627" t="s">
        <v>15</v>
      </c>
      <c r="I2627" t="s">
        <v>47</v>
      </c>
      <c r="J2627" t="s">
        <v>41</v>
      </c>
    </row>
    <row r="2628" spans="1:10" x14ac:dyDescent="0.35">
      <c r="A2628" t="s">
        <v>2812</v>
      </c>
      <c r="B2628" s="1">
        <v>46135</v>
      </c>
      <c r="C2628" t="s">
        <v>130</v>
      </c>
      <c r="D2628" t="s">
        <v>12</v>
      </c>
      <c r="E2628" t="s">
        <v>26</v>
      </c>
      <c r="F2628" t="s">
        <v>14</v>
      </c>
      <c r="G2628">
        <v>180</v>
      </c>
      <c r="H2628" t="s">
        <v>15</v>
      </c>
      <c r="I2628" t="s">
        <v>22</v>
      </c>
      <c r="J2628" t="s">
        <v>48</v>
      </c>
    </row>
    <row r="2629" spans="1:10" x14ac:dyDescent="0.35">
      <c r="A2629" t="s">
        <v>2813</v>
      </c>
      <c r="B2629" s="1">
        <v>46136</v>
      </c>
      <c r="C2629" t="s">
        <v>73</v>
      </c>
      <c r="D2629" t="s">
        <v>54</v>
      </c>
      <c r="E2629" t="s">
        <v>74</v>
      </c>
      <c r="F2629" t="s">
        <v>54</v>
      </c>
      <c r="G2629">
        <v>2912</v>
      </c>
      <c r="H2629" t="s">
        <v>21</v>
      </c>
      <c r="I2629" t="s">
        <v>22</v>
      </c>
      <c r="J2629" t="s">
        <v>65</v>
      </c>
    </row>
    <row r="2630" spans="1:10" x14ac:dyDescent="0.35">
      <c r="A2630" t="s">
        <v>2814</v>
      </c>
      <c r="B2630" s="1">
        <v>46136</v>
      </c>
      <c r="C2630" t="s">
        <v>132</v>
      </c>
      <c r="D2630" t="s">
        <v>69</v>
      </c>
      <c r="E2630" t="s">
        <v>70</v>
      </c>
      <c r="F2630" t="s">
        <v>14</v>
      </c>
      <c r="G2630">
        <v>303.60000000000002</v>
      </c>
      <c r="H2630" t="s">
        <v>15</v>
      </c>
      <c r="I2630" t="s">
        <v>22</v>
      </c>
      <c r="J2630" t="s">
        <v>133</v>
      </c>
    </row>
    <row r="2631" spans="1:10" x14ac:dyDescent="0.35">
      <c r="A2631" t="s">
        <v>2815</v>
      </c>
      <c r="B2631" s="1">
        <v>46136</v>
      </c>
      <c r="C2631" t="s">
        <v>11</v>
      </c>
      <c r="D2631" t="s">
        <v>12</v>
      </c>
      <c r="E2631" t="s">
        <v>13</v>
      </c>
      <c r="F2631" t="s">
        <v>14</v>
      </c>
      <c r="G2631">
        <v>43.68</v>
      </c>
      <c r="H2631" t="s">
        <v>15</v>
      </c>
      <c r="I2631" t="s">
        <v>47</v>
      </c>
      <c r="J2631" t="s">
        <v>17</v>
      </c>
    </row>
    <row r="2632" spans="1:10" x14ac:dyDescent="0.35">
      <c r="A2632" t="s">
        <v>2816</v>
      </c>
      <c r="B2632" s="1">
        <v>46136</v>
      </c>
      <c r="C2632" t="s">
        <v>324</v>
      </c>
      <c r="D2632" t="s">
        <v>80</v>
      </c>
      <c r="E2632" t="s">
        <v>92</v>
      </c>
      <c r="F2632" t="s">
        <v>14</v>
      </c>
      <c r="G2632">
        <v>29.49</v>
      </c>
      <c r="H2632" t="s">
        <v>21</v>
      </c>
      <c r="I2632" t="s">
        <v>16</v>
      </c>
      <c r="J2632" t="s">
        <v>161</v>
      </c>
    </row>
    <row r="2633" spans="1:10" x14ac:dyDescent="0.35">
      <c r="A2633" t="s">
        <v>2817</v>
      </c>
      <c r="B2633" s="1">
        <v>46136</v>
      </c>
      <c r="C2633" t="s">
        <v>109</v>
      </c>
      <c r="D2633" t="s">
        <v>34</v>
      </c>
      <c r="E2633" t="s">
        <v>35</v>
      </c>
      <c r="F2633" t="s">
        <v>14</v>
      </c>
      <c r="G2633">
        <v>193.51</v>
      </c>
      <c r="H2633" t="s">
        <v>15</v>
      </c>
      <c r="I2633" t="s">
        <v>22</v>
      </c>
      <c r="J2633" t="s">
        <v>41</v>
      </c>
    </row>
    <row r="2634" spans="1:10" x14ac:dyDescent="0.35">
      <c r="A2634" t="s">
        <v>2818</v>
      </c>
      <c r="B2634" s="1">
        <v>46136</v>
      </c>
      <c r="C2634" t="s">
        <v>163</v>
      </c>
      <c r="D2634" t="s">
        <v>80</v>
      </c>
      <c r="E2634" t="s">
        <v>92</v>
      </c>
      <c r="F2634" t="s">
        <v>14</v>
      </c>
      <c r="G2634">
        <v>80.05</v>
      </c>
      <c r="H2634" t="s">
        <v>98</v>
      </c>
      <c r="I2634" t="s">
        <v>36</v>
      </c>
      <c r="J2634" t="s">
        <v>118</v>
      </c>
    </row>
    <row r="2635" spans="1:10" x14ac:dyDescent="0.35">
      <c r="A2635" t="s">
        <v>2819</v>
      </c>
      <c r="B2635" s="1">
        <v>46136</v>
      </c>
      <c r="C2635" t="s">
        <v>25</v>
      </c>
      <c r="D2635" t="s">
        <v>12</v>
      </c>
      <c r="E2635" t="s">
        <v>26</v>
      </c>
      <c r="F2635" t="s">
        <v>14</v>
      </c>
      <c r="G2635">
        <v>110.32</v>
      </c>
      <c r="H2635" t="s">
        <v>21</v>
      </c>
      <c r="I2635" t="s">
        <v>36</v>
      </c>
      <c r="J2635" t="s">
        <v>17</v>
      </c>
    </row>
    <row r="2636" spans="1:10" x14ac:dyDescent="0.35">
      <c r="A2636" t="s">
        <v>2820</v>
      </c>
      <c r="B2636" s="1">
        <v>46136</v>
      </c>
      <c r="C2636" t="s">
        <v>179</v>
      </c>
      <c r="D2636" t="s">
        <v>80</v>
      </c>
      <c r="E2636" t="s">
        <v>117</v>
      </c>
      <c r="F2636" t="s">
        <v>14</v>
      </c>
      <c r="G2636">
        <v>18.920000000000002</v>
      </c>
      <c r="H2636" t="s">
        <v>21</v>
      </c>
      <c r="I2636" t="s">
        <v>36</v>
      </c>
      <c r="J2636" t="s">
        <v>180</v>
      </c>
    </row>
    <row r="2637" spans="1:10" x14ac:dyDescent="0.35">
      <c r="A2637" t="s">
        <v>2821</v>
      </c>
      <c r="B2637" s="1">
        <v>46137</v>
      </c>
      <c r="C2637" t="s">
        <v>253</v>
      </c>
      <c r="D2637" t="s">
        <v>29</v>
      </c>
      <c r="E2637" t="s">
        <v>30</v>
      </c>
      <c r="F2637" t="s">
        <v>14</v>
      </c>
      <c r="G2637">
        <v>47.99</v>
      </c>
      <c r="H2637" t="s">
        <v>15</v>
      </c>
      <c r="I2637" t="s">
        <v>47</v>
      </c>
      <c r="J2637" t="s">
        <v>158</v>
      </c>
    </row>
    <row r="2638" spans="1:10" x14ac:dyDescent="0.35">
      <c r="A2638" t="s">
        <v>2822</v>
      </c>
      <c r="B2638" s="1">
        <v>46137</v>
      </c>
      <c r="C2638" t="s">
        <v>163</v>
      </c>
      <c r="D2638" t="s">
        <v>80</v>
      </c>
      <c r="E2638" t="s">
        <v>92</v>
      </c>
      <c r="F2638" t="s">
        <v>14</v>
      </c>
      <c r="G2638">
        <v>206.68</v>
      </c>
      <c r="H2638" t="s">
        <v>15</v>
      </c>
      <c r="I2638" t="s">
        <v>22</v>
      </c>
      <c r="J2638" t="s">
        <v>118</v>
      </c>
    </row>
    <row r="2639" spans="1:10" x14ac:dyDescent="0.35">
      <c r="A2639" t="s">
        <v>2823</v>
      </c>
      <c r="B2639" s="1">
        <v>46137</v>
      </c>
      <c r="C2639" t="s">
        <v>345</v>
      </c>
      <c r="D2639" t="s">
        <v>59</v>
      </c>
      <c r="E2639" t="s">
        <v>60</v>
      </c>
      <c r="F2639" t="s">
        <v>14</v>
      </c>
      <c r="G2639">
        <v>209.73</v>
      </c>
      <c r="H2639" t="s">
        <v>15</v>
      </c>
      <c r="I2639" t="s">
        <v>47</v>
      </c>
      <c r="J2639" t="s">
        <v>211</v>
      </c>
    </row>
    <row r="2640" spans="1:10" x14ac:dyDescent="0.35">
      <c r="A2640" t="s">
        <v>2824</v>
      </c>
      <c r="B2640" s="1">
        <v>46137</v>
      </c>
      <c r="C2640" t="s">
        <v>39</v>
      </c>
      <c r="D2640" t="s">
        <v>34</v>
      </c>
      <c r="E2640" t="s">
        <v>40</v>
      </c>
      <c r="F2640" t="s">
        <v>14</v>
      </c>
      <c r="G2640">
        <v>232.8</v>
      </c>
      <c r="H2640" t="s">
        <v>15</v>
      </c>
      <c r="I2640" t="s">
        <v>22</v>
      </c>
      <c r="J2640" t="s">
        <v>41</v>
      </c>
    </row>
    <row r="2641" spans="1:10" x14ac:dyDescent="0.35">
      <c r="A2641" t="s">
        <v>2825</v>
      </c>
      <c r="B2641" s="1">
        <v>46138</v>
      </c>
      <c r="C2641" t="s">
        <v>132</v>
      </c>
      <c r="D2641" t="s">
        <v>69</v>
      </c>
      <c r="E2641" t="s">
        <v>70</v>
      </c>
      <c r="F2641" t="s">
        <v>14</v>
      </c>
      <c r="G2641">
        <v>255.38</v>
      </c>
      <c r="H2641" t="s">
        <v>15</v>
      </c>
      <c r="I2641" t="s">
        <v>22</v>
      </c>
      <c r="J2641" t="s">
        <v>133</v>
      </c>
    </row>
    <row r="2642" spans="1:10" x14ac:dyDescent="0.35">
      <c r="A2642" t="s">
        <v>2826</v>
      </c>
      <c r="B2642" s="1">
        <v>46138</v>
      </c>
      <c r="C2642" t="s">
        <v>157</v>
      </c>
      <c r="D2642" t="s">
        <v>29</v>
      </c>
      <c r="E2642" t="s">
        <v>95</v>
      </c>
      <c r="F2642" t="s">
        <v>14</v>
      </c>
      <c r="G2642">
        <v>13.64</v>
      </c>
      <c r="H2642" t="s">
        <v>15</v>
      </c>
      <c r="I2642" t="s">
        <v>47</v>
      </c>
      <c r="J2642" t="s">
        <v>158</v>
      </c>
    </row>
    <row r="2643" spans="1:10" x14ac:dyDescent="0.35">
      <c r="A2643" t="s">
        <v>2827</v>
      </c>
      <c r="B2643" s="1">
        <v>46138</v>
      </c>
      <c r="C2643" t="s">
        <v>269</v>
      </c>
      <c r="D2643" t="s">
        <v>34</v>
      </c>
      <c r="E2643" t="s">
        <v>35</v>
      </c>
      <c r="F2643" t="s">
        <v>14</v>
      </c>
      <c r="G2643">
        <v>249.74</v>
      </c>
      <c r="H2643" t="s">
        <v>21</v>
      </c>
      <c r="I2643" t="s">
        <v>47</v>
      </c>
      <c r="J2643" t="s">
        <v>123</v>
      </c>
    </row>
    <row r="2644" spans="1:10" x14ac:dyDescent="0.35">
      <c r="A2644" t="s">
        <v>2828</v>
      </c>
      <c r="B2644" s="1">
        <v>46138</v>
      </c>
      <c r="C2644" t="s">
        <v>198</v>
      </c>
      <c r="D2644" t="s">
        <v>59</v>
      </c>
      <c r="E2644" t="s">
        <v>199</v>
      </c>
      <c r="F2644" t="s">
        <v>14</v>
      </c>
      <c r="G2644">
        <v>141.53</v>
      </c>
      <c r="H2644" t="s">
        <v>15</v>
      </c>
      <c r="I2644" t="s">
        <v>22</v>
      </c>
      <c r="J2644" t="s">
        <v>61</v>
      </c>
    </row>
    <row r="2645" spans="1:10" x14ac:dyDescent="0.35">
      <c r="A2645" t="s">
        <v>2829</v>
      </c>
      <c r="B2645" s="1">
        <v>46138</v>
      </c>
      <c r="C2645" t="s">
        <v>168</v>
      </c>
      <c r="D2645" t="s">
        <v>59</v>
      </c>
      <c r="E2645" t="s">
        <v>60</v>
      </c>
      <c r="F2645" t="s">
        <v>14</v>
      </c>
      <c r="G2645">
        <v>271.39999999999998</v>
      </c>
      <c r="H2645" t="s">
        <v>15</v>
      </c>
      <c r="I2645" t="s">
        <v>22</v>
      </c>
      <c r="J2645" t="s">
        <v>170</v>
      </c>
    </row>
    <row r="2646" spans="1:10" x14ac:dyDescent="0.35">
      <c r="A2646" t="s">
        <v>2830</v>
      </c>
      <c r="B2646" s="1">
        <v>46138</v>
      </c>
      <c r="C2646" t="s">
        <v>25</v>
      </c>
      <c r="D2646" t="s">
        <v>12</v>
      </c>
      <c r="E2646" t="s">
        <v>26</v>
      </c>
      <c r="F2646" t="s">
        <v>14</v>
      </c>
      <c r="G2646">
        <v>29.55</v>
      </c>
      <c r="H2646" t="s">
        <v>15</v>
      </c>
      <c r="I2646" t="s">
        <v>16</v>
      </c>
      <c r="J2646" t="s">
        <v>17</v>
      </c>
    </row>
    <row r="2647" spans="1:10" x14ac:dyDescent="0.35">
      <c r="A2647" t="s">
        <v>2831</v>
      </c>
      <c r="B2647" s="1">
        <v>46139</v>
      </c>
      <c r="C2647" t="s">
        <v>210</v>
      </c>
      <c r="D2647" t="s">
        <v>59</v>
      </c>
      <c r="E2647" t="s">
        <v>185</v>
      </c>
      <c r="F2647" t="s">
        <v>14</v>
      </c>
      <c r="G2647">
        <v>76.900000000000006</v>
      </c>
      <c r="H2647" t="s">
        <v>15</v>
      </c>
      <c r="I2647" t="s">
        <v>16</v>
      </c>
      <c r="J2647" t="s">
        <v>211</v>
      </c>
    </row>
    <row r="2648" spans="1:10" x14ac:dyDescent="0.35">
      <c r="A2648" t="s">
        <v>2832</v>
      </c>
      <c r="B2648" s="1">
        <v>46139</v>
      </c>
      <c r="C2648" t="s">
        <v>140</v>
      </c>
      <c r="D2648" t="s">
        <v>80</v>
      </c>
      <c r="E2648" t="s">
        <v>81</v>
      </c>
      <c r="F2648" t="s">
        <v>14</v>
      </c>
      <c r="G2648">
        <v>72.61</v>
      </c>
      <c r="H2648" t="s">
        <v>21</v>
      </c>
      <c r="I2648" t="s">
        <v>22</v>
      </c>
      <c r="J2648" t="s">
        <v>141</v>
      </c>
    </row>
    <row r="2649" spans="1:10" x14ac:dyDescent="0.35">
      <c r="A2649" t="s">
        <v>2833</v>
      </c>
      <c r="B2649" s="1">
        <v>46139</v>
      </c>
      <c r="C2649" t="s">
        <v>281</v>
      </c>
      <c r="D2649" t="s">
        <v>34</v>
      </c>
      <c r="E2649" t="s">
        <v>40</v>
      </c>
      <c r="F2649" t="s">
        <v>14</v>
      </c>
      <c r="G2649">
        <v>69.77</v>
      </c>
      <c r="H2649" t="s">
        <v>15</v>
      </c>
      <c r="I2649" t="s">
        <v>47</v>
      </c>
      <c r="J2649" t="s">
        <v>123</v>
      </c>
    </row>
    <row r="2650" spans="1:10" x14ac:dyDescent="0.35">
      <c r="A2650" t="s">
        <v>2834</v>
      </c>
      <c r="B2650" s="1">
        <v>46139</v>
      </c>
      <c r="C2650" t="s">
        <v>121</v>
      </c>
      <c r="D2650" t="s">
        <v>34</v>
      </c>
      <c r="E2650" t="s">
        <v>122</v>
      </c>
      <c r="F2650" t="s">
        <v>14</v>
      </c>
      <c r="G2650">
        <v>177.46</v>
      </c>
      <c r="H2650" t="s">
        <v>15</v>
      </c>
      <c r="I2650" t="s">
        <v>22</v>
      </c>
      <c r="J2650" t="s">
        <v>123</v>
      </c>
    </row>
    <row r="2651" spans="1:10" x14ac:dyDescent="0.35">
      <c r="A2651" t="s">
        <v>2835</v>
      </c>
      <c r="B2651" s="1">
        <v>46139</v>
      </c>
      <c r="C2651" t="s">
        <v>238</v>
      </c>
      <c r="D2651" t="s">
        <v>34</v>
      </c>
      <c r="E2651" t="s">
        <v>35</v>
      </c>
      <c r="F2651" t="s">
        <v>14</v>
      </c>
      <c r="G2651">
        <v>78.75</v>
      </c>
      <c r="H2651" t="s">
        <v>21</v>
      </c>
      <c r="I2651" t="s">
        <v>16</v>
      </c>
      <c r="J2651" t="s">
        <v>239</v>
      </c>
    </row>
    <row r="2652" spans="1:10" x14ac:dyDescent="0.35">
      <c r="A2652" t="s">
        <v>2836</v>
      </c>
      <c r="B2652" s="1">
        <v>46139</v>
      </c>
      <c r="C2652" t="s">
        <v>229</v>
      </c>
      <c r="D2652" t="s">
        <v>54</v>
      </c>
      <c r="E2652" t="s">
        <v>64</v>
      </c>
      <c r="F2652" t="s">
        <v>54</v>
      </c>
      <c r="G2652">
        <v>390.05</v>
      </c>
      <c r="H2652" t="s">
        <v>15</v>
      </c>
      <c r="I2652" t="s">
        <v>36</v>
      </c>
      <c r="J2652" t="s">
        <v>56</v>
      </c>
    </row>
    <row r="2653" spans="1:10" x14ac:dyDescent="0.35">
      <c r="A2653" t="s">
        <v>2837</v>
      </c>
      <c r="B2653" s="1">
        <v>46139</v>
      </c>
      <c r="C2653" t="s">
        <v>33</v>
      </c>
      <c r="D2653" t="s">
        <v>34</v>
      </c>
      <c r="E2653" t="s">
        <v>35</v>
      </c>
      <c r="F2653" t="s">
        <v>14</v>
      </c>
      <c r="G2653">
        <v>135.21</v>
      </c>
      <c r="H2653" t="s">
        <v>15</v>
      </c>
      <c r="I2653" t="s">
        <v>22</v>
      </c>
      <c r="J2653" t="s">
        <v>37</v>
      </c>
    </row>
    <row r="2654" spans="1:10" x14ac:dyDescent="0.35">
      <c r="A2654" t="s">
        <v>2838</v>
      </c>
      <c r="B2654" s="1">
        <v>46139</v>
      </c>
      <c r="C2654" t="s">
        <v>113</v>
      </c>
      <c r="D2654" t="s">
        <v>34</v>
      </c>
      <c r="E2654" t="s">
        <v>40</v>
      </c>
      <c r="F2654" t="s">
        <v>14</v>
      </c>
      <c r="G2654">
        <v>257.86</v>
      </c>
      <c r="H2654" t="s">
        <v>15</v>
      </c>
      <c r="I2654" t="s">
        <v>47</v>
      </c>
      <c r="J2654" t="s">
        <v>37</v>
      </c>
    </row>
    <row r="2655" spans="1:10" x14ac:dyDescent="0.35">
      <c r="A2655" t="s">
        <v>2839</v>
      </c>
      <c r="B2655" s="1">
        <v>46140</v>
      </c>
      <c r="C2655" t="s">
        <v>262</v>
      </c>
      <c r="D2655" t="s">
        <v>101</v>
      </c>
      <c r="E2655" t="s">
        <v>244</v>
      </c>
      <c r="F2655" t="s">
        <v>14</v>
      </c>
      <c r="G2655">
        <v>52.59</v>
      </c>
      <c r="H2655" t="s">
        <v>98</v>
      </c>
      <c r="I2655" t="s">
        <v>22</v>
      </c>
      <c r="J2655" t="s">
        <v>136</v>
      </c>
    </row>
    <row r="2656" spans="1:10" x14ac:dyDescent="0.35">
      <c r="A2656" t="s">
        <v>2840</v>
      </c>
      <c r="B2656" s="1">
        <v>46140</v>
      </c>
      <c r="C2656" t="s">
        <v>63</v>
      </c>
      <c r="D2656" t="s">
        <v>54</v>
      </c>
      <c r="E2656" t="s">
        <v>64</v>
      </c>
      <c r="F2656" t="s">
        <v>54</v>
      </c>
      <c r="G2656">
        <v>417.07</v>
      </c>
      <c r="H2656" t="s">
        <v>15</v>
      </c>
      <c r="I2656" t="s">
        <v>36</v>
      </c>
      <c r="J2656" t="s">
        <v>65</v>
      </c>
    </row>
    <row r="2657" spans="1:10" x14ac:dyDescent="0.35">
      <c r="A2657" t="s">
        <v>2841</v>
      </c>
      <c r="B2657" s="1">
        <v>46140</v>
      </c>
      <c r="C2657" t="s">
        <v>227</v>
      </c>
      <c r="D2657" t="s">
        <v>12</v>
      </c>
      <c r="E2657" t="s">
        <v>51</v>
      </c>
      <c r="F2657" t="s">
        <v>14</v>
      </c>
      <c r="G2657">
        <v>67.28</v>
      </c>
      <c r="H2657" t="s">
        <v>21</v>
      </c>
      <c r="I2657" t="s">
        <v>47</v>
      </c>
      <c r="J2657" t="s">
        <v>17</v>
      </c>
    </row>
    <row r="2658" spans="1:10" x14ac:dyDescent="0.35">
      <c r="A2658" t="s">
        <v>2842</v>
      </c>
      <c r="B2658" s="1">
        <v>46140</v>
      </c>
      <c r="C2658" t="s">
        <v>172</v>
      </c>
      <c r="D2658" t="s">
        <v>101</v>
      </c>
      <c r="E2658" t="s">
        <v>102</v>
      </c>
      <c r="F2658" t="s">
        <v>14</v>
      </c>
      <c r="G2658">
        <v>40.93</v>
      </c>
      <c r="H2658" t="s">
        <v>15</v>
      </c>
      <c r="I2658" t="s">
        <v>36</v>
      </c>
      <c r="J2658" t="s">
        <v>102</v>
      </c>
    </row>
    <row r="2659" spans="1:10" x14ac:dyDescent="0.35">
      <c r="A2659" t="s">
        <v>2843</v>
      </c>
      <c r="B2659" s="1">
        <v>46140</v>
      </c>
      <c r="C2659" t="s">
        <v>63</v>
      </c>
      <c r="D2659" t="s">
        <v>54</v>
      </c>
      <c r="E2659" t="s">
        <v>64</v>
      </c>
      <c r="F2659" t="s">
        <v>54</v>
      </c>
      <c r="G2659">
        <v>365.78</v>
      </c>
      <c r="H2659" t="s">
        <v>15</v>
      </c>
      <c r="I2659" t="s">
        <v>22</v>
      </c>
      <c r="J2659" t="s">
        <v>65</v>
      </c>
    </row>
    <row r="2660" spans="1:10" x14ac:dyDescent="0.35">
      <c r="A2660" t="s">
        <v>2844</v>
      </c>
      <c r="B2660" s="1">
        <v>46140</v>
      </c>
      <c r="C2660" t="s">
        <v>138</v>
      </c>
      <c r="D2660" t="s">
        <v>12</v>
      </c>
      <c r="E2660" t="s">
        <v>26</v>
      </c>
      <c r="F2660" t="s">
        <v>14</v>
      </c>
      <c r="G2660">
        <v>60.98</v>
      </c>
      <c r="H2660" t="s">
        <v>21</v>
      </c>
      <c r="I2660" t="s">
        <v>36</v>
      </c>
      <c r="J2660" t="s">
        <v>77</v>
      </c>
    </row>
    <row r="2661" spans="1:10" x14ac:dyDescent="0.35">
      <c r="A2661" t="s">
        <v>2845</v>
      </c>
      <c r="B2661" s="1">
        <v>46140</v>
      </c>
      <c r="C2661" t="s">
        <v>153</v>
      </c>
      <c r="D2661" t="s">
        <v>34</v>
      </c>
      <c r="E2661" t="s">
        <v>122</v>
      </c>
      <c r="F2661" t="s">
        <v>14</v>
      </c>
      <c r="G2661">
        <v>87.73</v>
      </c>
      <c r="H2661" t="s">
        <v>21</v>
      </c>
      <c r="I2661" t="s">
        <v>36</v>
      </c>
      <c r="J2661" t="s">
        <v>41</v>
      </c>
    </row>
    <row r="2662" spans="1:10" x14ac:dyDescent="0.35">
      <c r="A2662" t="s">
        <v>2846</v>
      </c>
      <c r="B2662" s="1">
        <v>46140</v>
      </c>
      <c r="C2662" t="s">
        <v>324</v>
      </c>
      <c r="D2662" t="s">
        <v>80</v>
      </c>
      <c r="E2662" t="s">
        <v>92</v>
      </c>
      <c r="F2662" t="s">
        <v>14</v>
      </c>
      <c r="G2662">
        <v>54.72</v>
      </c>
      <c r="H2662" t="s">
        <v>21</v>
      </c>
      <c r="I2662" t="s">
        <v>36</v>
      </c>
      <c r="J2662" t="s">
        <v>161</v>
      </c>
    </row>
    <row r="2663" spans="1:10" x14ac:dyDescent="0.35">
      <c r="A2663" t="s">
        <v>2847</v>
      </c>
      <c r="B2663" s="1">
        <v>46141</v>
      </c>
      <c r="C2663" t="s">
        <v>153</v>
      </c>
      <c r="D2663" t="s">
        <v>34</v>
      </c>
      <c r="E2663" t="s">
        <v>122</v>
      </c>
      <c r="F2663" t="s">
        <v>14</v>
      </c>
      <c r="G2663">
        <v>143.82</v>
      </c>
      <c r="H2663" t="s">
        <v>15</v>
      </c>
      <c r="I2663" t="s">
        <v>47</v>
      </c>
      <c r="J2663" t="s">
        <v>41</v>
      </c>
    </row>
    <row r="2664" spans="1:10" x14ac:dyDescent="0.35">
      <c r="A2664" t="s">
        <v>2848</v>
      </c>
      <c r="B2664" s="1">
        <v>46141</v>
      </c>
      <c r="C2664" t="s">
        <v>259</v>
      </c>
      <c r="D2664" t="s">
        <v>59</v>
      </c>
      <c r="E2664" t="s">
        <v>199</v>
      </c>
      <c r="F2664" t="s">
        <v>14</v>
      </c>
      <c r="G2664">
        <v>62.95</v>
      </c>
      <c r="H2664" t="s">
        <v>98</v>
      </c>
      <c r="I2664" t="s">
        <v>16</v>
      </c>
      <c r="J2664" t="s">
        <v>170</v>
      </c>
    </row>
    <row r="2665" spans="1:10" x14ac:dyDescent="0.35">
      <c r="A2665" t="s">
        <v>2849</v>
      </c>
      <c r="B2665" s="1">
        <v>46141</v>
      </c>
      <c r="C2665" t="s">
        <v>168</v>
      </c>
      <c r="D2665" t="s">
        <v>59</v>
      </c>
      <c r="E2665" t="s">
        <v>60</v>
      </c>
      <c r="F2665" t="s">
        <v>14</v>
      </c>
      <c r="G2665">
        <v>204.16</v>
      </c>
      <c r="H2665" t="s">
        <v>15</v>
      </c>
      <c r="I2665" t="s">
        <v>16</v>
      </c>
      <c r="J2665" t="s">
        <v>170</v>
      </c>
    </row>
    <row r="2666" spans="1:10" x14ac:dyDescent="0.35">
      <c r="A2666" t="s">
        <v>2850</v>
      </c>
      <c r="B2666" s="1">
        <v>46141</v>
      </c>
      <c r="C2666" t="s">
        <v>150</v>
      </c>
      <c r="D2666" t="s">
        <v>29</v>
      </c>
      <c r="E2666" t="s">
        <v>30</v>
      </c>
      <c r="F2666" t="s">
        <v>14</v>
      </c>
      <c r="G2666">
        <v>12.4</v>
      </c>
      <c r="H2666" t="s">
        <v>21</v>
      </c>
      <c r="I2666" t="s">
        <v>16</v>
      </c>
      <c r="J2666" t="s">
        <v>151</v>
      </c>
    </row>
    <row r="2667" spans="1:10" x14ac:dyDescent="0.35">
      <c r="A2667" t="s">
        <v>2851</v>
      </c>
      <c r="B2667" s="1">
        <v>46142</v>
      </c>
      <c r="C2667" t="s">
        <v>281</v>
      </c>
      <c r="D2667" t="s">
        <v>34</v>
      </c>
      <c r="E2667" t="s">
        <v>40</v>
      </c>
      <c r="F2667" t="s">
        <v>14</v>
      </c>
      <c r="G2667">
        <v>86.11</v>
      </c>
      <c r="H2667" t="s">
        <v>21</v>
      </c>
      <c r="I2667" t="s">
        <v>22</v>
      </c>
      <c r="J2667" t="s">
        <v>123</v>
      </c>
    </row>
    <row r="2668" spans="1:10" x14ac:dyDescent="0.35">
      <c r="A2668" t="s">
        <v>2852</v>
      </c>
      <c r="B2668" s="1">
        <v>46142</v>
      </c>
      <c r="C2668" t="s">
        <v>88</v>
      </c>
      <c r="D2668" t="s">
        <v>54</v>
      </c>
      <c r="E2668" t="s">
        <v>74</v>
      </c>
      <c r="F2668" t="s">
        <v>54</v>
      </c>
      <c r="G2668">
        <v>2497.0300000000002</v>
      </c>
      <c r="H2668" t="s">
        <v>15</v>
      </c>
      <c r="I2668" t="s">
        <v>16</v>
      </c>
      <c r="J2668" t="s">
        <v>89</v>
      </c>
    </row>
    <row r="2669" spans="1:10" x14ac:dyDescent="0.35">
      <c r="A2669" t="s">
        <v>2853</v>
      </c>
      <c r="B2669" s="1">
        <v>46142</v>
      </c>
      <c r="C2669" t="s">
        <v>73</v>
      </c>
      <c r="D2669" t="s">
        <v>54</v>
      </c>
      <c r="E2669" t="s">
        <v>74</v>
      </c>
      <c r="F2669" t="s">
        <v>54</v>
      </c>
      <c r="G2669">
        <v>2045.84</v>
      </c>
      <c r="H2669" t="s">
        <v>15</v>
      </c>
      <c r="I2669" t="s">
        <v>47</v>
      </c>
      <c r="J2669" t="s">
        <v>65</v>
      </c>
    </row>
    <row r="2670" spans="1:10" x14ac:dyDescent="0.35">
      <c r="A2670" t="s">
        <v>2854</v>
      </c>
      <c r="B2670" s="1">
        <v>46142</v>
      </c>
      <c r="C2670" t="s">
        <v>135</v>
      </c>
      <c r="D2670" t="s">
        <v>101</v>
      </c>
      <c r="E2670" t="s">
        <v>102</v>
      </c>
      <c r="F2670" t="s">
        <v>14</v>
      </c>
      <c r="G2670">
        <v>249.35</v>
      </c>
      <c r="H2670" t="s">
        <v>21</v>
      </c>
      <c r="I2670" t="s">
        <v>84</v>
      </c>
      <c r="J2670" t="s">
        <v>136</v>
      </c>
    </row>
    <row r="2671" spans="1:10" x14ac:dyDescent="0.35">
      <c r="A2671" t="s">
        <v>2855</v>
      </c>
      <c r="B2671" s="1">
        <v>46142</v>
      </c>
      <c r="C2671" t="s">
        <v>109</v>
      </c>
      <c r="D2671" t="s">
        <v>34</v>
      </c>
      <c r="E2671" t="s">
        <v>35</v>
      </c>
      <c r="F2671" t="s">
        <v>14</v>
      </c>
      <c r="G2671">
        <v>43.72</v>
      </c>
      <c r="H2671" t="s">
        <v>15</v>
      </c>
      <c r="I2671" t="s">
        <v>47</v>
      </c>
      <c r="J2671" t="s">
        <v>41</v>
      </c>
    </row>
    <row r="2672" spans="1:10" x14ac:dyDescent="0.35">
      <c r="A2672" t="s">
        <v>2856</v>
      </c>
      <c r="B2672" s="1">
        <v>46142</v>
      </c>
      <c r="C2672" t="s">
        <v>227</v>
      </c>
      <c r="D2672" t="s">
        <v>12</v>
      </c>
      <c r="E2672" t="s">
        <v>51</v>
      </c>
      <c r="F2672" t="s">
        <v>14</v>
      </c>
      <c r="G2672">
        <v>85.2</v>
      </c>
      <c r="H2672" t="s">
        <v>21</v>
      </c>
      <c r="I2672" t="s">
        <v>22</v>
      </c>
      <c r="J2672" t="s">
        <v>17</v>
      </c>
    </row>
    <row r="2673" spans="1:10" x14ac:dyDescent="0.35">
      <c r="A2673" t="s">
        <v>2857</v>
      </c>
      <c r="B2673" s="1">
        <v>46142</v>
      </c>
      <c r="C2673" t="s">
        <v>177</v>
      </c>
      <c r="D2673" t="s">
        <v>54</v>
      </c>
      <c r="E2673" t="s">
        <v>74</v>
      </c>
      <c r="F2673" t="s">
        <v>54</v>
      </c>
      <c r="G2673">
        <v>2702.7</v>
      </c>
      <c r="H2673" t="s">
        <v>21</v>
      </c>
      <c r="I2673" t="s">
        <v>84</v>
      </c>
      <c r="J2673" t="s">
        <v>56</v>
      </c>
    </row>
    <row r="2674" spans="1:10" x14ac:dyDescent="0.35">
      <c r="A2674" t="s">
        <v>2858</v>
      </c>
      <c r="B2674" s="1">
        <v>46143</v>
      </c>
      <c r="C2674" t="s">
        <v>111</v>
      </c>
      <c r="D2674" t="s">
        <v>12</v>
      </c>
      <c r="E2674" t="s">
        <v>26</v>
      </c>
      <c r="F2674" t="s">
        <v>14</v>
      </c>
      <c r="G2674">
        <v>41.45</v>
      </c>
      <c r="H2674" t="s">
        <v>21</v>
      </c>
      <c r="I2674" t="s">
        <v>36</v>
      </c>
      <c r="J2674" t="s">
        <v>23</v>
      </c>
    </row>
    <row r="2675" spans="1:10" x14ac:dyDescent="0.35">
      <c r="A2675" t="s">
        <v>2859</v>
      </c>
      <c r="B2675" s="1">
        <v>46143</v>
      </c>
      <c r="C2675" t="s">
        <v>88</v>
      </c>
      <c r="D2675" t="s">
        <v>54</v>
      </c>
      <c r="E2675" t="s">
        <v>74</v>
      </c>
      <c r="F2675" t="s">
        <v>54</v>
      </c>
      <c r="G2675">
        <v>2739.08</v>
      </c>
      <c r="H2675" t="s">
        <v>15</v>
      </c>
      <c r="I2675" t="s">
        <v>36</v>
      </c>
      <c r="J2675" t="s">
        <v>89</v>
      </c>
    </row>
    <row r="2676" spans="1:10" x14ac:dyDescent="0.35">
      <c r="A2676" t="s">
        <v>2860</v>
      </c>
      <c r="B2676" s="1">
        <v>46144</v>
      </c>
      <c r="C2676" t="s">
        <v>272</v>
      </c>
      <c r="D2676" t="s">
        <v>54</v>
      </c>
      <c r="E2676" t="s">
        <v>55</v>
      </c>
      <c r="F2676" t="s">
        <v>54</v>
      </c>
      <c r="G2676">
        <v>708.12</v>
      </c>
      <c r="H2676" t="s">
        <v>15</v>
      </c>
      <c r="I2676" t="s">
        <v>22</v>
      </c>
      <c r="J2676" t="s">
        <v>65</v>
      </c>
    </row>
    <row r="2677" spans="1:10" x14ac:dyDescent="0.35">
      <c r="A2677" t="s">
        <v>2861</v>
      </c>
      <c r="B2677" s="1">
        <v>46144</v>
      </c>
      <c r="C2677" t="s">
        <v>94</v>
      </c>
      <c r="D2677" t="s">
        <v>29</v>
      </c>
      <c r="E2677" t="s">
        <v>95</v>
      </c>
      <c r="F2677" t="s">
        <v>14</v>
      </c>
      <c r="G2677">
        <v>44.26</v>
      </c>
      <c r="H2677" t="s">
        <v>21</v>
      </c>
      <c r="I2677" t="s">
        <v>22</v>
      </c>
      <c r="J2677" t="s">
        <v>96</v>
      </c>
    </row>
    <row r="2678" spans="1:10" x14ac:dyDescent="0.35">
      <c r="A2678" t="s">
        <v>2862</v>
      </c>
      <c r="B2678" s="1">
        <v>46144</v>
      </c>
      <c r="C2678" t="s">
        <v>256</v>
      </c>
      <c r="D2678" t="s">
        <v>34</v>
      </c>
      <c r="E2678" t="s">
        <v>40</v>
      </c>
      <c r="F2678" t="s">
        <v>14</v>
      </c>
      <c r="G2678">
        <v>188.32</v>
      </c>
      <c r="H2678" t="s">
        <v>21</v>
      </c>
      <c r="I2678" t="s">
        <v>22</v>
      </c>
      <c r="J2678" t="s">
        <v>239</v>
      </c>
    </row>
    <row r="2679" spans="1:10" x14ac:dyDescent="0.35">
      <c r="A2679" t="s">
        <v>2863</v>
      </c>
      <c r="B2679" s="1">
        <v>46145</v>
      </c>
      <c r="C2679" t="s">
        <v>138</v>
      </c>
      <c r="D2679" t="s">
        <v>12</v>
      </c>
      <c r="E2679" t="s">
        <v>26</v>
      </c>
      <c r="F2679" t="s">
        <v>14</v>
      </c>
      <c r="G2679">
        <v>31.74</v>
      </c>
      <c r="H2679" t="s">
        <v>15</v>
      </c>
      <c r="I2679" t="s">
        <v>84</v>
      </c>
      <c r="J2679" t="s">
        <v>77</v>
      </c>
    </row>
    <row r="2680" spans="1:10" x14ac:dyDescent="0.35">
      <c r="A2680" t="s">
        <v>2864</v>
      </c>
      <c r="B2680" s="1">
        <v>46145</v>
      </c>
      <c r="C2680" t="s">
        <v>58</v>
      </c>
      <c r="D2680" t="s">
        <v>59</v>
      </c>
      <c r="E2680" t="s">
        <v>60</v>
      </c>
      <c r="F2680" t="s">
        <v>14</v>
      </c>
      <c r="G2680">
        <v>205.92</v>
      </c>
      <c r="H2680" t="s">
        <v>21</v>
      </c>
      <c r="I2680" t="s">
        <v>22</v>
      </c>
      <c r="J2680" t="s">
        <v>61</v>
      </c>
    </row>
    <row r="2681" spans="1:10" x14ac:dyDescent="0.35">
      <c r="A2681" t="s">
        <v>2865</v>
      </c>
      <c r="B2681" s="1">
        <v>46145</v>
      </c>
      <c r="C2681" t="s">
        <v>63</v>
      </c>
      <c r="D2681" t="s">
        <v>54</v>
      </c>
      <c r="E2681" t="s">
        <v>64</v>
      </c>
      <c r="F2681" t="s">
        <v>54</v>
      </c>
      <c r="G2681">
        <v>409.88</v>
      </c>
      <c r="H2681" t="s">
        <v>21</v>
      </c>
      <c r="I2681" t="s">
        <v>22</v>
      </c>
      <c r="J2681" t="s">
        <v>65</v>
      </c>
    </row>
    <row r="2682" spans="1:10" x14ac:dyDescent="0.35">
      <c r="A2682" t="s">
        <v>2866</v>
      </c>
      <c r="B2682" s="1">
        <v>46145</v>
      </c>
      <c r="C2682" t="s">
        <v>411</v>
      </c>
      <c r="D2682" t="s">
        <v>29</v>
      </c>
      <c r="E2682" t="s">
        <v>151</v>
      </c>
      <c r="F2682" t="s">
        <v>14</v>
      </c>
      <c r="G2682">
        <v>31.03</v>
      </c>
      <c r="H2682" t="s">
        <v>15</v>
      </c>
      <c r="I2682" t="s">
        <v>22</v>
      </c>
      <c r="J2682" t="s">
        <v>151</v>
      </c>
    </row>
    <row r="2683" spans="1:10" x14ac:dyDescent="0.35">
      <c r="A2683" t="s">
        <v>2867</v>
      </c>
      <c r="B2683" s="1">
        <v>46145</v>
      </c>
      <c r="C2683" t="s">
        <v>251</v>
      </c>
      <c r="D2683" t="s">
        <v>29</v>
      </c>
      <c r="E2683" t="s">
        <v>151</v>
      </c>
      <c r="F2683" t="s">
        <v>14</v>
      </c>
      <c r="G2683">
        <v>57.73</v>
      </c>
      <c r="H2683" t="s">
        <v>21</v>
      </c>
      <c r="I2683" t="s">
        <v>47</v>
      </c>
      <c r="J2683" t="s">
        <v>31</v>
      </c>
    </row>
    <row r="2684" spans="1:10" x14ac:dyDescent="0.35">
      <c r="A2684" t="s">
        <v>2868</v>
      </c>
      <c r="B2684" s="1">
        <v>46145</v>
      </c>
      <c r="C2684" t="s">
        <v>179</v>
      </c>
      <c r="D2684" t="s">
        <v>2869</v>
      </c>
      <c r="E2684" t="s">
        <v>117</v>
      </c>
      <c r="F2684" t="s">
        <v>14</v>
      </c>
      <c r="G2684">
        <v>57.01</v>
      </c>
      <c r="H2684" t="s">
        <v>21</v>
      </c>
      <c r="I2684" t="s">
        <v>22</v>
      </c>
      <c r="J2684" t="s">
        <v>180</v>
      </c>
    </row>
    <row r="2685" spans="1:10" x14ac:dyDescent="0.35">
      <c r="A2685" t="s">
        <v>2870</v>
      </c>
      <c r="B2685" s="1">
        <v>46145</v>
      </c>
      <c r="C2685" t="s">
        <v>376</v>
      </c>
      <c r="D2685" t="s">
        <v>80</v>
      </c>
      <c r="E2685" t="s">
        <v>117</v>
      </c>
      <c r="F2685" t="s">
        <v>14</v>
      </c>
      <c r="G2685">
        <v>154.63999999999999</v>
      </c>
      <c r="H2685" t="s">
        <v>21</v>
      </c>
      <c r="I2685" t="s">
        <v>36</v>
      </c>
      <c r="J2685" t="s">
        <v>82</v>
      </c>
    </row>
    <row r="2686" spans="1:10" x14ac:dyDescent="0.35">
      <c r="A2686" t="s">
        <v>2871</v>
      </c>
      <c r="B2686" s="1">
        <v>46146</v>
      </c>
      <c r="C2686" t="s">
        <v>210</v>
      </c>
      <c r="D2686" t="s">
        <v>59</v>
      </c>
      <c r="E2686" t="s">
        <v>185</v>
      </c>
      <c r="F2686" t="s">
        <v>14</v>
      </c>
      <c r="G2686">
        <v>104.69</v>
      </c>
      <c r="H2686" t="s">
        <v>98</v>
      </c>
      <c r="I2686" t="s">
        <v>22</v>
      </c>
      <c r="J2686" t="s">
        <v>211</v>
      </c>
    </row>
    <row r="2687" spans="1:10" x14ac:dyDescent="0.35">
      <c r="A2687" t="s">
        <v>2872</v>
      </c>
      <c r="B2687" s="1">
        <v>46146</v>
      </c>
      <c r="C2687" t="s">
        <v>33</v>
      </c>
      <c r="D2687" t="s">
        <v>34</v>
      </c>
      <c r="E2687" t="s">
        <v>35</v>
      </c>
      <c r="F2687" t="s">
        <v>14</v>
      </c>
      <c r="G2687">
        <v>500</v>
      </c>
      <c r="H2687" t="s">
        <v>21</v>
      </c>
      <c r="I2687" t="s">
        <v>36</v>
      </c>
      <c r="J2687" t="s">
        <v>37</v>
      </c>
    </row>
    <row r="2688" spans="1:10" x14ac:dyDescent="0.35">
      <c r="A2688" t="s">
        <v>2873</v>
      </c>
      <c r="B2688" s="1">
        <v>46146</v>
      </c>
      <c r="C2688" t="s">
        <v>281</v>
      </c>
      <c r="D2688" t="s">
        <v>34</v>
      </c>
      <c r="E2688" t="s">
        <v>40</v>
      </c>
      <c r="F2688" t="s">
        <v>14</v>
      </c>
      <c r="G2688">
        <v>269.86</v>
      </c>
      <c r="H2688" t="s">
        <v>98</v>
      </c>
      <c r="I2688" t="s">
        <v>16</v>
      </c>
      <c r="J2688" t="s">
        <v>123</v>
      </c>
    </row>
    <row r="2689" spans="1:10" x14ac:dyDescent="0.35">
      <c r="A2689" t="s">
        <v>2874</v>
      </c>
      <c r="B2689" s="1">
        <v>46146</v>
      </c>
      <c r="C2689" t="s">
        <v>298</v>
      </c>
      <c r="D2689" t="s">
        <v>59</v>
      </c>
      <c r="E2689" t="s">
        <v>185</v>
      </c>
      <c r="F2689" t="s">
        <v>14</v>
      </c>
      <c r="G2689">
        <v>290.22000000000003</v>
      </c>
      <c r="H2689" t="s">
        <v>98</v>
      </c>
      <c r="I2689" t="s">
        <v>36</v>
      </c>
      <c r="J2689" t="s">
        <v>170</v>
      </c>
    </row>
    <row r="2690" spans="1:10" x14ac:dyDescent="0.35">
      <c r="A2690" t="s">
        <v>2875</v>
      </c>
      <c r="B2690" s="1">
        <v>46146</v>
      </c>
      <c r="C2690" t="s">
        <v>253</v>
      </c>
      <c r="D2690" t="s">
        <v>29</v>
      </c>
      <c r="E2690" t="s">
        <v>30</v>
      </c>
      <c r="F2690" t="s">
        <v>14</v>
      </c>
      <c r="G2690">
        <v>11.01</v>
      </c>
      <c r="H2690" t="s">
        <v>15</v>
      </c>
      <c r="I2690" t="s">
        <v>22</v>
      </c>
      <c r="J2690" t="s">
        <v>158</v>
      </c>
    </row>
    <row r="2691" spans="1:10" x14ac:dyDescent="0.35">
      <c r="A2691" t="s">
        <v>2876</v>
      </c>
      <c r="B2691" s="1">
        <v>46146</v>
      </c>
      <c r="C2691" t="s">
        <v>272</v>
      </c>
      <c r="D2691" t="s">
        <v>54</v>
      </c>
      <c r="E2691" t="s">
        <v>55</v>
      </c>
      <c r="F2691" t="s">
        <v>54</v>
      </c>
      <c r="G2691">
        <v>744.49</v>
      </c>
      <c r="H2691" t="s">
        <v>15</v>
      </c>
      <c r="I2691" t="s">
        <v>36</v>
      </c>
      <c r="J2691" t="s">
        <v>65</v>
      </c>
    </row>
    <row r="2692" spans="1:10" x14ac:dyDescent="0.35">
      <c r="A2692" t="s">
        <v>2877</v>
      </c>
      <c r="B2692" s="1">
        <v>46147</v>
      </c>
      <c r="C2692" t="s">
        <v>138</v>
      </c>
      <c r="D2692" t="s">
        <v>12</v>
      </c>
      <c r="E2692" t="s">
        <v>26</v>
      </c>
      <c r="F2692" t="s">
        <v>14</v>
      </c>
      <c r="G2692">
        <v>31.17</v>
      </c>
      <c r="H2692" t="s">
        <v>98</v>
      </c>
      <c r="I2692" t="s">
        <v>22</v>
      </c>
      <c r="J2692" t="s">
        <v>77</v>
      </c>
    </row>
    <row r="2693" spans="1:10" x14ac:dyDescent="0.35">
      <c r="A2693" t="s">
        <v>2878</v>
      </c>
      <c r="B2693" s="1">
        <v>46147</v>
      </c>
      <c r="C2693" t="s">
        <v>232</v>
      </c>
      <c r="D2693" t="s">
        <v>69</v>
      </c>
      <c r="E2693" t="s">
        <v>233</v>
      </c>
      <c r="F2693" t="s">
        <v>14</v>
      </c>
      <c r="G2693">
        <v>298.74</v>
      </c>
      <c r="H2693" t="s">
        <v>15</v>
      </c>
      <c r="I2693" t="s">
        <v>36</v>
      </c>
      <c r="J2693" t="s">
        <v>71</v>
      </c>
    </row>
    <row r="2694" spans="1:10" x14ac:dyDescent="0.35">
      <c r="A2694" t="s">
        <v>2879</v>
      </c>
      <c r="B2694" s="1">
        <v>46148</v>
      </c>
      <c r="C2694" t="s">
        <v>111</v>
      </c>
      <c r="D2694" t="s">
        <v>12</v>
      </c>
      <c r="E2694" t="s">
        <v>26</v>
      </c>
      <c r="F2694" t="s">
        <v>14</v>
      </c>
      <c r="G2694">
        <v>20.95</v>
      </c>
      <c r="H2694" t="s">
        <v>21</v>
      </c>
      <c r="I2694" t="s">
        <v>22</v>
      </c>
      <c r="J2694" t="s">
        <v>23</v>
      </c>
    </row>
    <row r="2695" spans="1:10" x14ac:dyDescent="0.35">
      <c r="A2695" t="s">
        <v>2880</v>
      </c>
      <c r="B2695" s="1">
        <v>46148</v>
      </c>
      <c r="C2695" t="s">
        <v>262</v>
      </c>
      <c r="D2695" t="s">
        <v>101</v>
      </c>
      <c r="E2695" t="s">
        <v>244</v>
      </c>
      <c r="F2695" t="s">
        <v>14</v>
      </c>
      <c r="G2695">
        <v>113.85</v>
      </c>
      <c r="H2695" t="s">
        <v>21</v>
      </c>
      <c r="I2695" t="s">
        <v>22</v>
      </c>
      <c r="J2695" t="s">
        <v>136</v>
      </c>
    </row>
    <row r="2696" spans="1:10" x14ac:dyDescent="0.35">
      <c r="A2696" t="s">
        <v>2881</v>
      </c>
      <c r="B2696" s="1">
        <v>46148</v>
      </c>
      <c r="C2696" t="s">
        <v>143</v>
      </c>
      <c r="D2696" t="s">
        <v>54</v>
      </c>
      <c r="E2696" t="s">
        <v>55</v>
      </c>
      <c r="F2696" t="s">
        <v>54</v>
      </c>
      <c r="G2696">
        <v>595.16</v>
      </c>
      <c r="H2696" t="s">
        <v>98</v>
      </c>
      <c r="I2696" t="s">
        <v>16</v>
      </c>
      <c r="J2696" t="s">
        <v>89</v>
      </c>
    </row>
    <row r="2697" spans="1:10" x14ac:dyDescent="0.35">
      <c r="A2697" t="s">
        <v>2882</v>
      </c>
      <c r="B2697" s="1">
        <v>46148</v>
      </c>
      <c r="C2697" t="s">
        <v>415</v>
      </c>
      <c r="D2697" t="s">
        <v>12</v>
      </c>
      <c r="E2697" t="s">
        <v>51</v>
      </c>
      <c r="F2697" t="s">
        <v>14</v>
      </c>
      <c r="G2697">
        <v>10.76</v>
      </c>
      <c r="H2697" t="s">
        <v>15</v>
      </c>
      <c r="I2697" t="s">
        <v>22</v>
      </c>
      <c r="J2697" t="s">
        <v>77</v>
      </c>
    </row>
    <row r="2698" spans="1:10" x14ac:dyDescent="0.35">
      <c r="A2698" t="s">
        <v>2883</v>
      </c>
      <c r="B2698" s="1">
        <v>46148</v>
      </c>
      <c r="C2698" t="s">
        <v>163</v>
      </c>
      <c r="D2698" t="s">
        <v>80</v>
      </c>
      <c r="E2698" t="s">
        <v>92</v>
      </c>
      <c r="F2698" t="s">
        <v>14</v>
      </c>
      <c r="G2698">
        <v>55.84</v>
      </c>
      <c r="H2698" t="s">
        <v>21</v>
      </c>
      <c r="I2698" t="s">
        <v>22</v>
      </c>
      <c r="J2698" t="s">
        <v>118</v>
      </c>
    </row>
    <row r="2699" spans="1:10" x14ac:dyDescent="0.35">
      <c r="A2699" t="s">
        <v>2884</v>
      </c>
      <c r="B2699" s="1">
        <v>46149</v>
      </c>
      <c r="C2699" t="s">
        <v>259</v>
      </c>
      <c r="D2699" t="s">
        <v>59</v>
      </c>
      <c r="E2699" t="s">
        <v>199</v>
      </c>
      <c r="F2699" t="s">
        <v>14</v>
      </c>
      <c r="G2699">
        <v>237.69</v>
      </c>
      <c r="H2699" t="s">
        <v>21</v>
      </c>
      <c r="I2699" t="s">
        <v>22</v>
      </c>
      <c r="J2699" t="s">
        <v>170</v>
      </c>
    </row>
    <row r="2700" spans="1:10" x14ac:dyDescent="0.35">
      <c r="A2700" t="s">
        <v>2885</v>
      </c>
      <c r="B2700" s="1">
        <v>46149</v>
      </c>
      <c r="C2700" t="s">
        <v>204</v>
      </c>
      <c r="D2700" t="s">
        <v>12</v>
      </c>
      <c r="E2700" t="s">
        <v>51</v>
      </c>
      <c r="F2700" t="s">
        <v>14</v>
      </c>
      <c r="G2700">
        <v>49.29</v>
      </c>
      <c r="H2700" t="s">
        <v>21</v>
      </c>
      <c r="I2700" t="s">
        <v>22</v>
      </c>
      <c r="J2700" t="s">
        <v>23</v>
      </c>
    </row>
    <row r="2701" spans="1:10" x14ac:dyDescent="0.35">
      <c r="A2701" t="s">
        <v>2886</v>
      </c>
      <c r="B2701" s="1">
        <v>46149</v>
      </c>
      <c r="C2701" t="s">
        <v>272</v>
      </c>
      <c r="D2701" t="s">
        <v>54</v>
      </c>
      <c r="E2701" t="s">
        <v>55</v>
      </c>
      <c r="F2701" t="s">
        <v>54</v>
      </c>
      <c r="G2701">
        <v>656.5</v>
      </c>
      <c r="H2701" t="s">
        <v>15</v>
      </c>
      <c r="I2701" t="s">
        <v>36</v>
      </c>
      <c r="J2701" t="s">
        <v>65</v>
      </c>
    </row>
    <row r="2702" spans="1:10" x14ac:dyDescent="0.35">
      <c r="A2702" t="s">
        <v>2887</v>
      </c>
      <c r="B2702" s="1">
        <v>46149</v>
      </c>
      <c r="C2702" t="s">
        <v>143</v>
      </c>
      <c r="D2702" t="s">
        <v>54</v>
      </c>
      <c r="E2702" t="s">
        <v>55</v>
      </c>
      <c r="F2702" t="s">
        <v>54</v>
      </c>
      <c r="G2702">
        <v>807.31</v>
      </c>
      <c r="H2702" t="s">
        <v>21</v>
      </c>
      <c r="I2702" t="s">
        <v>22</v>
      </c>
      <c r="J2702" t="s">
        <v>89</v>
      </c>
    </row>
    <row r="2703" spans="1:10" x14ac:dyDescent="0.35">
      <c r="A2703" t="s">
        <v>2888</v>
      </c>
      <c r="B2703" s="1">
        <v>46149</v>
      </c>
      <c r="C2703" t="s">
        <v>111</v>
      </c>
      <c r="D2703" t="s">
        <v>12</v>
      </c>
      <c r="E2703" t="s">
        <v>26</v>
      </c>
      <c r="F2703" t="s">
        <v>14</v>
      </c>
      <c r="G2703">
        <v>16.190000000000001</v>
      </c>
      <c r="H2703" t="s">
        <v>15</v>
      </c>
      <c r="I2703" t="s">
        <v>36</v>
      </c>
      <c r="J2703" t="s">
        <v>23</v>
      </c>
    </row>
    <row r="2704" spans="1:10" x14ac:dyDescent="0.35">
      <c r="A2704" t="s">
        <v>2889</v>
      </c>
      <c r="B2704" s="1">
        <v>46149</v>
      </c>
      <c r="C2704" t="s">
        <v>198</v>
      </c>
      <c r="D2704" t="s">
        <v>59</v>
      </c>
      <c r="E2704" t="s">
        <v>199</v>
      </c>
      <c r="F2704" t="s">
        <v>14</v>
      </c>
      <c r="G2704">
        <v>433.76</v>
      </c>
      <c r="H2704" t="s">
        <v>15</v>
      </c>
      <c r="I2704" t="s">
        <v>22</v>
      </c>
      <c r="J2704" t="s">
        <v>61</v>
      </c>
    </row>
    <row r="2705" spans="1:10" x14ac:dyDescent="0.35">
      <c r="A2705" t="s">
        <v>2890</v>
      </c>
      <c r="B2705" s="1">
        <v>46150</v>
      </c>
      <c r="C2705" t="s">
        <v>172</v>
      </c>
      <c r="D2705" t="s">
        <v>101</v>
      </c>
      <c r="E2705" t="s">
        <v>102</v>
      </c>
      <c r="F2705" t="s">
        <v>14</v>
      </c>
      <c r="G2705">
        <v>66.900000000000006</v>
      </c>
      <c r="H2705" t="s">
        <v>98</v>
      </c>
      <c r="I2705" t="s">
        <v>22</v>
      </c>
      <c r="J2705" t="s">
        <v>102</v>
      </c>
    </row>
    <row r="2706" spans="1:10" x14ac:dyDescent="0.35">
      <c r="A2706" t="s">
        <v>2891</v>
      </c>
      <c r="B2706" s="1">
        <v>46150</v>
      </c>
      <c r="C2706" t="s">
        <v>411</v>
      </c>
      <c r="D2706" t="s">
        <v>29</v>
      </c>
      <c r="E2706" t="s">
        <v>151</v>
      </c>
      <c r="F2706" t="s">
        <v>14</v>
      </c>
      <c r="G2706">
        <v>54.69</v>
      </c>
      <c r="H2706" t="s">
        <v>21</v>
      </c>
      <c r="I2706" t="s">
        <v>84</v>
      </c>
      <c r="J2706" t="s">
        <v>151</v>
      </c>
    </row>
    <row r="2707" spans="1:10" x14ac:dyDescent="0.35">
      <c r="A2707" t="s">
        <v>2892</v>
      </c>
      <c r="B2707" s="1">
        <v>46150</v>
      </c>
      <c r="C2707" t="s">
        <v>28</v>
      </c>
      <c r="D2707" t="s">
        <v>29</v>
      </c>
      <c r="E2707" t="s">
        <v>30</v>
      </c>
      <c r="F2707" t="s">
        <v>14</v>
      </c>
      <c r="G2707">
        <v>18.989999999999998</v>
      </c>
      <c r="H2707" t="s">
        <v>21</v>
      </c>
      <c r="I2707" t="s">
        <v>47</v>
      </c>
      <c r="J2707" t="s">
        <v>2893</v>
      </c>
    </row>
    <row r="2708" spans="1:10" x14ac:dyDescent="0.35">
      <c r="A2708" t="s">
        <v>2894</v>
      </c>
      <c r="B2708" s="1">
        <v>46150</v>
      </c>
      <c r="C2708" t="s">
        <v>331</v>
      </c>
      <c r="D2708" t="s">
        <v>29</v>
      </c>
      <c r="E2708" t="s">
        <v>95</v>
      </c>
      <c r="F2708" t="s">
        <v>14</v>
      </c>
      <c r="G2708">
        <v>32.07</v>
      </c>
      <c r="H2708" t="s">
        <v>21</v>
      </c>
      <c r="I2708" t="s">
        <v>22</v>
      </c>
      <c r="J2708" t="s">
        <v>151</v>
      </c>
    </row>
    <row r="2709" spans="1:10" x14ac:dyDescent="0.35">
      <c r="A2709" t="s">
        <v>2895</v>
      </c>
      <c r="B2709" s="1">
        <v>46150</v>
      </c>
      <c r="C2709" t="s">
        <v>46</v>
      </c>
      <c r="D2709" t="s">
        <v>12</v>
      </c>
      <c r="E2709" t="s">
        <v>13</v>
      </c>
      <c r="F2709" t="s">
        <v>14</v>
      </c>
      <c r="G2709">
        <v>88.53</v>
      </c>
      <c r="H2709" t="s">
        <v>15</v>
      </c>
      <c r="I2709" t="s">
        <v>47</v>
      </c>
      <c r="J2709" t="s">
        <v>48</v>
      </c>
    </row>
    <row r="2710" spans="1:10" x14ac:dyDescent="0.35">
      <c r="A2710" t="s">
        <v>2896</v>
      </c>
      <c r="B2710" s="1">
        <v>46150</v>
      </c>
      <c r="C2710" t="s">
        <v>125</v>
      </c>
      <c r="D2710" t="s">
        <v>12</v>
      </c>
      <c r="E2710" t="s">
        <v>13</v>
      </c>
      <c r="F2710" t="s">
        <v>14</v>
      </c>
      <c r="G2710">
        <v>122.26</v>
      </c>
      <c r="H2710" t="s">
        <v>21</v>
      </c>
      <c r="I2710" t="s">
        <v>36</v>
      </c>
      <c r="J2710" t="s">
        <v>44</v>
      </c>
    </row>
    <row r="2711" spans="1:10" x14ac:dyDescent="0.35">
      <c r="A2711" t="s">
        <v>2897</v>
      </c>
      <c r="B2711" s="1">
        <v>46150</v>
      </c>
      <c r="C2711" t="s">
        <v>138</v>
      </c>
      <c r="D2711" t="s">
        <v>12</v>
      </c>
      <c r="E2711" t="s">
        <v>26</v>
      </c>
      <c r="F2711" t="s">
        <v>14</v>
      </c>
      <c r="G2711">
        <v>52.75</v>
      </c>
      <c r="H2711" t="s">
        <v>15</v>
      </c>
      <c r="I2711" t="s">
        <v>22</v>
      </c>
      <c r="J2711" t="s">
        <v>77</v>
      </c>
    </row>
    <row r="2712" spans="1:10" x14ac:dyDescent="0.35">
      <c r="A2712" t="s">
        <v>2898</v>
      </c>
      <c r="B2712" s="1">
        <v>46151</v>
      </c>
      <c r="C2712" t="s">
        <v>210</v>
      </c>
      <c r="D2712" t="s">
        <v>59</v>
      </c>
      <c r="E2712" t="s">
        <v>185</v>
      </c>
      <c r="F2712" t="s">
        <v>14</v>
      </c>
      <c r="G2712">
        <v>329.73</v>
      </c>
      <c r="H2712" t="s">
        <v>15</v>
      </c>
      <c r="I2712" t="s">
        <v>16</v>
      </c>
      <c r="J2712" t="s">
        <v>211</v>
      </c>
    </row>
    <row r="2713" spans="1:10" x14ac:dyDescent="0.35">
      <c r="A2713" t="s">
        <v>2899</v>
      </c>
      <c r="B2713" s="1">
        <v>46151</v>
      </c>
      <c r="C2713" t="s">
        <v>184</v>
      </c>
      <c r="D2713" t="s">
        <v>59</v>
      </c>
      <c r="E2713" t="s">
        <v>185</v>
      </c>
      <c r="F2713" t="s">
        <v>14</v>
      </c>
      <c r="G2713">
        <v>213.41</v>
      </c>
      <c r="H2713" t="s">
        <v>15</v>
      </c>
      <c r="I2713" t="s">
        <v>36</v>
      </c>
      <c r="J2713" t="s">
        <v>61</v>
      </c>
    </row>
    <row r="2714" spans="1:10" x14ac:dyDescent="0.35">
      <c r="A2714" t="s">
        <v>2900</v>
      </c>
      <c r="B2714" s="1">
        <v>46151</v>
      </c>
      <c r="C2714" t="s">
        <v>238</v>
      </c>
      <c r="D2714" t="s">
        <v>34</v>
      </c>
      <c r="E2714" t="s">
        <v>35</v>
      </c>
      <c r="F2714" t="s">
        <v>14</v>
      </c>
      <c r="G2714">
        <v>37.26</v>
      </c>
      <c r="H2714" t="s">
        <v>21</v>
      </c>
      <c r="I2714" t="s">
        <v>16</v>
      </c>
      <c r="J2714" t="s">
        <v>239</v>
      </c>
    </row>
    <row r="2715" spans="1:10" x14ac:dyDescent="0.35">
      <c r="A2715" t="s">
        <v>2901</v>
      </c>
      <c r="B2715" s="1">
        <v>46151</v>
      </c>
      <c r="C2715" t="s">
        <v>445</v>
      </c>
      <c r="D2715" t="s">
        <v>101</v>
      </c>
      <c r="E2715" t="s">
        <v>244</v>
      </c>
      <c r="F2715" t="s">
        <v>14</v>
      </c>
      <c r="G2715">
        <v>137.63999999999999</v>
      </c>
      <c r="H2715" t="s">
        <v>15</v>
      </c>
      <c r="I2715" t="s">
        <v>22</v>
      </c>
      <c r="J2715" t="s">
        <v>103</v>
      </c>
    </row>
    <row r="2716" spans="1:10" x14ac:dyDescent="0.35">
      <c r="A2716" t="s">
        <v>2902</v>
      </c>
      <c r="B2716" s="1">
        <v>46152</v>
      </c>
      <c r="C2716" t="s">
        <v>155</v>
      </c>
      <c r="D2716" t="s">
        <v>12</v>
      </c>
      <c r="E2716" t="s">
        <v>51</v>
      </c>
      <c r="F2716" t="s">
        <v>14</v>
      </c>
      <c r="G2716">
        <v>7.47</v>
      </c>
      <c r="H2716" t="s">
        <v>15</v>
      </c>
      <c r="I2716" t="s">
        <v>36</v>
      </c>
      <c r="J2716" t="s">
        <v>48</v>
      </c>
    </row>
    <row r="2717" spans="1:10" x14ac:dyDescent="0.35">
      <c r="A2717" t="s">
        <v>2903</v>
      </c>
      <c r="B2717" s="1">
        <v>46152</v>
      </c>
      <c r="C2717" t="s">
        <v>125</v>
      </c>
      <c r="D2717" t="s">
        <v>12</v>
      </c>
      <c r="E2717" t="s">
        <v>13</v>
      </c>
      <c r="F2717" t="s">
        <v>14</v>
      </c>
      <c r="G2717">
        <v>13.57</v>
      </c>
      <c r="H2717" t="s">
        <v>98</v>
      </c>
      <c r="I2717" t="s">
        <v>22</v>
      </c>
      <c r="J2717" t="s">
        <v>44</v>
      </c>
    </row>
    <row r="2718" spans="1:10" x14ac:dyDescent="0.35">
      <c r="A2718" t="s">
        <v>2904</v>
      </c>
      <c r="B2718" s="1">
        <v>46152</v>
      </c>
      <c r="C2718" t="s">
        <v>73</v>
      </c>
      <c r="D2718" t="s">
        <v>54</v>
      </c>
      <c r="E2718" t="s">
        <v>74</v>
      </c>
      <c r="F2718" t="s">
        <v>54</v>
      </c>
      <c r="G2718">
        <v>2118.2800000000002</v>
      </c>
      <c r="H2718" t="s">
        <v>15</v>
      </c>
      <c r="I2718" t="s">
        <v>16</v>
      </c>
      <c r="J2718" t="s">
        <v>65</v>
      </c>
    </row>
    <row r="2719" spans="1:10" x14ac:dyDescent="0.35">
      <c r="A2719" t="s">
        <v>2905</v>
      </c>
      <c r="B2719" s="1">
        <v>46152</v>
      </c>
      <c r="C2719" t="s">
        <v>53</v>
      </c>
      <c r="D2719" t="s">
        <v>54</v>
      </c>
      <c r="E2719" t="s">
        <v>55</v>
      </c>
      <c r="F2719" t="s">
        <v>54</v>
      </c>
      <c r="G2719">
        <v>793.84</v>
      </c>
      <c r="H2719" t="s">
        <v>21</v>
      </c>
      <c r="I2719" t="s">
        <v>47</v>
      </c>
      <c r="J2719" t="s">
        <v>56</v>
      </c>
    </row>
    <row r="2720" spans="1:10" x14ac:dyDescent="0.35">
      <c r="A2720" t="s">
        <v>2906</v>
      </c>
      <c r="B2720" s="1">
        <v>46152</v>
      </c>
      <c r="C2720" t="s">
        <v>155</v>
      </c>
      <c r="D2720" t="s">
        <v>12</v>
      </c>
      <c r="E2720" t="s">
        <v>51</v>
      </c>
      <c r="F2720" t="s">
        <v>14</v>
      </c>
      <c r="G2720">
        <v>76.92</v>
      </c>
      <c r="H2720" t="s">
        <v>15</v>
      </c>
      <c r="I2720" t="s">
        <v>36</v>
      </c>
      <c r="J2720" t="s">
        <v>48</v>
      </c>
    </row>
    <row r="2721" spans="1:10" x14ac:dyDescent="0.35">
      <c r="A2721" t="s">
        <v>2907</v>
      </c>
      <c r="B2721" s="1">
        <v>46153</v>
      </c>
      <c r="C2721" t="s">
        <v>324</v>
      </c>
      <c r="D2721" t="s">
        <v>80</v>
      </c>
      <c r="E2721" t="s">
        <v>92</v>
      </c>
      <c r="F2721" t="s">
        <v>14</v>
      </c>
      <c r="G2721">
        <v>59.53</v>
      </c>
      <c r="H2721" t="s">
        <v>21</v>
      </c>
      <c r="I2721" t="s">
        <v>36</v>
      </c>
      <c r="J2721" t="s">
        <v>161</v>
      </c>
    </row>
    <row r="2722" spans="1:10" x14ac:dyDescent="0.35">
      <c r="A2722" t="s">
        <v>2908</v>
      </c>
      <c r="B2722" s="1">
        <v>46153</v>
      </c>
      <c r="C2722" t="s">
        <v>259</v>
      </c>
      <c r="D2722" t="s">
        <v>59</v>
      </c>
      <c r="E2722" t="s">
        <v>199</v>
      </c>
      <c r="F2722" t="s">
        <v>14</v>
      </c>
      <c r="G2722">
        <v>115.31</v>
      </c>
      <c r="H2722" t="s">
        <v>21</v>
      </c>
      <c r="I2722" t="s">
        <v>47</v>
      </c>
      <c r="J2722" t="s">
        <v>170</v>
      </c>
    </row>
    <row r="2723" spans="1:10" x14ac:dyDescent="0.35">
      <c r="A2723" t="s">
        <v>2909</v>
      </c>
      <c r="B2723" s="1">
        <v>46153</v>
      </c>
      <c r="C2723" t="s">
        <v>204</v>
      </c>
      <c r="D2723" t="s">
        <v>12</v>
      </c>
      <c r="E2723" t="s">
        <v>51</v>
      </c>
      <c r="F2723" t="s">
        <v>14</v>
      </c>
      <c r="G2723">
        <v>175.23</v>
      </c>
      <c r="H2723" t="s">
        <v>15</v>
      </c>
      <c r="I2723" t="s">
        <v>36</v>
      </c>
      <c r="J2723" t="s">
        <v>23</v>
      </c>
    </row>
    <row r="2724" spans="1:10" x14ac:dyDescent="0.35">
      <c r="A2724" t="s">
        <v>2910</v>
      </c>
      <c r="B2724" s="1">
        <v>46153</v>
      </c>
      <c r="C2724" t="s">
        <v>229</v>
      </c>
      <c r="D2724" t="s">
        <v>54</v>
      </c>
      <c r="E2724" t="s">
        <v>64</v>
      </c>
      <c r="F2724" t="s">
        <v>54</v>
      </c>
      <c r="G2724">
        <v>358.2</v>
      </c>
      <c r="H2724" t="s">
        <v>21</v>
      </c>
      <c r="I2724" t="s">
        <v>36</v>
      </c>
      <c r="J2724" t="s">
        <v>56</v>
      </c>
    </row>
    <row r="2725" spans="1:10" x14ac:dyDescent="0.35">
      <c r="A2725" t="s">
        <v>2911</v>
      </c>
      <c r="B2725" s="1">
        <v>46153</v>
      </c>
      <c r="C2725" t="s">
        <v>308</v>
      </c>
      <c r="D2725" t="s">
        <v>54</v>
      </c>
      <c r="E2725" t="s">
        <v>64</v>
      </c>
      <c r="F2725" t="s">
        <v>54</v>
      </c>
      <c r="G2725">
        <v>380.75</v>
      </c>
      <c r="H2725" t="s">
        <v>21</v>
      </c>
      <c r="I2725" t="s">
        <v>22</v>
      </c>
      <c r="J2725" t="s">
        <v>89</v>
      </c>
    </row>
    <row r="2726" spans="1:10" x14ac:dyDescent="0.35">
      <c r="A2726" t="s">
        <v>2912</v>
      </c>
      <c r="B2726" s="1">
        <v>46154</v>
      </c>
      <c r="C2726" t="s">
        <v>229</v>
      </c>
      <c r="D2726" t="s">
        <v>54</v>
      </c>
      <c r="E2726" t="s">
        <v>64</v>
      </c>
      <c r="F2726" t="s">
        <v>54</v>
      </c>
      <c r="G2726">
        <v>282.77</v>
      </c>
      <c r="H2726" t="s">
        <v>98</v>
      </c>
      <c r="I2726" t="s">
        <v>22</v>
      </c>
      <c r="J2726" t="s">
        <v>56</v>
      </c>
    </row>
    <row r="2727" spans="1:10" x14ac:dyDescent="0.35">
      <c r="A2727" t="s">
        <v>2913</v>
      </c>
      <c r="B2727" s="1">
        <v>46154</v>
      </c>
      <c r="C2727" t="s">
        <v>125</v>
      </c>
      <c r="D2727" t="s">
        <v>12</v>
      </c>
      <c r="E2727" t="s">
        <v>13</v>
      </c>
      <c r="F2727" t="s">
        <v>14</v>
      </c>
      <c r="G2727">
        <v>45.59</v>
      </c>
      <c r="H2727" t="s">
        <v>98</v>
      </c>
      <c r="I2727" t="s">
        <v>22</v>
      </c>
      <c r="J2727" t="s">
        <v>44</v>
      </c>
    </row>
    <row r="2728" spans="1:10" x14ac:dyDescent="0.35">
      <c r="A2728" t="s">
        <v>2914</v>
      </c>
      <c r="B2728" s="1">
        <v>46154</v>
      </c>
      <c r="C2728" t="s">
        <v>229</v>
      </c>
      <c r="D2728" t="s">
        <v>54</v>
      </c>
      <c r="E2728" t="s">
        <v>64</v>
      </c>
      <c r="F2728" t="s">
        <v>54</v>
      </c>
      <c r="G2728">
        <v>378.41</v>
      </c>
      <c r="H2728" t="s">
        <v>15</v>
      </c>
      <c r="I2728" t="s">
        <v>22</v>
      </c>
      <c r="J2728" t="s">
        <v>56</v>
      </c>
    </row>
    <row r="2729" spans="1:10" x14ac:dyDescent="0.35">
      <c r="A2729" t="s">
        <v>2915</v>
      </c>
      <c r="B2729" s="1">
        <v>46154</v>
      </c>
      <c r="C2729" t="s">
        <v>229</v>
      </c>
      <c r="D2729" t="s">
        <v>54</v>
      </c>
      <c r="E2729" t="s">
        <v>64</v>
      </c>
      <c r="F2729" t="s">
        <v>54</v>
      </c>
      <c r="G2729">
        <v>322.64</v>
      </c>
      <c r="H2729" t="s">
        <v>15</v>
      </c>
      <c r="I2729" t="s">
        <v>36</v>
      </c>
      <c r="J2729" t="s">
        <v>56</v>
      </c>
    </row>
    <row r="2730" spans="1:10" x14ac:dyDescent="0.35">
      <c r="A2730" t="s">
        <v>2916</v>
      </c>
      <c r="B2730" s="1">
        <v>46154</v>
      </c>
      <c r="C2730" t="s">
        <v>179</v>
      </c>
      <c r="D2730" t="s">
        <v>80</v>
      </c>
      <c r="E2730" t="s">
        <v>117</v>
      </c>
      <c r="F2730" t="s">
        <v>14</v>
      </c>
      <c r="G2730">
        <v>31.53</v>
      </c>
      <c r="H2730" t="s">
        <v>15</v>
      </c>
      <c r="I2730" t="s">
        <v>36</v>
      </c>
      <c r="J2730" t="s">
        <v>180</v>
      </c>
    </row>
    <row r="2731" spans="1:10" x14ac:dyDescent="0.35">
      <c r="A2731" t="s">
        <v>2917</v>
      </c>
      <c r="B2731" s="1">
        <v>46155</v>
      </c>
      <c r="C2731" t="s">
        <v>267</v>
      </c>
      <c r="D2731" t="s">
        <v>29</v>
      </c>
      <c r="E2731" t="s">
        <v>30</v>
      </c>
      <c r="F2731" t="s">
        <v>14</v>
      </c>
      <c r="G2731">
        <v>42.5</v>
      </c>
      <c r="H2731" t="s">
        <v>15</v>
      </c>
      <c r="I2731" t="s">
        <v>22</v>
      </c>
      <c r="J2731" t="s">
        <v>96</v>
      </c>
    </row>
    <row r="2732" spans="1:10" x14ac:dyDescent="0.35">
      <c r="A2732" t="s">
        <v>2918</v>
      </c>
      <c r="B2732" s="1">
        <v>46155</v>
      </c>
      <c r="C2732" t="s">
        <v>824</v>
      </c>
      <c r="D2732" t="s">
        <v>69</v>
      </c>
      <c r="E2732" t="s">
        <v>233</v>
      </c>
      <c r="F2732" t="s">
        <v>14</v>
      </c>
      <c r="G2732">
        <v>449.62</v>
      </c>
      <c r="H2732" t="s">
        <v>15</v>
      </c>
      <c r="I2732" t="s">
        <v>22</v>
      </c>
      <c r="J2732" t="s">
        <v>133</v>
      </c>
    </row>
    <row r="2733" spans="1:10" x14ac:dyDescent="0.35">
      <c r="A2733" t="s">
        <v>2919</v>
      </c>
      <c r="B2733" s="1">
        <v>46155</v>
      </c>
      <c r="C2733" t="s">
        <v>73</v>
      </c>
      <c r="D2733" t="s">
        <v>54</v>
      </c>
      <c r="E2733" t="s">
        <v>74</v>
      </c>
      <c r="F2733" t="s">
        <v>54</v>
      </c>
      <c r="G2733">
        <v>2659.66</v>
      </c>
      <c r="H2733" t="s">
        <v>21</v>
      </c>
      <c r="I2733" t="s">
        <v>16</v>
      </c>
      <c r="J2733" t="s">
        <v>65</v>
      </c>
    </row>
    <row r="2734" spans="1:10" x14ac:dyDescent="0.35">
      <c r="A2734" t="s">
        <v>2920</v>
      </c>
      <c r="B2734" s="1">
        <v>46155</v>
      </c>
      <c r="C2734" t="s">
        <v>426</v>
      </c>
      <c r="D2734" t="s">
        <v>69</v>
      </c>
      <c r="E2734" t="s">
        <v>70</v>
      </c>
      <c r="F2734" t="s">
        <v>14</v>
      </c>
      <c r="G2734">
        <v>438.22</v>
      </c>
      <c r="H2734" t="s">
        <v>21</v>
      </c>
      <c r="I2734" t="s">
        <v>22</v>
      </c>
      <c r="J2734" t="s">
        <v>396</v>
      </c>
    </row>
    <row r="2735" spans="1:10" x14ac:dyDescent="0.35">
      <c r="A2735" t="s">
        <v>2921</v>
      </c>
      <c r="B2735" s="1">
        <v>46155</v>
      </c>
      <c r="C2735" t="s">
        <v>138</v>
      </c>
      <c r="D2735" t="s">
        <v>12</v>
      </c>
      <c r="E2735" t="s">
        <v>26</v>
      </c>
      <c r="F2735" t="s">
        <v>14</v>
      </c>
      <c r="G2735">
        <v>53.88</v>
      </c>
      <c r="H2735" t="s">
        <v>21</v>
      </c>
      <c r="I2735" t="s">
        <v>84</v>
      </c>
      <c r="J2735" t="s">
        <v>77</v>
      </c>
    </row>
    <row r="2736" spans="1:10" x14ac:dyDescent="0.35">
      <c r="A2736" t="s">
        <v>2922</v>
      </c>
      <c r="B2736" s="1">
        <v>46155</v>
      </c>
      <c r="C2736" t="s">
        <v>39</v>
      </c>
      <c r="D2736" t="s">
        <v>34</v>
      </c>
      <c r="E2736" t="s">
        <v>40</v>
      </c>
      <c r="F2736" t="s">
        <v>14</v>
      </c>
      <c r="G2736">
        <v>37.159999999999997</v>
      </c>
      <c r="H2736" t="s">
        <v>15</v>
      </c>
      <c r="I2736" t="s">
        <v>36</v>
      </c>
      <c r="J2736" t="s">
        <v>41</v>
      </c>
    </row>
    <row r="2737" spans="1:10" x14ac:dyDescent="0.35">
      <c r="A2737" t="s">
        <v>2923</v>
      </c>
      <c r="B2737" s="1">
        <v>46155</v>
      </c>
      <c r="C2737" t="s">
        <v>172</v>
      </c>
      <c r="D2737" t="s">
        <v>101</v>
      </c>
      <c r="E2737" t="s">
        <v>102</v>
      </c>
      <c r="F2737" t="s">
        <v>14</v>
      </c>
      <c r="G2737">
        <v>172.02</v>
      </c>
      <c r="H2737" t="s">
        <v>98</v>
      </c>
      <c r="I2737" t="s">
        <v>22</v>
      </c>
      <c r="J2737" t="s">
        <v>102</v>
      </c>
    </row>
    <row r="2738" spans="1:10" x14ac:dyDescent="0.35">
      <c r="A2738" t="s">
        <v>2924</v>
      </c>
      <c r="B2738" s="1">
        <v>46155</v>
      </c>
      <c r="C2738" t="s">
        <v>88</v>
      </c>
      <c r="D2738" t="s">
        <v>54</v>
      </c>
      <c r="E2738" t="s">
        <v>74</v>
      </c>
      <c r="F2738" t="s">
        <v>54</v>
      </c>
      <c r="G2738">
        <v>2450.65</v>
      </c>
      <c r="H2738" t="s">
        <v>98</v>
      </c>
      <c r="I2738" t="s">
        <v>36</v>
      </c>
      <c r="J2738" t="s">
        <v>89</v>
      </c>
    </row>
    <row r="2739" spans="1:10" x14ac:dyDescent="0.35">
      <c r="A2739" t="s">
        <v>2925</v>
      </c>
      <c r="B2739" s="1">
        <v>46155</v>
      </c>
      <c r="C2739" t="s">
        <v>184</v>
      </c>
      <c r="D2739" t="s">
        <v>59</v>
      </c>
      <c r="E2739" t="s">
        <v>185</v>
      </c>
      <c r="F2739" t="s">
        <v>14</v>
      </c>
      <c r="G2739">
        <v>190.52</v>
      </c>
      <c r="H2739" t="s">
        <v>15</v>
      </c>
      <c r="I2739" t="s">
        <v>22</v>
      </c>
      <c r="J2739" t="s">
        <v>61</v>
      </c>
    </row>
    <row r="2740" spans="1:10" x14ac:dyDescent="0.35">
      <c r="A2740" t="s">
        <v>2926</v>
      </c>
      <c r="B2740" s="1">
        <v>46155</v>
      </c>
      <c r="C2740" t="s">
        <v>308</v>
      </c>
      <c r="D2740" t="s">
        <v>54</v>
      </c>
      <c r="E2740" t="s">
        <v>64</v>
      </c>
      <c r="F2740" t="s">
        <v>54</v>
      </c>
      <c r="G2740">
        <v>382.98</v>
      </c>
      <c r="H2740" t="s">
        <v>15</v>
      </c>
      <c r="I2740" t="s">
        <v>47</v>
      </c>
      <c r="J2740" t="s">
        <v>89</v>
      </c>
    </row>
    <row r="2741" spans="1:10" x14ac:dyDescent="0.35">
      <c r="A2741" t="s">
        <v>2927</v>
      </c>
      <c r="B2741" s="1">
        <v>46155</v>
      </c>
      <c r="C2741" t="s">
        <v>296</v>
      </c>
      <c r="D2741" t="s">
        <v>101</v>
      </c>
      <c r="E2741" t="s">
        <v>136</v>
      </c>
      <c r="F2741" t="s">
        <v>14</v>
      </c>
      <c r="G2741">
        <v>15.39</v>
      </c>
      <c r="H2741" t="s">
        <v>15</v>
      </c>
      <c r="I2741" t="s">
        <v>22</v>
      </c>
      <c r="J2741" t="s">
        <v>136</v>
      </c>
    </row>
    <row r="2742" spans="1:10" x14ac:dyDescent="0.35">
      <c r="A2742" t="s">
        <v>2928</v>
      </c>
      <c r="B2742" s="1">
        <v>46156</v>
      </c>
      <c r="C2742" t="s">
        <v>269</v>
      </c>
      <c r="D2742" t="s">
        <v>34</v>
      </c>
      <c r="E2742" t="s">
        <v>35</v>
      </c>
      <c r="F2742" t="s">
        <v>14</v>
      </c>
      <c r="G2742">
        <v>149.13999999999999</v>
      </c>
      <c r="H2742" t="s">
        <v>21</v>
      </c>
      <c r="I2742" t="s">
        <v>84</v>
      </c>
      <c r="J2742" t="s">
        <v>123</v>
      </c>
    </row>
    <row r="2743" spans="1:10" x14ac:dyDescent="0.35">
      <c r="A2743" t="s">
        <v>2929</v>
      </c>
      <c r="B2743" s="1">
        <v>46156</v>
      </c>
      <c r="C2743" t="s">
        <v>189</v>
      </c>
      <c r="D2743" t="s">
        <v>34</v>
      </c>
      <c r="E2743" t="s">
        <v>122</v>
      </c>
      <c r="F2743" t="s">
        <v>14</v>
      </c>
      <c r="G2743">
        <v>40.450000000000003</v>
      </c>
      <c r="H2743" t="s">
        <v>15</v>
      </c>
      <c r="I2743" t="s">
        <v>22</v>
      </c>
      <c r="J2743" t="s">
        <v>37</v>
      </c>
    </row>
    <row r="2744" spans="1:10" x14ac:dyDescent="0.35">
      <c r="A2744" t="s">
        <v>2930</v>
      </c>
      <c r="B2744" s="1">
        <v>46156</v>
      </c>
      <c r="C2744" t="s">
        <v>580</v>
      </c>
      <c r="D2744" t="s">
        <v>80</v>
      </c>
      <c r="E2744" t="s">
        <v>81</v>
      </c>
      <c r="F2744" t="s">
        <v>14</v>
      </c>
      <c r="G2744">
        <v>240.28</v>
      </c>
      <c r="H2744" t="s">
        <v>21</v>
      </c>
      <c r="I2744" t="s">
        <v>22</v>
      </c>
      <c r="J2744" t="s">
        <v>118</v>
      </c>
    </row>
    <row r="2745" spans="1:10" x14ac:dyDescent="0.35">
      <c r="A2745" t="s">
        <v>2931</v>
      </c>
      <c r="B2745" s="1">
        <v>46156</v>
      </c>
      <c r="C2745" t="s">
        <v>138</v>
      </c>
      <c r="D2745" t="s">
        <v>12</v>
      </c>
      <c r="E2745" t="s">
        <v>26</v>
      </c>
      <c r="F2745" t="s">
        <v>14</v>
      </c>
      <c r="G2745">
        <v>89.73</v>
      </c>
      <c r="H2745" t="s">
        <v>98</v>
      </c>
      <c r="I2745" t="s">
        <v>47</v>
      </c>
      <c r="J2745" t="s">
        <v>77</v>
      </c>
    </row>
    <row r="2746" spans="1:10" x14ac:dyDescent="0.35">
      <c r="A2746" t="s">
        <v>2932</v>
      </c>
      <c r="B2746" s="1">
        <v>46156</v>
      </c>
      <c r="C2746" t="s">
        <v>217</v>
      </c>
      <c r="D2746" t="s">
        <v>80</v>
      </c>
      <c r="E2746" t="s">
        <v>81</v>
      </c>
      <c r="F2746" t="s">
        <v>14</v>
      </c>
      <c r="G2746">
        <v>90.05</v>
      </c>
      <c r="H2746" t="s">
        <v>15</v>
      </c>
      <c r="I2746" t="s">
        <v>22</v>
      </c>
      <c r="J2746" t="s">
        <v>180</v>
      </c>
    </row>
    <row r="2747" spans="1:10" x14ac:dyDescent="0.35">
      <c r="A2747" t="s">
        <v>2933</v>
      </c>
      <c r="B2747" s="1">
        <v>46156</v>
      </c>
      <c r="C2747" t="s">
        <v>177</v>
      </c>
      <c r="D2747" t="s">
        <v>54</v>
      </c>
      <c r="E2747" t="s">
        <v>74</v>
      </c>
      <c r="F2747" t="s">
        <v>54</v>
      </c>
      <c r="G2747">
        <v>2794.18</v>
      </c>
      <c r="H2747" t="s">
        <v>21</v>
      </c>
      <c r="I2747" t="s">
        <v>84</v>
      </c>
      <c r="J2747" t="s">
        <v>56</v>
      </c>
    </row>
    <row r="2748" spans="1:10" x14ac:dyDescent="0.35">
      <c r="A2748" t="s">
        <v>2934</v>
      </c>
      <c r="B2748" s="1">
        <v>46156</v>
      </c>
      <c r="C2748" t="s">
        <v>91</v>
      </c>
      <c r="D2748" t="s">
        <v>80</v>
      </c>
      <c r="E2748" t="s">
        <v>92</v>
      </c>
      <c r="F2748" t="s">
        <v>14</v>
      </c>
      <c r="G2748">
        <v>76.489999999999995</v>
      </c>
      <c r="H2748" t="s">
        <v>21</v>
      </c>
      <c r="I2748" t="s">
        <v>47</v>
      </c>
      <c r="J2748" t="s">
        <v>82</v>
      </c>
    </row>
    <row r="2749" spans="1:10" x14ac:dyDescent="0.35">
      <c r="A2749" t="s">
        <v>2935</v>
      </c>
      <c r="B2749" s="1">
        <v>46156</v>
      </c>
      <c r="C2749" t="s">
        <v>46</v>
      </c>
      <c r="D2749" t="s">
        <v>12</v>
      </c>
      <c r="E2749" t="s">
        <v>13</v>
      </c>
      <c r="F2749" t="s">
        <v>14</v>
      </c>
      <c r="G2749">
        <v>121.79</v>
      </c>
      <c r="H2749" t="s">
        <v>15</v>
      </c>
      <c r="I2749" t="s">
        <v>36</v>
      </c>
      <c r="J2749" t="s">
        <v>48</v>
      </c>
    </row>
    <row r="2750" spans="1:10" x14ac:dyDescent="0.35">
      <c r="A2750" t="s">
        <v>2936</v>
      </c>
      <c r="B2750" s="1">
        <v>46157</v>
      </c>
      <c r="C2750" t="s">
        <v>198</v>
      </c>
      <c r="D2750" t="s">
        <v>59</v>
      </c>
      <c r="E2750" t="s">
        <v>199</v>
      </c>
      <c r="F2750" t="s">
        <v>14</v>
      </c>
      <c r="G2750">
        <v>252.52</v>
      </c>
      <c r="H2750" t="s">
        <v>21</v>
      </c>
      <c r="I2750" t="s">
        <v>36</v>
      </c>
      <c r="J2750" t="s">
        <v>61</v>
      </c>
    </row>
    <row r="2751" spans="1:10" x14ac:dyDescent="0.35">
      <c r="A2751" t="s">
        <v>2937</v>
      </c>
      <c r="B2751" s="1">
        <v>46157</v>
      </c>
      <c r="C2751" t="s">
        <v>19</v>
      </c>
      <c r="D2751" t="s">
        <v>12</v>
      </c>
      <c r="E2751" t="s">
        <v>13</v>
      </c>
      <c r="F2751" t="s">
        <v>14</v>
      </c>
      <c r="G2751">
        <v>99.57</v>
      </c>
      <c r="H2751" t="s">
        <v>15</v>
      </c>
      <c r="I2751" t="s">
        <v>22</v>
      </c>
      <c r="J2751" t="s">
        <v>23</v>
      </c>
    </row>
    <row r="2752" spans="1:10" x14ac:dyDescent="0.35">
      <c r="A2752" t="s">
        <v>2938</v>
      </c>
      <c r="B2752" s="1">
        <v>46157</v>
      </c>
      <c r="C2752" t="s">
        <v>46</v>
      </c>
      <c r="D2752" t="s">
        <v>12</v>
      </c>
      <c r="E2752" t="s">
        <v>13</v>
      </c>
      <c r="F2752" t="s">
        <v>14</v>
      </c>
      <c r="G2752">
        <v>54.81</v>
      </c>
      <c r="H2752" t="s">
        <v>15</v>
      </c>
      <c r="I2752" t="s">
        <v>22</v>
      </c>
      <c r="J2752" t="s">
        <v>48</v>
      </c>
    </row>
    <row r="2753" spans="1:10" x14ac:dyDescent="0.35">
      <c r="A2753" t="s">
        <v>2939</v>
      </c>
      <c r="B2753" s="1">
        <v>46157</v>
      </c>
      <c r="C2753" t="s">
        <v>253</v>
      </c>
      <c r="D2753" t="s">
        <v>29</v>
      </c>
      <c r="E2753" t="s">
        <v>30</v>
      </c>
      <c r="F2753" t="s">
        <v>14</v>
      </c>
      <c r="G2753">
        <v>48.58</v>
      </c>
      <c r="H2753" t="s">
        <v>15</v>
      </c>
      <c r="I2753" t="s">
        <v>36</v>
      </c>
      <c r="J2753" t="s">
        <v>158</v>
      </c>
    </row>
    <row r="2754" spans="1:10" x14ac:dyDescent="0.35">
      <c r="A2754" t="s">
        <v>2940</v>
      </c>
      <c r="B2754" s="1">
        <v>46157</v>
      </c>
      <c r="C2754" t="s">
        <v>76</v>
      </c>
      <c r="D2754" t="s">
        <v>12</v>
      </c>
      <c r="E2754" t="s">
        <v>13</v>
      </c>
      <c r="F2754" t="s">
        <v>14</v>
      </c>
      <c r="G2754">
        <v>16.16</v>
      </c>
      <c r="H2754" t="s">
        <v>15</v>
      </c>
      <c r="I2754" t="s">
        <v>47</v>
      </c>
      <c r="J2754" t="s">
        <v>77</v>
      </c>
    </row>
    <row r="2755" spans="1:10" x14ac:dyDescent="0.35">
      <c r="A2755" t="s">
        <v>2941</v>
      </c>
      <c r="B2755" s="1">
        <v>46157</v>
      </c>
      <c r="C2755" t="s">
        <v>189</v>
      </c>
      <c r="D2755" t="s">
        <v>34</v>
      </c>
      <c r="E2755" t="s">
        <v>122</v>
      </c>
      <c r="F2755" t="s">
        <v>14</v>
      </c>
      <c r="G2755">
        <v>276.13</v>
      </c>
      <c r="H2755" t="s">
        <v>21</v>
      </c>
      <c r="I2755" t="s">
        <v>47</v>
      </c>
      <c r="J2755" t="s">
        <v>37</v>
      </c>
    </row>
    <row r="2756" spans="1:10" x14ac:dyDescent="0.35">
      <c r="A2756" t="s">
        <v>2942</v>
      </c>
      <c r="B2756" s="1">
        <v>46157</v>
      </c>
      <c r="C2756" t="s">
        <v>138</v>
      </c>
      <c r="D2756" t="s">
        <v>12</v>
      </c>
      <c r="E2756" t="s">
        <v>26</v>
      </c>
      <c r="F2756" t="s">
        <v>14</v>
      </c>
      <c r="G2756">
        <v>43.91</v>
      </c>
      <c r="H2756" t="s">
        <v>15</v>
      </c>
      <c r="I2756" t="s">
        <v>36</v>
      </c>
      <c r="J2756" t="s">
        <v>77</v>
      </c>
    </row>
    <row r="2757" spans="1:10" x14ac:dyDescent="0.35">
      <c r="A2757" t="s">
        <v>2943</v>
      </c>
      <c r="B2757" s="1">
        <v>46158</v>
      </c>
      <c r="C2757" t="s">
        <v>39</v>
      </c>
      <c r="D2757" t="s">
        <v>34</v>
      </c>
      <c r="E2757" t="s">
        <v>40</v>
      </c>
      <c r="F2757" t="s">
        <v>14</v>
      </c>
      <c r="G2757">
        <v>137.13999999999999</v>
      </c>
      <c r="H2757" t="s">
        <v>15</v>
      </c>
      <c r="I2757" t="s">
        <v>84</v>
      </c>
      <c r="J2757" t="s">
        <v>41</v>
      </c>
    </row>
    <row r="2758" spans="1:10" x14ac:dyDescent="0.35">
      <c r="A2758" t="s">
        <v>2944</v>
      </c>
      <c r="B2758" s="1">
        <v>46158</v>
      </c>
      <c r="C2758" t="s">
        <v>445</v>
      </c>
      <c r="D2758" t="s">
        <v>101</v>
      </c>
      <c r="E2758" t="s">
        <v>244</v>
      </c>
      <c r="F2758" t="s">
        <v>14</v>
      </c>
      <c r="G2758">
        <v>100.57</v>
      </c>
      <c r="H2758" t="s">
        <v>15</v>
      </c>
      <c r="I2758" t="s">
        <v>22</v>
      </c>
      <c r="J2758" t="s">
        <v>103</v>
      </c>
    </row>
    <row r="2759" spans="1:10" x14ac:dyDescent="0.35">
      <c r="A2759" t="s">
        <v>2945</v>
      </c>
      <c r="B2759" s="1">
        <v>46158</v>
      </c>
      <c r="C2759" t="s">
        <v>153</v>
      </c>
      <c r="D2759" t="s">
        <v>34</v>
      </c>
      <c r="E2759" t="s">
        <v>122</v>
      </c>
      <c r="F2759" t="s">
        <v>14</v>
      </c>
      <c r="G2759">
        <v>76.33</v>
      </c>
      <c r="H2759" t="s">
        <v>21</v>
      </c>
      <c r="I2759" t="s">
        <v>22</v>
      </c>
      <c r="J2759" t="s">
        <v>41</v>
      </c>
    </row>
    <row r="2760" spans="1:10" x14ac:dyDescent="0.35">
      <c r="A2760" t="s">
        <v>2946</v>
      </c>
      <c r="B2760" s="1">
        <v>46158</v>
      </c>
      <c r="C2760" t="s">
        <v>168</v>
      </c>
      <c r="D2760" t="s">
        <v>59</v>
      </c>
      <c r="E2760" t="s">
        <v>60</v>
      </c>
      <c r="F2760" t="s">
        <v>14</v>
      </c>
      <c r="G2760">
        <v>671.13</v>
      </c>
      <c r="H2760" t="s">
        <v>15</v>
      </c>
      <c r="I2760" t="s">
        <v>47</v>
      </c>
      <c r="J2760" t="s">
        <v>170</v>
      </c>
    </row>
    <row r="2761" spans="1:10" x14ac:dyDescent="0.35">
      <c r="A2761" t="s">
        <v>2947</v>
      </c>
      <c r="B2761" s="1">
        <v>46159</v>
      </c>
      <c r="C2761" t="s">
        <v>308</v>
      </c>
      <c r="D2761" t="s">
        <v>54</v>
      </c>
      <c r="E2761" t="s">
        <v>64</v>
      </c>
      <c r="F2761" t="s">
        <v>54</v>
      </c>
      <c r="G2761">
        <v>447.46</v>
      </c>
      <c r="H2761" t="s">
        <v>15</v>
      </c>
      <c r="I2761" t="s">
        <v>22</v>
      </c>
      <c r="J2761" t="s">
        <v>89</v>
      </c>
    </row>
    <row r="2762" spans="1:10" x14ac:dyDescent="0.35">
      <c r="A2762" t="s">
        <v>2948</v>
      </c>
      <c r="B2762" s="1">
        <v>46159</v>
      </c>
      <c r="C2762" t="s">
        <v>43</v>
      </c>
      <c r="D2762" t="s">
        <v>12</v>
      </c>
      <c r="E2762" t="s">
        <v>26</v>
      </c>
      <c r="F2762" t="s">
        <v>14</v>
      </c>
      <c r="G2762">
        <v>49.45</v>
      </c>
      <c r="H2762" t="s">
        <v>15</v>
      </c>
      <c r="I2762" t="s">
        <v>22</v>
      </c>
      <c r="J2762" t="s">
        <v>44</v>
      </c>
    </row>
    <row r="2763" spans="1:10" x14ac:dyDescent="0.35">
      <c r="A2763" t="s">
        <v>2949</v>
      </c>
      <c r="B2763" s="1">
        <v>46159</v>
      </c>
      <c r="C2763" t="s">
        <v>175</v>
      </c>
      <c r="D2763" t="s">
        <v>80</v>
      </c>
      <c r="E2763" t="s">
        <v>92</v>
      </c>
      <c r="F2763" t="s">
        <v>14</v>
      </c>
      <c r="G2763">
        <v>158.16999999999999</v>
      </c>
      <c r="H2763" t="s">
        <v>15</v>
      </c>
      <c r="I2763" t="s">
        <v>22</v>
      </c>
      <c r="J2763" t="s">
        <v>141</v>
      </c>
    </row>
    <row r="2764" spans="1:10" x14ac:dyDescent="0.35">
      <c r="A2764" t="s">
        <v>2950</v>
      </c>
      <c r="B2764" s="1">
        <v>46159</v>
      </c>
      <c r="C2764" t="s">
        <v>324</v>
      </c>
      <c r="D2764" t="s">
        <v>80</v>
      </c>
      <c r="E2764" t="s">
        <v>92</v>
      </c>
      <c r="F2764" t="s">
        <v>14</v>
      </c>
      <c r="G2764">
        <v>80.319999999999993</v>
      </c>
      <c r="H2764" t="s">
        <v>21</v>
      </c>
      <c r="I2764" t="s">
        <v>47</v>
      </c>
      <c r="J2764" t="s">
        <v>161</v>
      </c>
    </row>
    <row r="2765" spans="1:10" x14ac:dyDescent="0.35">
      <c r="A2765" t="s">
        <v>2951</v>
      </c>
      <c r="B2765" s="1">
        <v>46160</v>
      </c>
      <c r="C2765" t="s">
        <v>267</v>
      </c>
      <c r="D2765" t="s">
        <v>29</v>
      </c>
      <c r="E2765" t="s">
        <v>30</v>
      </c>
      <c r="F2765" t="s">
        <v>14</v>
      </c>
      <c r="G2765">
        <v>53.18</v>
      </c>
      <c r="H2765" t="s">
        <v>21</v>
      </c>
      <c r="I2765" t="s">
        <v>22</v>
      </c>
      <c r="J2765" t="s">
        <v>96</v>
      </c>
    </row>
    <row r="2766" spans="1:10" x14ac:dyDescent="0.35">
      <c r="A2766" t="s">
        <v>2952</v>
      </c>
      <c r="B2766" s="1">
        <v>46160</v>
      </c>
      <c r="C2766" t="s">
        <v>1491</v>
      </c>
      <c r="D2766" t="s">
        <v>69</v>
      </c>
      <c r="E2766" t="s">
        <v>233</v>
      </c>
      <c r="F2766" t="s">
        <v>14</v>
      </c>
      <c r="G2766">
        <v>169.65</v>
      </c>
      <c r="H2766" t="s">
        <v>21</v>
      </c>
      <c r="I2766" t="s">
        <v>36</v>
      </c>
      <c r="J2766" t="s">
        <v>396</v>
      </c>
    </row>
    <row r="2767" spans="1:10" x14ac:dyDescent="0.35">
      <c r="A2767" t="s">
        <v>2953</v>
      </c>
      <c r="B2767" s="1">
        <v>46160</v>
      </c>
      <c r="C2767" t="s">
        <v>88</v>
      </c>
      <c r="D2767" t="s">
        <v>54</v>
      </c>
      <c r="E2767" t="s">
        <v>74</v>
      </c>
      <c r="F2767" t="s">
        <v>54</v>
      </c>
      <c r="G2767">
        <v>2164.1999999999998</v>
      </c>
      <c r="H2767" t="s">
        <v>21</v>
      </c>
      <c r="I2767" t="s">
        <v>36</v>
      </c>
      <c r="J2767" t="s">
        <v>89</v>
      </c>
    </row>
    <row r="2768" spans="1:10" x14ac:dyDescent="0.35">
      <c r="A2768" t="s">
        <v>2954</v>
      </c>
      <c r="B2768" s="1">
        <v>46160</v>
      </c>
      <c r="C2768" t="s">
        <v>238</v>
      </c>
      <c r="D2768" t="s">
        <v>34</v>
      </c>
      <c r="E2768" t="s">
        <v>35</v>
      </c>
      <c r="F2768" t="s">
        <v>14</v>
      </c>
      <c r="G2768">
        <v>59.57</v>
      </c>
      <c r="H2768" t="s">
        <v>21</v>
      </c>
      <c r="I2768" t="s">
        <v>84</v>
      </c>
      <c r="J2768" t="s">
        <v>239</v>
      </c>
    </row>
    <row r="2769" spans="1:10" x14ac:dyDescent="0.35">
      <c r="A2769" t="s">
        <v>2955</v>
      </c>
      <c r="B2769" s="1">
        <v>46160</v>
      </c>
      <c r="C2769" t="s">
        <v>262</v>
      </c>
      <c r="D2769" t="s">
        <v>101</v>
      </c>
      <c r="E2769" t="s">
        <v>244</v>
      </c>
      <c r="F2769" t="s">
        <v>14</v>
      </c>
      <c r="G2769">
        <v>158.47999999999999</v>
      </c>
      <c r="H2769" t="s">
        <v>98</v>
      </c>
      <c r="I2769" t="s">
        <v>22</v>
      </c>
      <c r="J2769" t="s">
        <v>136</v>
      </c>
    </row>
    <row r="2770" spans="1:10" x14ac:dyDescent="0.35">
      <c r="A2770" t="s">
        <v>2956</v>
      </c>
      <c r="B2770" s="1">
        <v>46160</v>
      </c>
      <c r="C2770" t="s">
        <v>415</v>
      </c>
      <c r="D2770" t="s">
        <v>12</v>
      </c>
      <c r="E2770" t="s">
        <v>51</v>
      </c>
      <c r="F2770" t="s">
        <v>14</v>
      </c>
      <c r="G2770">
        <v>36.700000000000003</v>
      </c>
      <c r="H2770" t="s">
        <v>15</v>
      </c>
      <c r="I2770" t="s">
        <v>84</v>
      </c>
      <c r="J2770" t="s">
        <v>77</v>
      </c>
    </row>
    <row r="2771" spans="1:10" x14ac:dyDescent="0.35">
      <c r="A2771" t="s">
        <v>2957</v>
      </c>
      <c r="B2771" s="1">
        <v>46160</v>
      </c>
      <c r="C2771" t="s">
        <v>210</v>
      </c>
      <c r="D2771" t="s">
        <v>59</v>
      </c>
      <c r="E2771" t="s">
        <v>185</v>
      </c>
      <c r="F2771" t="s">
        <v>14</v>
      </c>
      <c r="G2771">
        <v>107.35</v>
      </c>
      <c r="H2771" t="s">
        <v>21</v>
      </c>
      <c r="I2771" t="s">
        <v>22</v>
      </c>
      <c r="J2771" t="s">
        <v>211</v>
      </c>
    </row>
    <row r="2772" spans="1:10" x14ac:dyDescent="0.35">
      <c r="A2772" t="s">
        <v>2958</v>
      </c>
      <c r="B2772" s="1">
        <v>46161</v>
      </c>
      <c r="C2772" t="s">
        <v>189</v>
      </c>
      <c r="D2772" t="s">
        <v>34</v>
      </c>
      <c r="E2772" t="s">
        <v>122</v>
      </c>
      <c r="F2772" t="s">
        <v>14</v>
      </c>
      <c r="G2772">
        <v>310.20999999999998</v>
      </c>
      <c r="H2772" t="s">
        <v>21</v>
      </c>
      <c r="I2772" t="s">
        <v>22</v>
      </c>
      <c r="J2772" t="s">
        <v>37</v>
      </c>
    </row>
    <row r="2773" spans="1:10" x14ac:dyDescent="0.35">
      <c r="A2773" t="s">
        <v>2959</v>
      </c>
      <c r="B2773" s="1">
        <v>46161</v>
      </c>
      <c r="C2773" t="s">
        <v>53</v>
      </c>
      <c r="D2773" t="s">
        <v>54</v>
      </c>
      <c r="E2773" t="s">
        <v>55</v>
      </c>
      <c r="F2773" t="s">
        <v>54</v>
      </c>
      <c r="G2773">
        <v>784.62</v>
      </c>
      <c r="H2773" t="s">
        <v>15</v>
      </c>
      <c r="I2773" t="s">
        <v>16</v>
      </c>
      <c r="J2773" t="s">
        <v>56</v>
      </c>
    </row>
    <row r="2774" spans="1:10" x14ac:dyDescent="0.35">
      <c r="A2774" t="s">
        <v>2960</v>
      </c>
      <c r="B2774" s="1">
        <v>46162</v>
      </c>
      <c r="C2774" t="s">
        <v>217</v>
      </c>
      <c r="D2774" t="s">
        <v>80</v>
      </c>
      <c r="E2774" t="s">
        <v>81</v>
      </c>
      <c r="F2774" t="s">
        <v>14</v>
      </c>
      <c r="G2774">
        <v>16.47</v>
      </c>
      <c r="H2774" t="s">
        <v>21</v>
      </c>
      <c r="I2774" t="s">
        <v>36</v>
      </c>
      <c r="J2774" t="s">
        <v>180</v>
      </c>
    </row>
    <row r="2775" spans="1:10" x14ac:dyDescent="0.35">
      <c r="A2775" t="s">
        <v>2961</v>
      </c>
      <c r="B2775" s="1">
        <v>46162</v>
      </c>
      <c r="C2775" t="s">
        <v>308</v>
      </c>
      <c r="D2775" t="s">
        <v>54</v>
      </c>
      <c r="E2775" t="s">
        <v>64</v>
      </c>
      <c r="F2775" t="s">
        <v>54</v>
      </c>
      <c r="G2775">
        <v>407.57</v>
      </c>
      <c r="H2775" t="s">
        <v>15</v>
      </c>
      <c r="I2775" t="s">
        <v>22</v>
      </c>
      <c r="J2775" t="s">
        <v>89</v>
      </c>
    </row>
    <row r="2776" spans="1:10" x14ac:dyDescent="0.35">
      <c r="A2776" t="s">
        <v>2962</v>
      </c>
      <c r="B2776" s="1">
        <v>46162</v>
      </c>
      <c r="C2776" t="s">
        <v>153</v>
      </c>
      <c r="D2776" t="s">
        <v>34</v>
      </c>
      <c r="E2776" t="s">
        <v>122</v>
      </c>
      <c r="F2776" t="s">
        <v>14</v>
      </c>
      <c r="G2776">
        <v>117.66</v>
      </c>
      <c r="H2776" t="s">
        <v>21</v>
      </c>
      <c r="I2776" t="s">
        <v>22</v>
      </c>
      <c r="J2776" t="s">
        <v>41</v>
      </c>
    </row>
    <row r="2777" spans="1:10" x14ac:dyDescent="0.35">
      <c r="A2777" t="s">
        <v>2963</v>
      </c>
      <c r="B2777" s="1">
        <v>46162</v>
      </c>
      <c r="C2777" t="s">
        <v>464</v>
      </c>
      <c r="D2777" t="s">
        <v>34</v>
      </c>
      <c r="E2777" t="s">
        <v>122</v>
      </c>
      <c r="F2777" t="s">
        <v>14</v>
      </c>
      <c r="G2777">
        <v>188.23</v>
      </c>
      <c r="H2777" t="s">
        <v>98</v>
      </c>
      <c r="I2777" t="s">
        <v>36</v>
      </c>
      <c r="J2777" t="s">
        <v>239</v>
      </c>
    </row>
    <row r="2778" spans="1:10" x14ac:dyDescent="0.35">
      <c r="A2778" t="s">
        <v>2964</v>
      </c>
      <c r="B2778" s="1">
        <v>46162</v>
      </c>
      <c r="C2778" t="s">
        <v>238</v>
      </c>
      <c r="D2778" t="s">
        <v>34</v>
      </c>
      <c r="E2778" t="s">
        <v>35</v>
      </c>
      <c r="F2778" t="s">
        <v>14</v>
      </c>
      <c r="G2778">
        <v>105.46</v>
      </c>
      <c r="H2778" t="s">
        <v>15</v>
      </c>
      <c r="I2778" t="s">
        <v>22</v>
      </c>
      <c r="J2778" t="s">
        <v>239</v>
      </c>
    </row>
    <row r="2779" spans="1:10" x14ac:dyDescent="0.35">
      <c r="A2779" t="s">
        <v>2965</v>
      </c>
      <c r="B2779" s="1">
        <v>46162</v>
      </c>
      <c r="C2779" t="s">
        <v>345</v>
      </c>
      <c r="D2779" t="s">
        <v>59</v>
      </c>
      <c r="E2779" t="s">
        <v>60</v>
      </c>
      <c r="F2779" t="s">
        <v>14</v>
      </c>
      <c r="G2779">
        <v>201.5</v>
      </c>
      <c r="H2779" t="s">
        <v>15</v>
      </c>
      <c r="I2779" t="s">
        <v>16</v>
      </c>
      <c r="J2779" t="s">
        <v>211</v>
      </c>
    </row>
    <row r="2780" spans="1:10" x14ac:dyDescent="0.35">
      <c r="A2780" t="s">
        <v>2966</v>
      </c>
      <c r="B2780" s="1">
        <v>46163</v>
      </c>
      <c r="C2780" t="s">
        <v>227</v>
      </c>
      <c r="D2780" t="s">
        <v>12</v>
      </c>
      <c r="E2780" t="s">
        <v>51</v>
      </c>
      <c r="F2780" t="s">
        <v>14</v>
      </c>
      <c r="G2780">
        <v>30.63</v>
      </c>
      <c r="H2780" t="s">
        <v>21</v>
      </c>
      <c r="I2780" t="s">
        <v>84</v>
      </c>
      <c r="J2780" t="s">
        <v>17</v>
      </c>
    </row>
    <row r="2781" spans="1:10" x14ac:dyDescent="0.35">
      <c r="A2781" t="s">
        <v>2967</v>
      </c>
      <c r="B2781" s="1">
        <v>46163</v>
      </c>
      <c r="C2781" t="s">
        <v>138</v>
      </c>
      <c r="D2781" t="s">
        <v>12</v>
      </c>
      <c r="E2781" t="s">
        <v>26</v>
      </c>
      <c r="F2781" t="s">
        <v>14</v>
      </c>
      <c r="G2781">
        <v>52.75</v>
      </c>
      <c r="H2781" t="s">
        <v>21</v>
      </c>
      <c r="I2781" t="s">
        <v>22</v>
      </c>
      <c r="J2781" t="s">
        <v>77</v>
      </c>
    </row>
    <row r="2782" spans="1:10" x14ac:dyDescent="0.35">
      <c r="A2782" t="s">
        <v>2968</v>
      </c>
      <c r="B2782" s="1">
        <v>46163</v>
      </c>
      <c r="C2782" t="s">
        <v>50</v>
      </c>
      <c r="D2782" t="s">
        <v>12</v>
      </c>
      <c r="E2782" t="s">
        <v>51</v>
      </c>
      <c r="F2782" t="s">
        <v>14</v>
      </c>
      <c r="G2782">
        <v>101.22</v>
      </c>
      <c r="H2782" t="s">
        <v>21</v>
      </c>
      <c r="I2782" t="s">
        <v>22</v>
      </c>
      <c r="J2782" t="s">
        <v>44</v>
      </c>
    </row>
    <row r="2783" spans="1:10" x14ac:dyDescent="0.35">
      <c r="A2783" t="s">
        <v>2969</v>
      </c>
      <c r="B2783" s="1">
        <v>46163</v>
      </c>
      <c r="C2783" t="s">
        <v>143</v>
      </c>
      <c r="D2783" t="s">
        <v>54</v>
      </c>
      <c r="E2783" t="s">
        <v>55</v>
      </c>
      <c r="F2783" t="s">
        <v>54</v>
      </c>
      <c r="G2783">
        <v>626.66999999999996</v>
      </c>
      <c r="H2783" t="s">
        <v>98</v>
      </c>
      <c r="I2783" t="s">
        <v>36</v>
      </c>
      <c r="J2783" t="s">
        <v>89</v>
      </c>
    </row>
    <row r="2784" spans="1:10" x14ac:dyDescent="0.35">
      <c r="A2784" t="s">
        <v>2970</v>
      </c>
      <c r="B2784" s="1">
        <v>46163</v>
      </c>
      <c r="C2784" t="s">
        <v>411</v>
      </c>
      <c r="D2784" t="s">
        <v>29</v>
      </c>
      <c r="E2784" t="s">
        <v>151</v>
      </c>
      <c r="F2784" t="s">
        <v>14</v>
      </c>
      <c r="G2784">
        <v>7.72</v>
      </c>
      <c r="H2784" t="s">
        <v>21</v>
      </c>
      <c r="I2784" t="s">
        <v>47</v>
      </c>
      <c r="J2784" t="s">
        <v>151</v>
      </c>
    </row>
    <row r="2785" spans="1:10" x14ac:dyDescent="0.35">
      <c r="A2785" t="s">
        <v>2971</v>
      </c>
      <c r="B2785" s="1">
        <v>46163</v>
      </c>
      <c r="C2785" t="s">
        <v>168</v>
      </c>
      <c r="D2785" t="s">
        <v>59</v>
      </c>
      <c r="E2785" t="s">
        <v>60</v>
      </c>
      <c r="F2785" t="s">
        <v>14</v>
      </c>
      <c r="G2785">
        <v>212.47</v>
      </c>
      <c r="H2785" t="s">
        <v>15</v>
      </c>
      <c r="I2785" t="s">
        <v>16</v>
      </c>
      <c r="J2785" t="s">
        <v>2972</v>
      </c>
    </row>
    <row r="2786" spans="1:10" x14ac:dyDescent="0.35">
      <c r="A2786" t="s">
        <v>2973</v>
      </c>
      <c r="B2786" s="1">
        <v>46163</v>
      </c>
      <c r="C2786" t="s">
        <v>68</v>
      </c>
      <c r="D2786" t="s">
        <v>69</v>
      </c>
      <c r="E2786" t="s">
        <v>70</v>
      </c>
      <c r="F2786" t="s">
        <v>14</v>
      </c>
      <c r="G2786">
        <v>650.84</v>
      </c>
      <c r="H2786" t="s">
        <v>21</v>
      </c>
      <c r="I2786" t="s">
        <v>22</v>
      </c>
      <c r="J2786" t="s">
        <v>71</v>
      </c>
    </row>
    <row r="2787" spans="1:10" x14ac:dyDescent="0.35">
      <c r="A2787" t="s">
        <v>2974</v>
      </c>
      <c r="B2787" s="1">
        <v>46163</v>
      </c>
      <c r="C2787" t="s">
        <v>824</v>
      </c>
      <c r="D2787" t="s">
        <v>69</v>
      </c>
      <c r="E2787" t="s">
        <v>233</v>
      </c>
      <c r="F2787" t="s">
        <v>14</v>
      </c>
      <c r="G2787">
        <v>476.3</v>
      </c>
      <c r="H2787" t="s">
        <v>15</v>
      </c>
      <c r="I2787" t="s">
        <v>22</v>
      </c>
      <c r="J2787" t="s">
        <v>133</v>
      </c>
    </row>
    <row r="2788" spans="1:10" x14ac:dyDescent="0.35">
      <c r="A2788" t="s">
        <v>2975</v>
      </c>
      <c r="B2788" s="1">
        <v>46164</v>
      </c>
      <c r="C2788" t="s">
        <v>50</v>
      </c>
      <c r="D2788" t="s">
        <v>12</v>
      </c>
      <c r="E2788" t="s">
        <v>51</v>
      </c>
      <c r="F2788" t="s">
        <v>14</v>
      </c>
      <c r="G2788">
        <v>65.459999999999994</v>
      </c>
      <c r="H2788" t="s">
        <v>21</v>
      </c>
      <c r="I2788" t="s">
        <v>36</v>
      </c>
      <c r="J2788" t="s">
        <v>44</v>
      </c>
    </row>
    <row r="2789" spans="1:10" x14ac:dyDescent="0.35">
      <c r="A2789" t="s">
        <v>2976</v>
      </c>
      <c r="B2789" s="1">
        <v>46164</v>
      </c>
      <c r="C2789" t="s">
        <v>184</v>
      </c>
      <c r="D2789" t="s">
        <v>59</v>
      </c>
      <c r="E2789" t="s">
        <v>185</v>
      </c>
      <c r="F2789" t="s">
        <v>14</v>
      </c>
      <c r="G2789">
        <v>198.5</v>
      </c>
      <c r="H2789" t="s">
        <v>15</v>
      </c>
      <c r="I2789" t="s">
        <v>22</v>
      </c>
      <c r="J2789" t="s">
        <v>61</v>
      </c>
    </row>
    <row r="2790" spans="1:10" x14ac:dyDescent="0.35">
      <c r="A2790" t="s">
        <v>2977</v>
      </c>
      <c r="B2790" s="1">
        <v>46165</v>
      </c>
      <c r="C2790" t="s">
        <v>121</v>
      </c>
      <c r="D2790" t="s">
        <v>34</v>
      </c>
      <c r="E2790" t="s">
        <v>122</v>
      </c>
      <c r="F2790" t="s">
        <v>14</v>
      </c>
      <c r="G2790">
        <v>135.6</v>
      </c>
      <c r="H2790" t="s">
        <v>15</v>
      </c>
      <c r="I2790" t="s">
        <v>16</v>
      </c>
      <c r="J2790" t="s">
        <v>123</v>
      </c>
    </row>
    <row r="2791" spans="1:10" x14ac:dyDescent="0.35">
      <c r="A2791" t="s">
        <v>2978</v>
      </c>
      <c r="B2791" s="1">
        <v>46165</v>
      </c>
      <c r="C2791" t="s">
        <v>46</v>
      </c>
      <c r="D2791" t="s">
        <v>12</v>
      </c>
      <c r="E2791" t="s">
        <v>13</v>
      </c>
      <c r="F2791" t="s">
        <v>14</v>
      </c>
      <c r="G2791">
        <v>29.05</v>
      </c>
      <c r="H2791" t="s">
        <v>15</v>
      </c>
      <c r="I2791" t="s">
        <v>47</v>
      </c>
      <c r="J2791" t="s">
        <v>48</v>
      </c>
    </row>
    <row r="2792" spans="1:10" x14ac:dyDescent="0.35">
      <c r="A2792" t="s">
        <v>2979</v>
      </c>
      <c r="B2792" s="1">
        <v>46165</v>
      </c>
      <c r="C2792" t="s">
        <v>269</v>
      </c>
      <c r="D2792" t="s">
        <v>34</v>
      </c>
      <c r="E2792" t="s">
        <v>35</v>
      </c>
      <c r="F2792" t="s">
        <v>14</v>
      </c>
      <c r="G2792">
        <v>69.849999999999994</v>
      </c>
      <c r="H2792" t="s">
        <v>15</v>
      </c>
      <c r="I2792" t="s">
        <v>36</v>
      </c>
      <c r="J2792" t="s">
        <v>123</v>
      </c>
    </row>
    <row r="2793" spans="1:10" x14ac:dyDescent="0.35">
      <c r="A2793" t="s">
        <v>2980</v>
      </c>
      <c r="B2793" s="1">
        <v>46166</v>
      </c>
      <c r="C2793" t="s">
        <v>543</v>
      </c>
      <c r="D2793" t="s">
        <v>69</v>
      </c>
      <c r="E2793" t="s">
        <v>70</v>
      </c>
      <c r="F2793" t="s">
        <v>14</v>
      </c>
      <c r="G2793">
        <v>141.94999999999999</v>
      </c>
      <c r="H2793" t="s">
        <v>15</v>
      </c>
      <c r="I2793" t="s">
        <v>22</v>
      </c>
      <c r="J2793" t="s">
        <v>292</v>
      </c>
    </row>
    <row r="2794" spans="1:10" x14ac:dyDescent="0.35">
      <c r="A2794" t="s">
        <v>2981</v>
      </c>
      <c r="B2794" s="1">
        <v>46166</v>
      </c>
      <c r="C2794" t="s">
        <v>58</v>
      </c>
      <c r="D2794" t="s">
        <v>59</v>
      </c>
      <c r="E2794" t="s">
        <v>60</v>
      </c>
      <c r="F2794" t="s">
        <v>14</v>
      </c>
      <c r="G2794">
        <v>270.64</v>
      </c>
      <c r="H2794" t="s">
        <v>15</v>
      </c>
      <c r="I2794" t="s">
        <v>47</v>
      </c>
      <c r="J2794" t="s">
        <v>61</v>
      </c>
    </row>
    <row r="2795" spans="1:10" x14ac:dyDescent="0.35">
      <c r="A2795" t="s">
        <v>2982</v>
      </c>
      <c r="B2795" s="1">
        <v>46166</v>
      </c>
      <c r="C2795" t="s">
        <v>11</v>
      </c>
      <c r="D2795" t="s">
        <v>12</v>
      </c>
      <c r="E2795" t="s">
        <v>13</v>
      </c>
      <c r="F2795" t="s">
        <v>14</v>
      </c>
      <c r="G2795">
        <v>67.94</v>
      </c>
      <c r="H2795" t="s">
        <v>21</v>
      </c>
      <c r="I2795" t="s">
        <v>22</v>
      </c>
      <c r="J2795" t="s">
        <v>17</v>
      </c>
    </row>
    <row r="2796" spans="1:10" x14ac:dyDescent="0.35">
      <c r="A2796" t="s">
        <v>2983</v>
      </c>
      <c r="B2796" s="1">
        <v>46166</v>
      </c>
      <c r="C2796" t="s">
        <v>248</v>
      </c>
      <c r="D2796" t="s">
        <v>80</v>
      </c>
      <c r="E2796" t="s">
        <v>81</v>
      </c>
      <c r="F2796" t="s">
        <v>14</v>
      </c>
      <c r="G2796">
        <v>59.59</v>
      </c>
      <c r="H2796" t="s">
        <v>15</v>
      </c>
      <c r="I2796" t="s">
        <v>22</v>
      </c>
      <c r="J2796" t="s">
        <v>161</v>
      </c>
    </row>
    <row r="2797" spans="1:10" x14ac:dyDescent="0.35">
      <c r="A2797" t="s">
        <v>2984</v>
      </c>
      <c r="B2797" s="1">
        <v>46166</v>
      </c>
      <c r="C2797" t="s">
        <v>109</v>
      </c>
      <c r="D2797" t="s">
        <v>34</v>
      </c>
      <c r="E2797" t="s">
        <v>35</v>
      </c>
      <c r="F2797" t="s">
        <v>14</v>
      </c>
      <c r="G2797">
        <v>122.08</v>
      </c>
      <c r="H2797" t="s">
        <v>15</v>
      </c>
      <c r="I2797" t="s">
        <v>47</v>
      </c>
      <c r="J2797" t="s">
        <v>41</v>
      </c>
    </row>
    <row r="2798" spans="1:10" x14ac:dyDescent="0.35">
      <c r="A2798" t="s">
        <v>2985</v>
      </c>
      <c r="B2798" s="1">
        <v>46166</v>
      </c>
      <c r="C2798" t="s">
        <v>251</v>
      </c>
      <c r="D2798" t="s">
        <v>29</v>
      </c>
      <c r="E2798" t="s">
        <v>151</v>
      </c>
      <c r="F2798" t="s">
        <v>14</v>
      </c>
      <c r="G2798">
        <v>42.22</v>
      </c>
      <c r="H2798" t="s">
        <v>15</v>
      </c>
      <c r="I2798" t="s">
        <v>22</v>
      </c>
      <c r="J2798" t="s">
        <v>31</v>
      </c>
    </row>
    <row r="2799" spans="1:10" x14ac:dyDescent="0.35">
      <c r="A2799" t="s">
        <v>2986</v>
      </c>
      <c r="B2799" s="1">
        <v>46166</v>
      </c>
      <c r="C2799" t="s">
        <v>308</v>
      </c>
      <c r="D2799" t="s">
        <v>54</v>
      </c>
      <c r="E2799" t="s">
        <v>64</v>
      </c>
      <c r="F2799" t="s">
        <v>54</v>
      </c>
      <c r="G2799">
        <v>396.7</v>
      </c>
      <c r="H2799" t="s">
        <v>15</v>
      </c>
      <c r="I2799" t="s">
        <v>36</v>
      </c>
      <c r="J2799" t="s">
        <v>89</v>
      </c>
    </row>
    <row r="2800" spans="1:10" x14ac:dyDescent="0.35">
      <c r="A2800" t="s">
        <v>2987</v>
      </c>
      <c r="B2800" s="1">
        <v>46166</v>
      </c>
      <c r="C2800" t="s">
        <v>130</v>
      </c>
      <c r="D2800" t="s">
        <v>12</v>
      </c>
      <c r="E2800" t="s">
        <v>26</v>
      </c>
      <c r="F2800" t="s">
        <v>14</v>
      </c>
      <c r="G2800">
        <v>63.15</v>
      </c>
      <c r="H2800" t="s">
        <v>21</v>
      </c>
      <c r="I2800" t="s">
        <v>22</v>
      </c>
      <c r="J2800" t="s">
        <v>48</v>
      </c>
    </row>
    <row r="2801" spans="1:10" x14ac:dyDescent="0.35">
      <c r="A2801" t="s">
        <v>2988</v>
      </c>
      <c r="B2801" s="1">
        <v>46167</v>
      </c>
      <c r="C2801" t="s">
        <v>168</v>
      </c>
      <c r="D2801" t="s">
        <v>59</v>
      </c>
      <c r="E2801" t="s">
        <v>60</v>
      </c>
      <c r="F2801" t="s">
        <v>14</v>
      </c>
      <c r="G2801">
        <v>226.41</v>
      </c>
      <c r="H2801" t="s">
        <v>15</v>
      </c>
      <c r="I2801" t="s">
        <v>22</v>
      </c>
      <c r="J2801" t="s">
        <v>170</v>
      </c>
    </row>
    <row r="2802" spans="1:10" x14ac:dyDescent="0.35">
      <c r="A2802" t="s">
        <v>2989</v>
      </c>
      <c r="B2802" s="1">
        <v>46167</v>
      </c>
      <c r="C2802" t="s">
        <v>113</v>
      </c>
      <c r="D2802" t="s">
        <v>34</v>
      </c>
      <c r="E2802" t="s">
        <v>40</v>
      </c>
      <c r="F2802" t="s">
        <v>14</v>
      </c>
      <c r="G2802">
        <v>177.86</v>
      </c>
      <c r="H2802" t="s">
        <v>98</v>
      </c>
      <c r="I2802" t="s">
        <v>22</v>
      </c>
      <c r="J2802" t="s">
        <v>37</v>
      </c>
    </row>
    <row r="2803" spans="1:10" x14ac:dyDescent="0.35">
      <c r="A2803" t="s">
        <v>2990</v>
      </c>
      <c r="B2803" s="1">
        <v>46167</v>
      </c>
      <c r="C2803" t="s">
        <v>229</v>
      </c>
      <c r="D2803" t="s">
        <v>54</v>
      </c>
      <c r="E2803" t="s">
        <v>64</v>
      </c>
      <c r="F2803" t="s">
        <v>54</v>
      </c>
      <c r="G2803">
        <v>328.49</v>
      </c>
      <c r="H2803" t="s">
        <v>21</v>
      </c>
      <c r="I2803" t="s">
        <v>22</v>
      </c>
      <c r="J2803" t="s">
        <v>56</v>
      </c>
    </row>
    <row r="2804" spans="1:10" x14ac:dyDescent="0.35">
      <c r="A2804" t="s">
        <v>2991</v>
      </c>
      <c r="B2804" s="1">
        <v>46167</v>
      </c>
      <c r="C2804" t="s">
        <v>262</v>
      </c>
      <c r="D2804" t="s">
        <v>101</v>
      </c>
      <c r="E2804" t="s">
        <v>244</v>
      </c>
      <c r="F2804" t="s">
        <v>14</v>
      </c>
      <c r="G2804">
        <v>62.39</v>
      </c>
      <c r="H2804" t="s">
        <v>15</v>
      </c>
      <c r="I2804" t="s">
        <v>16</v>
      </c>
      <c r="J2804" t="s">
        <v>136</v>
      </c>
    </row>
    <row r="2805" spans="1:10" x14ac:dyDescent="0.35">
      <c r="A2805" t="s">
        <v>2992</v>
      </c>
      <c r="B2805" s="1">
        <v>46167</v>
      </c>
      <c r="C2805" t="s">
        <v>269</v>
      </c>
      <c r="D2805" t="s">
        <v>34</v>
      </c>
      <c r="E2805" t="s">
        <v>35</v>
      </c>
      <c r="F2805" t="s">
        <v>14</v>
      </c>
      <c r="G2805">
        <v>62.84</v>
      </c>
      <c r="H2805" t="s">
        <v>15</v>
      </c>
      <c r="I2805" t="s">
        <v>36</v>
      </c>
      <c r="J2805" t="s">
        <v>123</v>
      </c>
    </row>
    <row r="2806" spans="1:10" x14ac:dyDescent="0.35">
      <c r="A2806" t="s">
        <v>2993</v>
      </c>
      <c r="B2806" s="1">
        <v>46167</v>
      </c>
      <c r="C2806" t="s">
        <v>308</v>
      </c>
      <c r="D2806" t="s">
        <v>54</v>
      </c>
      <c r="E2806" t="s">
        <v>64</v>
      </c>
      <c r="F2806" t="s">
        <v>54</v>
      </c>
      <c r="G2806">
        <v>349.03</v>
      </c>
      <c r="H2806" t="s">
        <v>15</v>
      </c>
      <c r="I2806" t="s">
        <v>84</v>
      </c>
      <c r="J2806" t="s">
        <v>89</v>
      </c>
    </row>
    <row r="2807" spans="1:10" x14ac:dyDescent="0.35">
      <c r="A2807" t="s">
        <v>2994</v>
      </c>
      <c r="B2807" s="1">
        <v>46167</v>
      </c>
      <c r="C2807" t="s">
        <v>76</v>
      </c>
      <c r="D2807" t="s">
        <v>12</v>
      </c>
      <c r="E2807" t="s">
        <v>13</v>
      </c>
      <c r="F2807" t="s">
        <v>14</v>
      </c>
      <c r="G2807">
        <v>22.58</v>
      </c>
      <c r="H2807" t="s">
        <v>15</v>
      </c>
      <c r="I2807" t="s">
        <v>22</v>
      </c>
      <c r="J2807" t="s">
        <v>77</v>
      </c>
    </row>
    <row r="2808" spans="1:10" x14ac:dyDescent="0.35">
      <c r="A2808" t="s">
        <v>2995</v>
      </c>
      <c r="B2808" s="1">
        <v>46168</v>
      </c>
      <c r="C2808" t="s">
        <v>140</v>
      </c>
      <c r="D2808" t="s">
        <v>80</v>
      </c>
      <c r="E2808" t="s">
        <v>81</v>
      </c>
      <c r="F2808" t="s">
        <v>14</v>
      </c>
      <c r="G2808">
        <v>128.31</v>
      </c>
      <c r="H2808" t="s">
        <v>15</v>
      </c>
      <c r="I2808" t="s">
        <v>22</v>
      </c>
      <c r="J2808" t="s">
        <v>141</v>
      </c>
    </row>
    <row r="2809" spans="1:10" x14ac:dyDescent="0.35">
      <c r="A2809" t="s">
        <v>2996</v>
      </c>
      <c r="B2809" s="1">
        <v>46168</v>
      </c>
      <c r="C2809" t="s">
        <v>88</v>
      </c>
      <c r="D2809" t="s">
        <v>54</v>
      </c>
      <c r="E2809" t="s">
        <v>74</v>
      </c>
      <c r="F2809" t="s">
        <v>54</v>
      </c>
      <c r="G2809">
        <v>2200.19</v>
      </c>
      <c r="H2809" t="s">
        <v>15</v>
      </c>
      <c r="I2809" t="s">
        <v>36</v>
      </c>
      <c r="J2809" t="s">
        <v>89</v>
      </c>
    </row>
    <row r="2810" spans="1:10" x14ac:dyDescent="0.35">
      <c r="A2810" t="s">
        <v>2997</v>
      </c>
      <c r="B2810" s="1">
        <v>46168</v>
      </c>
      <c r="C2810" t="s">
        <v>109</v>
      </c>
      <c r="D2810" t="s">
        <v>34</v>
      </c>
      <c r="E2810" t="s">
        <v>35</v>
      </c>
      <c r="F2810" t="s">
        <v>14</v>
      </c>
      <c r="G2810">
        <v>267.24</v>
      </c>
      <c r="H2810" t="s">
        <v>15</v>
      </c>
      <c r="I2810" t="s">
        <v>36</v>
      </c>
      <c r="J2810" t="s">
        <v>41</v>
      </c>
    </row>
    <row r="2811" spans="1:10" x14ac:dyDescent="0.35">
      <c r="A2811" t="s">
        <v>2998</v>
      </c>
      <c r="B2811" s="1">
        <v>46168</v>
      </c>
      <c r="C2811" t="s">
        <v>229</v>
      </c>
      <c r="D2811" t="s">
        <v>54</v>
      </c>
      <c r="E2811" t="s">
        <v>64</v>
      </c>
      <c r="F2811" t="s">
        <v>54</v>
      </c>
      <c r="G2811">
        <v>318.20999999999998</v>
      </c>
      <c r="H2811" t="s">
        <v>15</v>
      </c>
      <c r="I2811" t="s">
        <v>36</v>
      </c>
      <c r="J2811" t="s">
        <v>56</v>
      </c>
    </row>
    <row r="2812" spans="1:10" x14ac:dyDescent="0.35">
      <c r="A2812" t="s">
        <v>2999</v>
      </c>
      <c r="B2812" s="1">
        <v>46168</v>
      </c>
      <c r="C2812" t="s">
        <v>19</v>
      </c>
      <c r="D2812" t="s">
        <v>12</v>
      </c>
      <c r="E2812" t="s">
        <v>13</v>
      </c>
      <c r="F2812" t="s">
        <v>14</v>
      </c>
      <c r="G2812">
        <v>21.67</v>
      </c>
      <c r="H2812" t="s">
        <v>21</v>
      </c>
      <c r="I2812" t="s">
        <v>22</v>
      </c>
      <c r="J2812" t="s">
        <v>23</v>
      </c>
    </row>
    <row r="2813" spans="1:10" x14ac:dyDescent="0.35">
      <c r="A2813" t="s">
        <v>3000</v>
      </c>
      <c r="B2813" s="1">
        <v>46168</v>
      </c>
      <c r="C2813" t="s">
        <v>138</v>
      </c>
      <c r="D2813" t="s">
        <v>12</v>
      </c>
      <c r="E2813" t="s">
        <v>26</v>
      </c>
      <c r="F2813" t="s">
        <v>14</v>
      </c>
      <c r="G2813">
        <v>98.32</v>
      </c>
      <c r="H2813" t="s">
        <v>15</v>
      </c>
      <c r="I2813" t="s">
        <v>22</v>
      </c>
      <c r="J2813" t="s">
        <v>77</v>
      </c>
    </row>
    <row r="2814" spans="1:10" x14ac:dyDescent="0.35">
      <c r="A2814" t="s">
        <v>3001</v>
      </c>
      <c r="B2814" s="1">
        <v>46168</v>
      </c>
      <c r="C2814" t="s">
        <v>269</v>
      </c>
      <c r="D2814" t="s">
        <v>34</v>
      </c>
      <c r="E2814" t="s">
        <v>35</v>
      </c>
      <c r="F2814" t="s">
        <v>14</v>
      </c>
      <c r="G2814">
        <v>107.74</v>
      </c>
      <c r="H2814" t="s">
        <v>15</v>
      </c>
      <c r="I2814" t="s">
        <v>22</v>
      </c>
      <c r="J2814" t="s">
        <v>123</v>
      </c>
    </row>
    <row r="2815" spans="1:10" x14ac:dyDescent="0.35">
      <c r="A2815" t="s">
        <v>3002</v>
      </c>
      <c r="B2815" s="1">
        <v>46168</v>
      </c>
      <c r="C2815" t="s">
        <v>155</v>
      </c>
      <c r="D2815" t="s">
        <v>12</v>
      </c>
      <c r="E2815" t="s">
        <v>51</v>
      </c>
      <c r="F2815" t="s">
        <v>14</v>
      </c>
      <c r="G2815">
        <v>38.81</v>
      </c>
      <c r="H2815" t="s">
        <v>21</v>
      </c>
      <c r="I2815" t="s">
        <v>47</v>
      </c>
      <c r="J2815" t="s">
        <v>48</v>
      </c>
    </row>
    <row r="2816" spans="1:10" x14ac:dyDescent="0.35">
      <c r="A2816" t="s">
        <v>3003</v>
      </c>
      <c r="B2816" s="1">
        <v>46169</v>
      </c>
      <c r="C2816" t="s">
        <v>163</v>
      </c>
      <c r="D2816" t="s">
        <v>80</v>
      </c>
      <c r="E2816" t="s">
        <v>92</v>
      </c>
      <c r="F2816" t="s">
        <v>14</v>
      </c>
      <c r="G2816">
        <v>100</v>
      </c>
      <c r="H2816" t="s">
        <v>15</v>
      </c>
      <c r="I2816" t="s">
        <v>47</v>
      </c>
      <c r="J2816" t="s">
        <v>118</v>
      </c>
    </row>
    <row r="2817" spans="1:10" x14ac:dyDescent="0.35">
      <c r="A2817" t="s">
        <v>3004</v>
      </c>
      <c r="B2817" s="1">
        <v>46169</v>
      </c>
      <c r="C2817" t="s">
        <v>198</v>
      </c>
      <c r="D2817" t="s">
        <v>59</v>
      </c>
      <c r="E2817" t="s">
        <v>199</v>
      </c>
      <c r="F2817" t="s">
        <v>14</v>
      </c>
      <c r="G2817">
        <v>218.89</v>
      </c>
      <c r="H2817" t="s">
        <v>21</v>
      </c>
      <c r="I2817" t="s">
        <v>47</v>
      </c>
      <c r="J2817" t="s">
        <v>61</v>
      </c>
    </row>
    <row r="2818" spans="1:10" x14ac:dyDescent="0.35">
      <c r="A2818" t="s">
        <v>3005</v>
      </c>
      <c r="B2818" s="1">
        <v>46169</v>
      </c>
      <c r="C2818" t="s">
        <v>46</v>
      </c>
      <c r="D2818" t="s">
        <v>12</v>
      </c>
      <c r="E2818" t="s">
        <v>13</v>
      </c>
      <c r="F2818" t="s">
        <v>14</v>
      </c>
      <c r="G2818">
        <v>9.94</v>
      </c>
      <c r="H2818" t="s">
        <v>21</v>
      </c>
      <c r="I2818" t="s">
        <v>16</v>
      </c>
      <c r="J2818" t="s">
        <v>48</v>
      </c>
    </row>
    <row r="2819" spans="1:10" x14ac:dyDescent="0.35">
      <c r="A2819" t="s">
        <v>3006</v>
      </c>
      <c r="B2819" s="1">
        <v>46169</v>
      </c>
      <c r="C2819" t="s">
        <v>331</v>
      </c>
      <c r="D2819" t="s">
        <v>29</v>
      </c>
      <c r="E2819" t="s">
        <v>95</v>
      </c>
      <c r="F2819" t="s">
        <v>14</v>
      </c>
      <c r="G2819">
        <v>6.61</v>
      </c>
      <c r="H2819" t="s">
        <v>15</v>
      </c>
      <c r="I2819" t="s">
        <v>47</v>
      </c>
      <c r="J2819" t="s">
        <v>151</v>
      </c>
    </row>
    <row r="2820" spans="1:10" x14ac:dyDescent="0.35">
      <c r="A2820" t="s">
        <v>3007</v>
      </c>
      <c r="B2820" s="1">
        <v>46169</v>
      </c>
      <c r="C2820" t="s">
        <v>111</v>
      </c>
      <c r="D2820" t="s">
        <v>12</v>
      </c>
      <c r="E2820" t="s">
        <v>26</v>
      </c>
      <c r="F2820" t="s">
        <v>14</v>
      </c>
      <c r="G2820">
        <v>32.590000000000003</v>
      </c>
      <c r="H2820" t="s">
        <v>21</v>
      </c>
      <c r="I2820" t="s">
        <v>47</v>
      </c>
      <c r="J2820" t="s">
        <v>23</v>
      </c>
    </row>
    <row r="2821" spans="1:10" x14ac:dyDescent="0.35">
      <c r="A2821" t="s">
        <v>3008</v>
      </c>
      <c r="B2821" s="1">
        <v>46170</v>
      </c>
      <c r="C2821" t="s">
        <v>179</v>
      </c>
      <c r="D2821" t="s">
        <v>80</v>
      </c>
      <c r="E2821" t="s">
        <v>117</v>
      </c>
      <c r="F2821" t="s">
        <v>14</v>
      </c>
      <c r="G2821">
        <v>127.49</v>
      </c>
      <c r="H2821" t="s">
        <v>21</v>
      </c>
      <c r="I2821" t="s">
        <v>47</v>
      </c>
      <c r="J2821" t="s">
        <v>180</v>
      </c>
    </row>
    <row r="2822" spans="1:10" x14ac:dyDescent="0.35">
      <c r="A2822" t="s">
        <v>3009</v>
      </c>
      <c r="B2822" s="1">
        <v>46170</v>
      </c>
      <c r="C2822" t="s">
        <v>229</v>
      </c>
      <c r="D2822" t="s">
        <v>54</v>
      </c>
      <c r="E2822" t="s">
        <v>64</v>
      </c>
      <c r="F2822" t="s">
        <v>54</v>
      </c>
      <c r="G2822">
        <v>296.17</v>
      </c>
      <c r="H2822" t="s">
        <v>15</v>
      </c>
      <c r="I2822" t="s">
        <v>22</v>
      </c>
      <c r="J2822" t="s">
        <v>56</v>
      </c>
    </row>
    <row r="2823" spans="1:10" x14ac:dyDescent="0.35">
      <c r="A2823" t="s">
        <v>3010</v>
      </c>
      <c r="B2823" s="1">
        <v>46171</v>
      </c>
      <c r="C2823" t="s">
        <v>206</v>
      </c>
      <c r="D2823" t="s">
        <v>29</v>
      </c>
      <c r="E2823" t="s">
        <v>95</v>
      </c>
      <c r="F2823" t="s">
        <v>14</v>
      </c>
      <c r="G2823">
        <v>32.94</v>
      </c>
      <c r="H2823" t="s">
        <v>21</v>
      </c>
      <c r="I2823" t="s">
        <v>47</v>
      </c>
      <c r="J2823" t="s">
        <v>31</v>
      </c>
    </row>
    <row r="2824" spans="1:10" x14ac:dyDescent="0.35">
      <c r="A2824" t="s">
        <v>3011</v>
      </c>
      <c r="B2824" s="1">
        <v>46171</v>
      </c>
      <c r="C2824" t="s">
        <v>215</v>
      </c>
      <c r="D2824" t="s">
        <v>80</v>
      </c>
      <c r="E2824" t="s">
        <v>117</v>
      </c>
      <c r="F2824" t="s">
        <v>14</v>
      </c>
      <c r="G2824">
        <v>91.94</v>
      </c>
      <c r="H2824" t="s">
        <v>98</v>
      </c>
      <c r="I2824" t="s">
        <v>16</v>
      </c>
      <c r="J2824" t="s">
        <v>141</v>
      </c>
    </row>
    <row r="2825" spans="1:10" x14ac:dyDescent="0.35">
      <c r="A2825" t="s">
        <v>3012</v>
      </c>
      <c r="B2825" s="1">
        <v>46171</v>
      </c>
      <c r="C2825" t="s">
        <v>220</v>
      </c>
      <c r="D2825" t="s">
        <v>59</v>
      </c>
      <c r="E2825" t="s">
        <v>199</v>
      </c>
      <c r="F2825" t="s">
        <v>14</v>
      </c>
      <c r="G2825">
        <v>185.3</v>
      </c>
      <c r="H2825" t="s">
        <v>21</v>
      </c>
      <c r="I2825" t="s">
        <v>47</v>
      </c>
      <c r="J2825" t="s">
        <v>211</v>
      </c>
    </row>
    <row r="2826" spans="1:10" x14ac:dyDescent="0.35">
      <c r="A2826" t="s">
        <v>3013</v>
      </c>
      <c r="B2826" s="1">
        <v>46171</v>
      </c>
      <c r="C2826" t="s">
        <v>210</v>
      </c>
      <c r="D2826" t="s">
        <v>59</v>
      </c>
      <c r="E2826" t="s">
        <v>185</v>
      </c>
      <c r="F2826" t="s">
        <v>14</v>
      </c>
      <c r="G2826">
        <v>447.34</v>
      </c>
      <c r="H2826" t="s">
        <v>98</v>
      </c>
      <c r="I2826" t="s">
        <v>47</v>
      </c>
      <c r="J2826" t="s">
        <v>211</v>
      </c>
    </row>
    <row r="2827" spans="1:10" x14ac:dyDescent="0.35">
      <c r="A2827" t="s">
        <v>3014</v>
      </c>
      <c r="B2827" s="1">
        <v>46171</v>
      </c>
      <c r="C2827" t="s">
        <v>215</v>
      </c>
      <c r="D2827" t="s">
        <v>80</v>
      </c>
      <c r="E2827" t="s">
        <v>117</v>
      </c>
      <c r="F2827" t="s">
        <v>14</v>
      </c>
      <c r="G2827">
        <v>50.06</v>
      </c>
      <c r="H2827" t="s">
        <v>21</v>
      </c>
      <c r="I2827" t="s">
        <v>84</v>
      </c>
      <c r="J2827" t="s">
        <v>141</v>
      </c>
    </row>
    <row r="2828" spans="1:10" x14ac:dyDescent="0.35">
      <c r="A2828" t="s">
        <v>3015</v>
      </c>
      <c r="B2828" s="1">
        <v>46171</v>
      </c>
      <c r="C2828" t="s">
        <v>445</v>
      </c>
      <c r="D2828" t="s">
        <v>101</v>
      </c>
      <c r="E2828" t="s">
        <v>244</v>
      </c>
      <c r="F2828" t="s">
        <v>14</v>
      </c>
      <c r="G2828">
        <v>30.82</v>
      </c>
      <c r="H2828" t="s">
        <v>15</v>
      </c>
      <c r="I2828" t="s">
        <v>36</v>
      </c>
      <c r="J2828" t="s">
        <v>103</v>
      </c>
    </row>
    <row r="2829" spans="1:10" x14ac:dyDescent="0.35">
      <c r="A2829" t="s">
        <v>3016</v>
      </c>
      <c r="B2829" s="1">
        <v>46172</v>
      </c>
      <c r="C2829" t="s">
        <v>43</v>
      </c>
      <c r="D2829" t="s">
        <v>12</v>
      </c>
      <c r="E2829" t="s">
        <v>26</v>
      </c>
      <c r="F2829" t="s">
        <v>14</v>
      </c>
      <c r="G2829">
        <v>22.4</v>
      </c>
      <c r="H2829" t="s">
        <v>21</v>
      </c>
      <c r="I2829" t="s">
        <v>36</v>
      </c>
      <c r="J2829" t="s">
        <v>44</v>
      </c>
    </row>
    <row r="2830" spans="1:10" x14ac:dyDescent="0.35">
      <c r="A2830" t="s">
        <v>3017</v>
      </c>
      <c r="B2830" s="1">
        <v>46172</v>
      </c>
      <c r="C2830" t="s">
        <v>76</v>
      </c>
      <c r="D2830" t="s">
        <v>12</v>
      </c>
      <c r="E2830" t="s">
        <v>13</v>
      </c>
      <c r="F2830" t="s">
        <v>14</v>
      </c>
      <c r="G2830">
        <v>91.43</v>
      </c>
      <c r="H2830" t="s">
        <v>21</v>
      </c>
      <c r="I2830" t="s">
        <v>84</v>
      </c>
      <c r="J2830" t="s">
        <v>77</v>
      </c>
    </row>
    <row r="2831" spans="1:10" x14ac:dyDescent="0.35">
      <c r="A2831" t="s">
        <v>3018</v>
      </c>
      <c r="B2831" s="1">
        <v>46172</v>
      </c>
      <c r="C2831" t="s">
        <v>269</v>
      </c>
      <c r="D2831" t="s">
        <v>34</v>
      </c>
      <c r="E2831" t="s">
        <v>35</v>
      </c>
      <c r="F2831" t="s">
        <v>14</v>
      </c>
      <c r="G2831">
        <v>119.18</v>
      </c>
      <c r="H2831" t="s">
        <v>21</v>
      </c>
      <c r="I2831" t="s">
        <v>22</v>
      </c>
      <c r="J2831" t="s">
        <v>123</v>
      </c>
    </row>
    <row r="2832" spans="1:10" x14ac:dyDescent="0.35">
      <c r="A2832" t="s">
        <v>3019</v>
      </c>
      <c r="B2832" s="1">
        <v>46172</v>
      </c>
      <c r="C2832" t="s">
        <v>39</v>
      </c>
      <c r="D2832" t="s">
        <v>34</v>
      </c>
      <c r="E2832" t="s">
        <v>40</v>
      </c>
      <c r="F2832" t="s">
        <v>14</v>
      </c>
      <c r="G2832">
        <v>88.08</v>
      </c>
      <c r="H2832" t="s">
        <v>15</v>
      </c>
      <c r="I2832" t="s">
        <v>47</v>
      </c>
      <c r="J2832" t="s">
        <v>41</v>
      </c>
    </row>
    <row r="2833" spans="1:10" x14ac:dyDescent="0.35">
      <c r="A2833" t="s">
        <v>3020</v>
      </c>
      <c r="B2833" s="1">
        <v>46173</v>
      </c>
      <c r="C2833" t="s">
        <v>298</v>
      </c>
      <c r="D2833" t="s">
        <v>59</v>
      </c>
      <c r="E2833" t="s">
        <v>185</v>
      </c>
      <c r="F2833" t="s">
        <v>14</v>
      </c>
      <c r="G2833">
        <v>186.73</v>
      </c>
      <c r="H2833" t="s">
        <v>15</v>
      </c>
      <c r="I2833" t="s">
        <v>16</v>
      </c>
      <c r="J2833" t="s">
        <v>170</v>
      </c>
    </row>
    <row r="2834" spans="1:10" x14ac:dyDescent="0.35">
      <c r="A2834" t="s">
        <v>3021</v>
      </c>
      <c r="B2834" s="1">
        <v>46173</v>
      </c>
      <c r="C2834" t="s">
        <v>543</v>
      </c>
      <c r="D2834" t="s">
        <v>69</v>
      </c>
      <c r="E2834" t="s">
        <v>70</v>
      </c>
      <c r="F2834" t="s">
        <v>14</v>
      </c>
      <c r="G2834">
        <v>314.3</v>
      </c>
      <c r="H2834" t="s">
        <v>15</v>
      </c>
      <c r="I2834" t="s">
        <v>47</v>
      </c>
      <c r="J2834" t="s">
        <v>292</v>
      </c>
    </row>
    <row r="2835" spans="1:10" x14ac:dyDescent="0.35">
      <c r="A2835" t="s">
        <v>3022</v>
      </c>
      <c r="B2835" s="1">
        <v>46173</v>
      </c>
      <c r="C2835" t="s">
        <v>308</v>
      </c>
      <c r="D2835" t="s">
        <v>54</v>
      </c>
      <c r="E2835" t="s">
        <v>64</v>
      </c>
      <c r="F2835" t="s">
        <v>54</v>
      </c>
      <c r="G2835">
        <v>360.92</v>
      </c>
      <c r="H2835" t="s">
        <v>21</v>
      </c>
      <c r="I2835" t="s">
        <v>36</v>
      </c>
      <c r="J2835" t="s">
        <v>89</v>
      </c>
    </row>
    <row r="2836" spans="1:10" x14ac:dyDescent="0.35">
      <c r="A2836" t="s">
        <v>3023</v>
      </c>
      <c r="B2836" s="1">
        <v>46173</v>
      </c>
      <c r="C2836" t="s">
        <v>298</v>
      </c>
      <c r="D2836" t="s">
        <v>59</v>
      </c>
      <c r="E2836" t="s">
        <v>185</v>
      </c>
      <c r="F2836" t="s">
        <v>14</v>
      </c>
      <c r="G2836">
        <v>190.49</v>
      </c>
      <c r="H2836" t="s">
        <v>15</v>
      </c>
      <c r="I2836" t="s">
        <v>22</v>
      </c>
      <c r="J2836" t="s">
        <v>170</v>
      </c>
    </row>
    <row r="2837" spans="1:10" x14ac:dyDescent="0.35">
      <c r="A2837" t="s">
        <v>3024</v>
      </c>
      <c r="B2837" s="1">
        <v>46173</v>
      </c>
      <c r="C2837" t="s">
        <v>206</v>
      </c>
      <c r="D2837" t="s">
        <v>29</v>
      </c>
      <c r="E2837" t="s">
        <v>95</v>
      </c>
      <c r="F2837" t="s">
        <v>14</v>
      </c>
      <c r="G2837">
        <v>44.6</v>
      </c>
      <c r="H2837" t="s">
        <v>15</v>
      </c>
      <c r="I2837" t="s">
        <v>36</v>
      </c>
      <c r="J2837" t="s">
        <v>31</v>
      </c>
    </row>
    <row r="2838" spans="1:10" x14ac:dyDescent="0.35">
      <c r="A2838" t="s">
        <v>3025</v>
      </c>
      <c r="B2838" s="1">
        <v>46173</v>
      </c>
      <c r="C2838" t="s">
        <v>411</v>
      </c>
      <c r="D2838" t="s">
        <v>29</v>
      </c>
      <c r="E2838" t="s">
        <v>151</v>
      </c>
      <c r="F2838" t="s">
        <v>14</v>
      </c>
      <c r="G2838">
        <v>29.52</v>
      </c>
      <c r="H2838" t="s">
        <v>15</v>
      </c>
      <c r="I2838" t="s">
        <v>47</v>
      </c>
      <c r="J2838" t="s">
        <v>151</v>
      </c>
    </row>
    <row r="2839" spans="1:10" x14ac:dyDescent="0.35">
      <c r="A2839" t="s">
        <v>3026</v>
      </c>
      <c r="B2839" s="1">
        <v>46173</v>
      </c>
      <c r="C2839" t="s">
        <v>125</v>
      </c>
      <c r="D2839" t="s">
        <v>12</v>
      </c>
      <c r="E2839" t="s">
        <v>13</v>
      </c>
      <c r="F2839" t="s">
        <v>14</v>
      </c>
      <c r="G2839">
        <v>112.91</v>
      </c>
      <c r="H2839" t="s">
        <v>15</v>
      </c>
      <c r="I2839" t="s">
        <v>84</v>
      </c>
      <c r="J2839" t="s">
        <v>44</v>
      </c>
    </row>
    <row r="2840" spans="1:10" x14ac:dyDescent="0.35">
      <c r="A2840" t="s">
        <v>3027</v>
      </c>
      <c r="B2840" s="1">
        <v>46173</v>
      </c>
      <c r="C2840" t="s">
        <v>109</v>
      </c>
      <c r="D2840" t="s">
        <v>34</v>
      </c>
      <c r="E2840" t="s">
        <v>35</v>
      </c>
      <c r="F2840" t="s">
        <v>14</v>
      </c>
      <c r="G2840">
        <v>291.45</v>
      </c>
      <c r="H2840" t="s">
        <v>15</v>
      </c>
      <c r="I2840" t="s">
        <v>36</v>
      </c>
      <c r="J2840" t="s">
        <v>41</v>
      </c>
    </row>
    <row r="2841" spans="1:10" x14ac:dyDescent="0.35">
      <c r="A2841" t="s">
        <v>3028</v>
      </c>
      <c r="B2841" s="1">
        <v>46173</v>
      </c>
      <c r="C2841" t="s">
        <v>192</v>
      </c>
      <c r="D2841" t="s">
        <v>80</v>
      </c>
      <c r="E2841" t="s">
        <v>92</v>
      </c>
      <c r="F2841" t="s">
        <v>14</v>
      </c>
      <c r="G2841">
        <v>148.94</v>
      </c>
      <c r="H2841" t="s">
        <v>15</v>
      </c>
      <c r="I2841" t="s">
        <v>36</v>
      </c>
      <c r="J2841" t="s">
        <v>180</v>
      </c>
    </row>
    <row r="2842" spans="1:10" x14ac:dyDescent="0.35">
      <c r="A2842" t="s">
        <v>3029</v>
      </c>
      <c r="B2842" s="1">
        <v>46173</v>
      </c>
      <c r="C2842" t="s">
        <v>43</v>
      </c>
      <c r="D2842" t="s">
        <v>12</v>
      </c>
      <c r="E2842" t="s">
        <v>26</v>
      </c>
      <c r="F2842" t="s">
        <v>14</v>
      </c>
      <c r="G2842">
        <v>39.99</v>
      </c>
      <c r="H2842" t="s">
        <v>15</v>
      </c>
      <c r="I2842" t="s">
        <v>22</v>
      </c>
      <c r="J2842" t="s">
        <v>44</v>
      </c>
    </row>
    <row r="2843" spans="1:10" x14ac:dyDescent="0.35">
      <c r="A2843" t="s">
        <v>3030</v>
      </c>
      <c r="B2843" s="1">
        <v>46173</v>
      </c>
      <c r="C2843" t="s">
        <v>272</v>
      </c>
      <c r="D2843" t="s">
        <v>54</v>
      </c>
      <c r="E2843" t="s">
        <v>55</v>
      </c>
      <c r="F2843" t="s">
        <v>54</v>
      </c>
      <c r="G2843">
        <v>698.32</v>
      </c>
      <c r="H2843" t="s">
        <v>98</v>
      </c>
      <c r="I2843" t="s">
        <v>84</v>
      </c>
      <c r="J2843" t="s">
        <v>65</v>
      </c>
    </row>
    <row r="2844" spans="1:10" x14ac:dyDescent="0.35">
      <c r="A2844" t="s">
        <v>3031</v>
      </c>
      <c r="B2844" s="1">
        <v>46174</v>
      </c>
      <c r="C2844" t="s">
        <v>155</v>
      </c>
      <c r="D2844" t="s">
        <v>12</v>
      </c>
      <c r="E2844" t="s">
        <v>51</v>
      </c>
      <c r="F2844" t="s">
        <v>14</v>
      </c>
      <c r="G2844">
        <v>70.17</v>
      </c>
      <c r="H2844" t="s">
        <v>15</v>
      </c>
      <c r="I2844" t="s">
        <v>22</v>
      </c>
      <c r="J2844" t="s">
        <v>48</v>
      </c>
    </row>
    <row r="2845" spans="1:10" x14ac:dyDescent="0.35">
      <c r="A2845" t="s">
        <v>3032</v>
      </c>
      <c r="B2845" s="1">
        <v>46174</v>
      </c>
      <c r="C2845" t="s">
        <v>94</v>
      </c>
      <c r="D2845" t="s">
        <v>29</v>
      </c>
      <c r="E2845" t="s">
        <v>95</v>
      </c>
      <c r="F2845" t="s">
        <v>14</v>
      </c>
      <c r="G2845">
        <v>48.11</v>
      </c>
      <c r="H2845" t="s">
        <v>98</v>
      </c>
      <c r="I2845" t="s">
        <v>16</v>
      </c>
      <c r="J2845" t="s">
        <v>96</v>
      </c>
    </row>
    <row r="2846" spans="1:10" x14ac:dyDescent="0.35">
      <c r="A2846" t="s">
        <v>3033</v>
      </c>
      <c r="B2846" s="1">
        <v>46175</v>
      </c>
      <c r="C2846" t="s">
        <v>88</v>
      </c>
      <c r="D2846" t="s">
        <v>54</v>
      </c>
      <c r="E2846" t="s">
        <v>74</v>
      </c>
      <c r="F2846" t="s">
        <v>54</v>
      </c>
      <c r="G2846">
        <v>2579.36</v>
      </c>
      <c r="H2846" t="s">
        <v>15</v>
      </c>
      <c r="I2846" t="s">
        <v>16</v>
      </c>
      <c r="J2846" t="s">
        <v>89</v>
      </c>
    </row>
    <row r="2847" spans="1:10" x14ac:dyDescent="0.35">
      <c r="A2847" t="s">
        <v>3034</v>
      </c>
      <c r="B2847" s="1">
        <v>46175</v>
      </c>
      <c r="C2847" t="s">
        <v>298</v>
      </c>
      <c r="D2847" t="s">
        <v>59</v>
      </c>
      <c r="E2847" t="s">
        <v>185</v>
      </c>
      <c r="F2847" t="s">
        <v>14</v>
      </c>
      <c r="G2847">
        <v>164.57</v>
      </c>
      <c r="H2847" t="s">
        <v>15</v>
      </c>
      <c r="I2847" t="s">
        <v>22</v>
      </c>
      <c r="J2847" t="s">
        <v>170</v>
      </c>
    </row>
    <row r="2848" spans="1:10" x14ac:dyDescent="0.35">
      <c r="A2848" t="s">
        <v>3035</v>
      </c>
      <c r="B2848" s="1">
        <v>46175</v>
      </c>
      <c r="C2848" t="s">
        <v>143</v>
      </c>
      <c r="D2848" t="s">
        <v>54</v>
      </c>
      <c r="E2848" t="s">
        <v>55</v>
      </c>
      <c r="F2848" t="s">
        <v>54</v>
      </c>
      <c r="G2848">
        <v>706.07</v>
      </c>
      <c r="H2848" t="s">
        <v>15</v>
      </c>
      <c r="I2848" t="s">
        <v>36</v>
      </c>
      <c r="J2848" t="s">
        <v>89</v>
      </c>
    </row>
    <row r="2849" spans="1:10" x14ac:dyDescent="0.35">
      <c r="A2849" t="s">
        <v>3036</v>
      </c>
      <c r="B2849" s="1">
        <v>46175</v>
      </c>
      <c r="C2849" t="s">
        <v>135</v>
      </c>
      <c r="D2849" t="s">
        <v>101</v>
      </c>
      <c r="E2849" t="s">
        <v>102</v>
      </c>
      <c r="F2849" t="s">
        <v>14</v>
      </c>
      <c r="G2849">
        <v>28.36</v>
      </c>
      <c r="H2849" t="s">
        <v>98</v>
      </c>
      <c r="I2849" t="s">
        <v>36</v>
      </c>
      <c r="J2849" t="s">
        <v>136</v>
      </c>
    </row>
    <row r="2850" spans="1:10" x14ac:dyDescent="0.35">
      <c r="A2850" t="s">
        <v>3037</v>
      </c>
      <c r="B2850" s="1">
        <v>46175</v>
      </c>
      <c r="C2850" t="s">
        <v>227</v>
      </c>
      <c r="D2850" t="s">
        <v>12</v>
      </c>
      <c r="E2850" t="s">
        <v>51</v>
      </c>
      <c r="F2850" t="s">
        <v>14</v>
      </c>
      <c r="G2850">
        <v>50.83</v>
      </c>
      <c r="H2850" t="s">
        <v>98</v>
      </c>
      <c r="I2850" t="s">
        <v>257</v>
      </c>
      <c r="J2850" t="s">
        <v>17</v>
      </c>
    </row>
    <row r="2851" spans="1:10" x14ac:dyDescent="0.35">
      <c r="A2851" t="s">
        <v>3038</v>
      </c>
      <c r="B2851" s="1">
        <v>46175</v>
      </c>
      <c r="C2851" t="s">
        <v>210</v>
      </c>
      <c r="D2851" t="s">
        <v>59</v>
      </c>
      <c r="E2851" t="s">
        <v>185</v>
      </c>
      <c r="F2851" t="s">
        <v>14</v>
      </c>
      <c r="G2851">
        <v>358.61</v>
      </c>
      <c r="H2851" t="s">
        <v>21</v>
      </c>
      <c r="I2851" t="s">
        <v>47</v>
      </c>
      <c r="J2851" t="s">
        <v>211</v>
      </c>
    </row>
    <row r="2852" spans="1:10" x14ac:dyDescent="0.35">
      <c r="A2852" t="s">
        <v>3039</v>
      </c>
      <c r="B2852" s="1">
        <v>46175</v>
      </c>
      <c r="C2852" t="s">
        <v>138</v>
      </c>
      <c r="D2852" t="s">
        <v>12</v>
      </c>
      <c r="E2852" t="s">
        <v>26</v>
      </c>
      <c r="F2852" t="s">
        <v>14</v>
      </c>
      <c r="G2852">
        <v>48.8</v>
      </c>
      <c r="H2852" t="s">
        <v>15</v>
      </c>
      <c r="I2852" t="s">
        <v>22</v>
      </c>
      <c r="J2852" t="s">
        <v>77</v>
      </c>
    </row>
    <row r="2853" spans="1:10" x14ac:dyDescent="0.35">
      <c r="A2853" t="s">
        <v>3040</v>
      </c>
      <c r="B2853" s="1">
        <v>46176</v>
      </c>
      <c r="C2853" t="s">
        <v>138</v>
      </c>
      <c r="D2853" t="s">
        <v>12</v>
      </c>
      <c r="E2853" t="s">
        <v>26</v>
      </c>
      <c r="F2853" t="s">
        <v>14</v>
      </c>
      <c r="G2853">
        <v>118.39</v>
      </c>
      <c r="H2853" t="s">
        <v>15</v>
      </c>
      <c r="I2853" t="s">
        <v>22</v>
      </c>
      <c r="J2853" t="s">
        <v>77</v>
      </c>
    </row>
    <row r="2854" spans="1:10" x14ac:dyDescent="0.35">
      <c r="A2854" t="s">
        <v>3041</v>
      </c>
      <c r="B2854" s="1">
        <v>46176</v>
      </c>
      <c r="C2854" t="s">
        <v>345</v>
      </c>
      <c r="D2854" t="s">
        <v>59</v>
      </c>
      <c r="E2854" t="s">
        <v>60</v>
      </c>
      <c r="F2854" t="s">
        <v>14</v>
      </c>
      <c r="G2854">
        <v>685.57</v>
      </c>
      <c r="H2854" t="s">
        <v>15</v>
      </c>
      <c r="I2854" t="s">
        <v>22</v>
      </c>
      <c r="J2854" t="s">
        <v>211</v>
      </c>
    </row>
    <row r="2855" spans="1:10" x14ac:dyDescent="0.35">
      <c r="A2855" t="s">
        <v>3042</v>
      </c>
      <c r="B2855" s="1">
        <v>46176</v>
      </c>
      <c r="C2855" t="s">
        <v>143</v>
      </c>
      <c r="D2855" t="s">
        <v>3043</v>
      </c>
      <c r="E2855" t="s">
        <v>55</v>
      </c>
      <c r="F2855" t="s">
        <v>54</v>
      </c>
      <c r="G2855">
        <v>676.84</v>
      </c>
      <c r="H2855" t="s">
        <v>15</v>
      </c>
      <c r="I2855" t="s">
        <v>36</v>
      </c>
      <c r="J2855" t="s">
        <v>89</v>
      </c>
    </row>
    <row r="2856" spans="1:10" x14ac:dyDescent="0.35">
      <c r="A2856" t="s">
        <v>3044</v>
      </c>
      <c r="B2856" s="1">
        <v>46176</v>
      </c>
      <c r="C2856" t="s">
        <v>227</v>
      </c>
      <c r="D2856" t="s">
        <v>12</v>
      </c>
      <c r="E2856" t="s">
        <v>51</v>
      </c>
      <c r="F2856" t="s">
        <v>14</v>
      </c>
      <c r="G2856">
        <v>38.39</v>
      </c>
      <c r="H2856" t="s">
        <v>21</v>
      </c>
      <c r="I2856" t="s">
        <v>47</v>
      </c>
      <c r="J2856" t="s">
        <v>17</v>
      </c>
    </row>
    <row r="2857" spans="1:10" x14ac:dyDescent="0.35">
      <c r="A2857" t="s">
        <v>3045</v>
      </c>
      <c r="B2857" s="1">
        <v>46176</v>
      </c>
      <c r="C2857" t="s">
        <v>229</v>
      </c>
      <c r="D2857" t="s">
        <v>54</v>
      </c>
      <c r="E2857" t="s">
        <v>64</v>
      </c>
      <c r="F2857" t="s">
        <v>54</v>
      </c>
      <c r="G2857">
        <v>300.39999999999998</v>
      </c>
      <c r="H2857" t="s">
        <v>15</v>
      </c>
      <c r="I2857" t="s">
        <v>47</v>
      </c>
      <c r="J2857" t="s">
        <v>56</v>
      </c>
    </row>
    <row r="2858" spans="1:10" x14ac:dyDescent="0.35">
      <c r="A2858" t="s">
        <v>3046</v>
      </c>
      <c r="B2858" s="1">
        <v>46176</v>
      </c>
      <c r="C2858" t="s">
        <v>308</v>
      </c>
      <c r="D2858" t="s">
        <v>54</v>
      </c>
      <c r="E2858" t="s">
        <v>64</v>
      </c>
      <c r="F2858" t="s">
        <v>54</v>
      </c>
      <c r="G2858">
        <v>334.02</v>
      </c>
      <c r="H2858" t="s">
        <v>21</v>
      </c>
      <c r="I2858" t="s">
        <v>36</v>
      </c>
      <c r="J2858" t="s">
        <v>89</v>
      </c>
    </row>
    <row r="2859" spans="1:10" x14ac:dyDescent="0.35">
      <c r="A2859" t="s">
        <v>3047</v>
      </c>
      <c r="B2859" s="1">
        <v>46176</v>
      </c>
      <c r="C2859" t="s">
        <v>25</v>
      </c>
      <c r="D2859" t="s">
        <v>12</v>
      </c>
      <c r="E2859" t="s">
        <v>26</v>
      </c>
      <c r="F2859" t="s">
        <v>14</v>
      </c>
      <c r="G2859">
        <v>52.25</v>
      </c>
      <c r="H2859" t="s">
        <v>15</v>
      </c>
      <c r="I2859" t="s">
        <v>36</v>
      </c>
      <c r="J2859" t="s">
        <v>17</v>
      </c>
    </row>
    <row r="2860" spans="1:10" x14ac:dyDescent="0.35">
      <c r="A2860" t="s">
        <v>3048</v>
      </c>
      <c r="B2860" s="1">
        <v>46177</v>
      </c>
      <c r="C2860" t="s">
        <v>143</v>
      </c>
      <c r="D2860" t="s">
        <v>54</v>
      </c>
      <c r="E2860" t="s">
        <v>55</v>
      </c>
      <c r="F2860" t="s">
        <v>54</v>
      </c>
      <c r="G2860">
        <v>727.3</v>
      </c>
      <c r="H2860" t="s">
        <v>15</v>
      </c>
      <c r="I2860" t="s">
        <v>22</v>
      </c>
      <c r="J2860" t="s">
        <v>89</v>
      </c>
    </row>
    <row r="2861" spans="1:10" x14ac:dyDescent="0.35">
      <c r="A2861" t="s">
        <v>3049</v>
      </c>
      <c r="B2861" s="1">
        <v>46177</v>
      </c>
      <c r="C2861" t="s">
        <v>376</v>
      </c>
      <c r="D2861" t="s">
        <v>80</v>
      </c>
      <c r="E2861" t="s">
        <v>117</v>
      </c>
      <c r="F2861" t="s">
        <v>14</v>
      </c>
      <c r="G2861">
        <v>99.77</v>
      </c>
      <c r="H2861" t="s">
        <v>21</v>
      </c>
      <c r="I2861" t="s">
        <v>47</v>
      </c>
      <c r="J2861" t="s">
        <v>82</v>
      </c>
    </row>
    <row r="2862" spans="1:10" x14ac:dyDescent="0.35">
      <c r="A2862" t="s">
        <v>3050</v>
      </c>
      <c r="B2862" s="1">
        <v>46177</v>
      </c>
      <c r="C2862" t="s">
        <v>259</v>
      </c>
      <c r="D2862" t="s">
        <v>59</v>
      </c>
      <c r="E2862" t="s">
        <v>199</v>
      </c>
      <c r="F2862" t="s">
        <v>14</v>
      </c>
      <c r="G2862">
        <v>355.44</v>
      </c>
      <c r="H2862" t="s">
        <v>15</v>
      </c>
      <c r="I2862" t="s">
        <v>22</v>
      </c>
      <c r="J2862" t="s">
        <v>170</v>
      </c>
    </row>
    <row r="2863" spans="1:10" x14ac:dyDescent="0.35">
      <c r="A2863" t="s">
        <v>3051</v>
      </c>
      <c r="B2863" s="1">
        <v>46177</v>
      </c>
      <c r="C2863" t="s">
        <v>298</v>
      </c>
      <c r="D2863" t="s">
        <v>59</v>
      </c>
      <c r="E2863" t="s">
        <v>185</v>
      </c>
      <c r="F2863" t="s">
        <v>14</v>
      </c>
      <c r="G2863">
        <v>140.52000000000001</v>
      </c>
      <c r="H2863" t="s">
        <v>15</v>
      </c>
      <c r="I2863" t="s">
        <v>22</v>
      </c>
      <c r="J2863" t="s">
        <v>170</v>
      </c>
    </row>
    <row r="2864" spans="1:10" x14ac:dyDescent="0.35">
      <c r="A2864" t="s">
        <v>3052</v>
      </c>
      <c r="B2864" s="1">
        <v>46178</v>
      </c>
      <c r="C2864" t="s">
        <v>168</v>
      </c>
      <c r="D2864" t="s">
        <v>59</v>
      </c>
      <c r="E2864" t="s">
        <v>60</v>
      </c>
      <c r="F2864" t="s">
        <v>14</v>
      </c>
      <c r="G2864">
        <v>414.22</v>
      </c>
      <c r="H2864" t="s">
        <v>15</v>
      </c>
      <c r="I2864" t="s">
        <v>22</v>
      </c>
      <c r="J2864" t="s">
        <v>170</v>
      </c>
    </row>
    <row r="2865" spans="1:10" x14ac:dyDescent="0.35">
      <c r="A2865" t="s">
        <v>3053</v>
      </c>
      <c r="B2865" s="1">
        <v>46178</v>
      </c>
      <c r="C2865" t="s">
        <v>111</v>
      </c>
      <c r="D2865" t="s">
        <v>12</v>
      </c>
      <c r="E2865" t="s">
        <v>26</v>
      </c>
      <c r="F2865" t="s">
        <v>14</v>
      </c>
      <c r="G2865">
        <v>79.89</v>
      </c>
      <c r="H2865" t="s">
        <v>15</v>
      </c>
      <c r="I2865" t="s">
        <v>22</v>
      </c>
      <c r="J2865" t="s">
        <v>23</v>
      </c>
    </row>
    <row r="2866" spans="1:10" x14ac:dyDescent="0.35">
      <c r="A2866" t="s">
        <v>3054</v>
      </c>
      <c r="B2866" s="1">
        <v>46178</v>
      </c>
      <c r="C2866" t="s">
        <v>376</v>
      </c>
      <c r="D2866" t="s">
        <v>80</v>
      </c>
      <c r="E2866" t="s">
        <v>117</v>
      </c>
      <c r="F2866" t="s">
        <v>14</v>
      </c>
      <c r="G2866">
        <v>111.64</v>
      </c>
      <c r="H2866" t="s">
        <v>15</v>
      </c>
      <c r="I2866" t="s">
        <v>22</v>
      </c>
      <c r="J2866" t="s">
        <v>82</v>
      </c>
    </row>
    <row r="2867" spans="1:10" x14ac:dyDescent="0.35">
      <c r="A2867" t="s">
        <v>3055</v>
      </c>
      <c r="B2867" s="1">
        <v>46178</v>
      </c>
      <c r="C2867" t="s">
        <v>138</v>
      </c>
      <c r="D2867" t="s">
        <v>20</v>
      </c>
      <c r="E2867" t="s">
        <v>26</v>
      </c>
      <c r="F2867" t="s">
        <v>14</v>
      </c>
      <c r="G2867">
        <v>43.04</v>
      </c>
      <c r="H2867" t="s">
        <v>15</v>
      </c>
      <c r="I2867" t="s">
        <v>22</v>
      </c>
      <c r="J2867" t="s">
        <v>77</v>
      </c>
    </row>
    <row r="2868" spans="1:10" x14ac:dyDescent="0.35">
      <c r="A2868" t="s">
        <v>3056</v>
      </c>
      <c r="B2868" s="1">
        <v>46178</v>
      </c>
      <c r="C2868" t="s">
        <v>415</v>
      </c>
      <c r="D2868" t="s">
        <v>12</v>
      </c>
      <c r="E2868" t="s">
        <v>51</v>
      </c>
      <c r="F2868" t="s">
        <v>14</v>
      </c>
      <c r="G2868">
        <v>25.84</v>
      </c>
      <c r="H2868" t="s">
        <v>21</v>
      </c>
      <c r="I2868" t="s">
        <v>22</v>
      </c>
      <c r="J2868" t="s">
        <v>77</v>
      </c>
    </row>
    <row r="2869" spans="1:10" x14ac:dyDescent="0.35">
      <c r="A2869" t="s">
        <v>3057</v>
      </c>
      <c r="B2869" s="1">
        <v>46178</v>
      </c>
      <c r="C2869" t="s">
        <v>73</v>
      </c>
      <c r="D2869" t="s">
        <v>54</v>
      </c>
      <c r="E2869" t="s">
        <v>74</v>
      </c>
      <c r="F2869" t="s">
        <v>54</v>
      </c>
      <c r="G2869">
        <v>2180.58</v>
      </c>
      <c r="H2869" t="s">
        <v>15</v>
      </c>
      <c r="I2869" t="s">
        <v>22</v>
      </c>
      <c r="J2869" t="s">
        <v>65</v>
      </c>
    </row>
    <row r="2870" spans="1:10" x14ac:dyDescent="0.35">
      <c r="A2870" t="s">
        <v>3058</v>
      </c>
      <c r="B2870" s="1">
        <v>46179</v>
      </c>
      <c r="C2870" t="s">
        <v>269</v>
      </c>
      <c r="D2870" t="s">
        <v>34</v>
      </c>
      <c r="E2870" t="s">
        <v>35</v>
      </c>
      <c r="F2870" t="s">
        <v>14</v>
      </c>
      <c r="G2870">
        <v>130.83000000000001</v>
      </c>
      <c r="H2870" t="s">
        <v>21</v>
      </c>
      <c r="I2870" t="s">
        <v>22</v>
      </c>
      <c r="J2870" t="s">
        <v>123</v>
      </c>
    </row>
    <row r="2871" spans="1:10" x14ac:dyDescent="0.35">
      <c r="A2871" t="s">
        <v>3059</v>
      </c>
      <c r="B2871" s="1">
        <v>46179</v>
      </c>
      <c r="C2871" t="s">
        <v>116</v>
      </c>
      <c r="D2871" t="s">
        <v>80</v>
      </c>
      <c r="E2871" t="s">
        <v>117</v>
      </c>
      <c r="F2871" t="s">
        <v>14</v>
      </c>
      <c r="G2871">
        <v>34.380000000000003</v>
      </c>
      <c r="H2871" t="s">
        <v>15</v>
      </c>
      <c r="I2871" t="s">
        <v>16</v>
      </c>
      <c r="J2871" t="s">
        <v>118</v>
      </c>
    </row>
    <row r="2872" spans="1:10" x14ac:dyDescent="0.35">
      <c r="A2872" t="s">
        <v>3060</v>
      </c>
      <c r="B2872" s="1">
        <v>46179</v>
      </c>
      <c r="C2872" t="s">
        <v>259</v>
      </c>
      <c r="D2872" t="s">
        <v>59</v>
      </c>
      <c r="E2872" t="s">
        <v>199</v>
      </c>
      <c r="F2872" t="s">
        <v>14</v>
      </c>
      <c r="G2872">
        <v>141.07</v>
      </c>
      <c r="H2872" t="s">
        <v>21</v>
      </c>
      <c r="I2872" t="s">
        <v>84</v>
      </c>
      <c r="J2872" t="s">
        <v>170</v>
      </c>
    </row>
    <row r="2873" spans="1:10" x14ac:dyDescent="0.35">
      <c r="A2873" t="s">
        <v>3061</v>
      </c>
      <c r="B2873" s="1">
        <v>46179</v>
      </c>
      <c r="C2873" t="s">
        <v>140</v>
      </c>
      <c r="D2873" t="s">
        <v>80</v>
      </c>
      <c r="E2873" t="s">
        <v>81</v>
      </c>
      <c r="F2873" t="s">
        <v>14</v>
      </c>
      <c r="G2873">
        <v>117.33</v>
      </c>
      <c r="H2873" t="s">
        <v>15</v>
      </c>
      <c r="I2873" t="s">
        <v>22</v>
      </c>
      <c r="J2873" t="s">
        <v>141</v>
      </c>
    </row>
    <row r="2874" spans="1:10" x14ac:dyDescent="0.35">
      <c r="A2874" t="s">
        <v>3062</v>
      </c>
      <c r="B2874" s="1">
        <v>46179</v>
      </c>
      <c r="C2874" t="s">
        <v>253</v>
      </c>
      <c r="D2874" t="s">
        <v>29</v>
      </c>
      <c r="E2874" t="s">
        <v>30</v>
      </c>
      <c r="F2874" t="s">
        <v>14</v>
      </c>
      <c r="G2874">
        <v>50.52</v>
      </c>
      <c r="H2874" t="s">
        <v>21</v>
      </c>
      <c r="I2874" t="s">
        <v>22</v>
      </c>
      <c r="J2874" t="s">
        <v>158</v>
      </c>
    </row>
    <row r="2875" spans="1:10" x14ac:dyDescent="0.35">
      <c r="A2875" t="s">
        <v>3063</v>
      </c>
      <c r="B2875" s="1">
        <v>46180</v>
      </c>
      <c r="C2875" t="s">
        <v>415</v>
      </c>
      <c r="D2875" t="s">
        <v>12</v>
      </c>
      <c r="E2875" t="s">
        <v>51</v>
      </c>
      <c r="F2875" t="s">
        <v>14</v>
      </c>
      <c r="G2875">
        <v>27.89</v>
      </c>
      <c r="H2875" t="s">
        <v>98</v>
      </c>
      <c r="I2875" t="s">
        <v>22</v>
      </c>
      <c r="J2875" t="s">
        <v>77</v>
      </c>
    </row>
    <row r="2876" spans="1:10" x14ac:dyDescent="0.35">
      <c r="A2876" t="s">
        <v>3064</v>
      </c>
      <c r="B2876" s="1">
        <v>46181</v>
      </c>
      <c r="C2876" t="s">
        <v>163</v>
      </c>
      <c r="D2876" t="s">
        <v>80</v>
      </c>
      <c r="E2876" t="s">
        <v>92</v>
      </c>
      <c r="F2876" t="s">
        <v>14</v>
      </c>
      <c r="G2876">
        <v>38.18</v>
      </c>
      <c r="H2876" t="s">
        <v>15</v>
      </c>
      <c r="I2876" t="s">
        <v>36</v>
      </c>
      <c r="J2876" t="s">
        <v>118</v>
      </c>
    </row>
    <row r="2877" spans="1:10" x14ac:dyDescent="0.35">
      <c r="A2877" t="s">
        <v>3065</v>
      </c>
      <c r="B2877" s="1">
        <v>46181</v>
      </c>
      <c r="C2877" t="s">
        <v>157</v>
      </c>
      <c r="D2877" t="s">
        <v>29</v>
      </c>
      <c r="E2877" t="s">
        <v>95</v>
      </c>
      <c r="F2877" t="s">
        <v>14</v>
      </c>
      <c r="G2877">
        <v>41.3</v>
      </c>
      <c r="H2877" t="s">
        <v>15</v>
      </c>
      <c r="I2877" t="s">
        <v>36</v>
      </c>
      <c r="J2877" t="s">
        <v>158</v>
      </c>
    </row>
    <row r="2878" spans="1:10" x14ac:dyDescent="0.35">
      <c r="A2878" t="s">
        <v>3066</v>
      </c>
      <c r="B2878" s="1">
        <v>46181</v>
      </c>
      <c r="C2878" t="s">
        <v>350</v>
      </c>
      <c r="D2878" t="s">
        <v>29</v>
      </c>
      <c r="E2878" t="s">
        <v>151</v>
      </c>
      <c r="F2878" t="s">
        <v>14</v>
      </c>
      <c r="G2878">
        <v>30.45</v>
      </c>
      <c r="H2878" t="s">
        <v>21</v>
      </c>
      <c r="I2878" t="s">
        <v>47</v>
      </c>
      <c r="J2878" t="s">
        <v>158</v>
      </c>
    </row>
    <row r="2879" spans="1:10" x14ac:dyDescent="0.35">
      <c r="A2879" t="s">
        <v>3067</v>
      </c>
      <c r="B2879" s="1">
        <v>46181</v>
      </c>
      <c r="C2879" t="s">
        <v>445</v>
      </c>
      <c r="D2879" t="s">
        <v>101</v>
      </c>
      <c r="E2879" t="s">
        <v>244</v>
      </c>
      <c r="F2879" t="s">
        <v>14</v>
      </c>
      <c r="G2879">
        <v>35.67</v>
      </c>
      <c r="H2879" t="s">
        <v>21</v>
      </c>
      <c r="I2879" t="s">
        <v>22</v>
      </c>
      <c r="J2879" t="s">
        <v>103</v>
      </c>
    </row>
    <row r="2880" spans="1:10" x14ac:dyDescent="0.35">
      <c r="A2880" t="s">
        <v>3068</v>
      </c>
      <c r="B2880" s="1">
        <v>46182</v>
      </c>
      <c r="C2880" t="s">
        <v>168</v>
      </c>
      <c r="D2880" t="s">
        <v>59</v>
      </c>
      <c r="E2880" t="s">
        <v>60</v>
      </c>
      <c r="F2880" t="s">
        <v>14</v>
      </c>
      <c r="G2880">
        <v>169.46</v>
      </c>
      <c r="H2880" t="s">
        <v>21</v>
      </c>
      <c r="I2880" t="s">
        <v>36</v>
      </c>
      <c r="J2880" t="s">
        <v>170</v>
      </c>
    </row>
    <row r="2881" spans="1:10" x14ac:dyDescent="0.35">
      <c r="A2881" t="s">
        <v>3069</v>
      </c>
      <c r="B2881" s="1">
        <v>46182</v>
      </c>
      <c r="C2881" t="s">
        <v>50</v>
      </c>
      <c r="D2881" t="s">
        <v>12</v>
      </c>
      <c r="E2881" t="s">
        <v>51</v>
      </c>
      <c r="F2881" t="s">
        <v>14</v>
      </c>
      <c r="G2881">
        <v>28.81</v>
      </c>
      <c r="H2881" t="s">
        <v>15</v>
      </c>
      <c r="I2881" t="s">
        <v>22</v>
      </c>
      <c r="J2881" t="s">
        <v>44</v>
      </c>
    </row>
    <row r="2882" spans="1:10" x14ac:dyDescent="0.35">
      <c r="A2882" t="s">
        <v>3070</v>
      </c>
      <c r="B2882" s="1">
        <v>46182</v>
      </c>
      <c r="C2882" t="s">
        <v>229</v>
      </c>
      <c r="D2882" t="s">
        <v>54</v>
      </c>
      <c r="E2882" t="s">
        <v>64</v>
      </c>
      <c r="F2882" t="s">
        <v>54</v>
      </c>
      <c r="G2882">
        <v>363.39</v>
      </c>
      <c r="H2882" t="s">
        <v>21</v>
      </c>
      <c r="I2882" t="s">
        <v>16</v>
      </c>
      <c r="J2882" t="s">
        <v>56</v>
      </c>
    </row>
    <row r="2883" spans="1:10" x14ac:dyDescent="0.35">
      <c r="A2883" t="s">
        <v>3071</v>
      </c>
      <c r="B2883" s="1">
        <v>46182</v>
      </c>
      <c r="C2883" t="s">
        <v>116</v>
      </c>
      <c r="D2883" t="s">
        <v>80</v>
      </c>
      <c r="E2883" t="s">
        <v>117</v>
      </c>
      <c r="F2883" t="s">
        <v>14</v>
      </c>
      <c r="G2883">
        <v>55.77</v>
      </c>
      <c r="H2883" t="s">
        <v>15</v>
      </c>
      <c r="I2883" t="s">
        <v>22</v>
      </c>
      <c r="J2883" t="s">
        <v>118</v>
      </c>
    </row>
    <row r="2884" spans="1:10" x14ac:dyDescent="0.35">
      <c r="A2884" t="s">
        <v>3072</v>
      </c>
      <c r="B2884" s="1">
        <v>46182</v>
      </c>
      <c r="C2884" t="s">
        <v>88</v>
      </c>
      <c r="D2884" t="s">
        <v>54</v>
      </c>
      <c r="E2884" t="s">
        <v>74</v>
      </c>
      <c r="F2884" t="s">
        <v>54</v>
      </c>
      <c r="G2884">
        <v>2258.9499999999998</v>
      </c>
      <c r="H2884" t="s">
        <v>15</v>
      </c>
      <c r="I2884" t="s">
        <v>47</v>
      </c>
      <c r="J2884" t="s">
        <v>89</v>
      </c>
    </row>
    <row r="2885" spans="1:10" x14ac:dyDescent="0.35">
      <c r="A2885" t="s">
        <v>3073</v>
      </c>
      <c r="B2885" s="1">
        <v>46183</v>
      </c>
      <c r="C2885" t="s">
        <v>63</v>
      </c>
      <c r="D2885" t="s">
        <v>54</v>
      </c>
      <c r="E2885" t="s">
        <v>64</v>
      </c>
      <c r="F2885" t="s">
        <v>54</v>
      </c>
      <c r="G2885">
        <v>351.95</v>
      </c>
      <c r="H2885" t="s">
        <v>21</v>
      </c>
      <c r="I2885" t="s">
        <v>22</v>
      </c>
      <c r="J2885" t="s">
        <v>65</v>
      </c>
    </row>
    <row r="2886" spans="1:10" x14ac:dyDescent="0.35">
      <c r="A2886" t="s">
        <v>3074</v>
      </c>
      <c r="B2886" s="1">
        <v>46183</v>
      </c>
      <c r="C2886" t="s">
        <v>227</v>
      </c>
      <c r="D2886" t="s">
        <v>12</v>
      </c>
      <c r="E2886" t="s">
        <v>51</v>
      </c>
      <c r="F2886" t="s">
        <v>14</v>
      </c>
      <c r="G2886">
        <v>94.41</v>
      </c>
      <c r="H2886" t="s">
        <v>21</v>
      </c>
      <c r="I2886" t="s">
        <v>16</v>
      </c>
      <c r="J2886" t="s">
        <v>17</v>
      </c>
    </row>
    <row r="2887" spans="1:10" x14ac:dyDescent="0.35">
      <c r="A2887" t="s">
        <v>3075</v>
      </c>
      <c r="B2887" s="1">
        <v>46184</v>
      </c>
      <c r="C2887" t="s">
        <v>143</v>
      </c>
      <c r="D2887" t="s">
        <v>54</v>
      </c>
      <c r="E2887" t="s">
        <v>55</v>
      </c>
      <c r="F2887" t="s">
        <v>54</v>
      </c>
      <c r="G2887">
        <v>663.83</v>
      </c>
      <c r="H2887" t="s">
        <v>15</v>
      </c>
      <c r="I2887" t="s">
        <v>47</v>
      </c>
      <c r="J2887" t="s">
        <v>89</v>
      </c>
    </row>
    <row r="2888" spans="1:10" x14ac:dyDescent="0.35">
      <c r="A2888" t="s">
        <v>3076</v>
      </c>
      <c r="B2888" s="1">
        <v>46184</v>
      </c>
      <c r="C2888" t="s">
        <v>94</v>
      </c>
      <c r="D2888" t="s">
        <v>29</v>
      </c>
      <c r="E2888" t="s">
        <v>95</v>
      </c>
      <c r="F2888" t="s">
        <v>14</v>
      </c>
      <c r="G2888">
        <v>47.14</v>
      </c>
      <c r="H2888" t="s">
        <v>15</v>
      </c>
      <c r="I2888" t="s">
        <v>16</v>
      </c>
      <c r="J2888" t="s">
        <v>96</v>
      </c>
    </row>
    <row r="2889" spans="1:10" x14ac:dyDescent="0.35">
      <c r="A2889" t="s">
        <v>3077</v>
      </c>
      <c r="B2889" s="1">
        <v>46184</v>
      </c>
      <c r="C2889" t="s">
        <v>281</v>
      </c>
      <c r="D2889" t="s">
        <v>34</v>
      </c>
      <c r="E2889" t="s">
        <v>40</v>
      </c>
      <c r="F2889" t="s">
        <v>14</v>
      </c>
      <c r="G2889">
        <v>85.56</v>
      </c>
      <c r="H2889" t="s">
        <v>15</v>
      </c>
      <c r="I2889" t="s">
        <v>22</v>
      </c>
      <c r="J2889" t="s">
        <v>123</v>
      </c>
    </row>
    <row r="2890" spans="1:10" x14ac:dyDescent="0.35">
      <c r="A2890" t="s">
        <v>3078</v>
      </c>
      <c r="B2890" s="1">
        <v>46184</v>
      </c>
      <c r="C2890" t="s">
        <v>109</v>
      </c>
      <c r="D2890" t="s">
        <v>34</v>
      </c>
      <c r="E2890" t="s">
        <v>35</v>
      </c>
      <c r="F2890" t="s">
        <v>14</v>
      </c>
      <c r="G2890">
        <v>65.099999999999994</v>
      </c>
      <c r="H2890" t="s">
        <v>21</v>
      </c>
      <c r="I2890" t="s">
        <v>22</v>
      </c>
      <c r="J2890" t="s">
        <v>41</v>
      </c>
    </row>
    <row r="2891" spans="1:10" x14ac:dyDescent="0.35">
      <c r="A2891" t="s">
        <v>3079</v>
      </c>
      <c r="B2891" s="1">
        <v>46184</v>
      </c>
      <c r="C2891" t="s">
        <v>79</v>
      </c>
      <c r="D2891" t="s">
        <v>80</v>
      </c>
      <c r="E2891" t="s">
        <v>81</v>
      </c>
      <c r="F2891" t="s">
        <v>14</v>
      </c>
      <c r="G2891">
        <v>43.5</v>
      </c>
      <c r="H2891" t="s">
        <v>15</v>
      </c>
      <c r="I2891" t="s">
        <v>22</v>
      </c>
      <c r="J2891" t="s">
        <v>82</v>
      </c>
    </row>
    <row r="2892" spans="1:10" x14ac:dyDescent="0.35">
      <c r="A2892" t="s">
        <v>3080</v>
      </c>
      <c r="B2892" s="1">
        <v>46184</v>
      </c>
      <c r="C2892" t="s">
        <v>229</v>
      </c>
      <c r="D2892" t="s">
        <v>54</v>
      </c>
      <c r="E2892" t="s">
        <v>64</v>
      </c>
      <c r="F2892" t="s">
        <v>54</v>
      </c>
      <c r="G2892">
        <v>421.31</v>
      </c>
      <c r="H2892" t="s">
        <v>15</v>
      </c>
      <c r="I2892" t="s">
        <v>22</v>
      </c>
      <c r="J2892" t="s">
        <v>56</v>
      </c>
    </row>
    <row r="2893" spans="1:10" x14ac:dyDescent="0.35">
      <c r="A2893" t="s">
        <v>3081</v>
      </c>
      <c r="B2893" s="1">
        <v>46184</v>
      </c>
      <c r="C2893" t="s">
        <v>88</v>
      </c>
      <c r="D2893" t="s">
        <v>54</v>
      </c>
      <c r="E2893" t="s">
        <v>74</v>
      </c>
      <c r="F2893" t="s">
        <v>54</v>
      </c>
      <c r="G2893">
        <v>2589.12</v>
      </c>
      <c r="H2893" t="s">
        <v>15</v>
      </c>
      <c r="I2893" t="s">
        <v>22</v>
      </c>
      <c r="J2893" t="s">
        <v>89</v>
      </c>
    </row>
    <row r="2894" spans="1:10" x14ac:dyDescent="0.35">
      <c r="A2894" t="s">
        <v>3082</v>
      </c>
      <c r="B2894" s="1">
        <v>46184</v>
      </c>
      <c r="C2894" t="s">
        <v>267</v>
      </c>
      <c r="D2894" t="s">
        <v>29</v>
      </c>
      <c r="E2894" t="s">
        <v>30</v>
      </c>
      <c r="F2894" t="s">
        <v>14</v>
      </c>
      <c r="G2894">
        <v>61.81</v>
      </c>
      <c r="H2894" t="s">
        <v>21</v>
      </c>
      <c r="I2894" t="s">
        <v>36</v>
      </c>
      <c r="J2894" t="s">
        <v>96</v>
      </c>
    </row>
    <row r="2895" spans="1:10" x14ac:dyDescent="0.35">
      <c r="A2895" t="s">
        <v>3083</v>
      </c>
      <c r="B2895" s="1">
        <v>46184</v>
      </c>
      <c r="C2895" t="s">
        <v>308</v>
      </c>
      <c r="D2895" t="s">
        <v>54</v>
      </c>
      <c r="E2895" t="s">
        <v>64</v>
      </c>
      <c r="F2895" t="s">
        <v>54</v>
      </c>
      <c r="G2895">
        <v>373.87</v>
      </c>
      <c r="H2895" t="s">
        <v>98</v>
      </c>
      <c r="I2895" t="s">
        <v>22</v>
      </c>
      <c r="J2895" t="s">
        <v>89</v>
      </c>
    </row>
    <row r="2896" spans="1:10" x14ac:dyDescent="0.35">
      <c r="A2896" t="s">
        <v>3084</v>
      </c>
      <c r="B2896" s="1">
        <v>46184</v>
      </c>
      <c r="C2896" t="s">
        <v>143</v>
      </c>
      <c r="D2896" t="s">
        <v>54</v>
      </c>
      <c r="E2896" t="s">
        <v>55</v>
      </c>
      <c r="F2896" t="s">
        <v>54</v>
      </c>
      <c r="G2896">
        <v>799.76</v>
      </c>
      <c r="H2896" t="s">
        <v>21</v>
      </c>
      <c r="I2896" t="s">
        <v>22</v>
      </c>
      <c r="J2896" t="s">
        <v>89</v>
      </c>
    </row>
    <row r="2897" spans="1:10" x14ac:dyDescent="0.35">
      <c r="A2897" t="s">
        <v>3085</v>
      </c>
      <c r="B2897" s="1">
        <v>46184</v>
      </c>
      <c r="C2897" t="s">
        <v>238</v>
      </c>
      <c r="D2897" t="s">
        <v>34</v>
      </c>
      <c r="E2897" t="s">
        <v>35</v>
      </c>
      <c r="F2897" t="s">
        <v>14</v>
      </c>
      <c r="G2897">
        <v>43.7</v>
      </c>
      <c r="H2897" t="s">
        <v>21</v>
      </c>
      <c r="I2897" t="s">
        <v>22</v>
      </c>
      <c r="J2897" t="s">
        <v>239</v>
      </c>
    </row>
    <row r="2898" spans="1:10" x14ac:dyDescent="0.35">
      <c r="A2898" t="s">
        <v>3086</v>
      </c>
      <c r="B2898" s="1">
        <v>46184</v>
      </c>
      <c r="C2898" t="s">
        <v>269</v>
      </c>
      <c r="D2898" t="s">
        <v>34</v>
      </c>
      <c r="E2898" t="s">
        <v>35</v>
      </c>
      <c r="F2898" t="s">
        <v>14</v>
      </c>
      <c r="G2898">
        <v>65.28</v>
      </c>
      <c r="H2898" t="s">
        <v>21</v>
      </c>
      <c r="I2898" t="s">
        <v>47</v>
      </c>
      <c r="J2898" t="s">
        <v>123</v>
      </c>
    </row>
    <row r="2899" spans="1:10" x14ac:dyDescent="0.35">
      <c r="A2899" t="s">
        <v>3087</v>
      </c>
      <c r="B2899" s="1">
        <v>46185</v>
      </c>
      <c r="C2899" t="s">
        <v>88</v>
      </c>
      <c r="D2899" t="s">
        <v>54</v>
      </c>
      <c r="E2899" t="s">
        <v>74</v>
      </c>
      <c r="F2899" t="s">
        <v>54</v>
      </c>
      <c r="G2899">
        <v>2832.15</v>
      </c>
      <c r="H2899" t="s">
        <v>21</v>
      </c>
      <c r="I2899" t="s">
        <v>36</v>
      </c>
      <c r="J2899" t="s">
        <v>89</v>
      </c>
    </row>
    <row r="2900" spans="1:10" x14ac:dyDescent="0.35">
      <c r="A2900" t="s">
        <v>3088</v>
      </c>
      <c r="B2900" s="1">
        <v>46185</v>
      </c>
      <c r="C2900" t="s">
        <v>184</v>
      </c>
      <c r="D2900" t="s">
        <v>59</v>
      </c>
      <c r="E2900" t="s">
        <v>185</v>
      </c>
      <c r="F2900" t="s">
        <v>14</v>
      </c>
      <c r="G2900">
        <v>119.91</v>
      </c>
      <c r="H2900" t="s">
        <v>15</v>
      </c>
      <c r="I2900" t="s">
        <v>22</v>
      </c>
      <c r="J2900" t="s">
        <v>61</v>
      </c>
    </row>
    <row r="2901" spans="1:10" x14ac:dyDescent="0.35">
      <c r="A2901" t="s">
        <v>3089</v>
      </c>
      <c r="B2901" s="1">
        <v>46185</v>
      </c>
      <c r="C2901" t="s">
        <v>256</v>
      </c>
      <c r="D2901" t="s">
        <v>34</v>
      </c>
      <c r="E2901" t="s">
        <v>40</v>
      </c>
      <c r="F2901" t="s">
        <v>14</v>
      </c>
      <c r="G2901">
        <v>130.38</v>
      </c>
      <c r="H2901" t="s">
        <v>15</v>
      </c>
      <c r="I2901" t="s">
        <v>47</v>
      </c>
      <c r="J2901" t="s">
        <v>239</v>
      </c>
    </row>
    <row r="2902" spans="1:10" x14ac:dyDescent="0.35">
      <c r="A2902" t="s">
        <v>3090</v>
      </c>
      <c r="B2902" s="1">
        <v>46185</v>
      </c>
      <c r="C2902" t="s">
        <v>155</v>
      </c>
      <c r="D2902" t="s">
        <v>12</v>
      </c>
      <c r="E2902" t="s">
        <v>51</v>
      </c>
      <c r="F2902" t="s">
        <v>14</v>
      </c>
      <c r="G2902">
        <v>80.63</v>
      </c>
      <c r="H2902" t="s">
        <v>15</v>
      </c>
      <c r="I2902" t="s">
        <v>47</v>
      </c>
      <c r="J2902" t="s">
        <v>48</v>
      </c>
    </row>
    <row r="2903" spans="1:10" x14ac:dyDescent="0.35">
      <c r="A2903" t="s">
        <v>3091</v>
      </c>
      <c r="B2903" s="1">
        <v>46185</v>
      </c>
      <c r="C2903" t="s">
        <v>269</v>
      </c>
      <c r="D2903" t="s">
        <v>34</v>
      </c>
      <c r="E2903" t="s">
        <v>35</v>
      </c>
      <c r="F2903" t="s">
        <v>14</v>
      </c>
      <c r="G2903">
        <v>48.82</v>
      </c>
      <c r="H2903" t="s">
        <v>15</v>
      </c>
      <c r="I2903" t="s">
        <v>47</v>
      </c>
      <c r="J2903" t="s">
        <v>123</v>
      </c>
    </row>
    <row r="2904" spans="1:10" x14ac:dyDescent="0.35">
      <c r="A2904" t="s">
        <v>3092</v>
      </c>
      <c r="B2904" s="1">
        <v>46186</v>
      </c>
      <c r="C2904" t="s">
        <v>445</v>
      </c>
      <c r="D2904" t="s">
        <v>101</v>
      </c>
      <c r="E2904" t="s">
        <v>244</v>
      </c>
      <c r="F2904" t="s">
        <v>14</v>
      </c>
      <c r="G2904">
        <v>75.959999999999994</v>
      </c>
      <c r="H2904" t="s">
        <v>21</v>
      </c>
      <c r="I2904" t="s">
        <v>47</v>
      </c>
      <c r="J2904" t="s">
        <v>103</v>
      </c>
    </row>
    <row r="2905" spans="1:10" x14ac:dyDescent="0.35">
      <c r="A2905" t="s">
        <v>3093</v>
      </c>
      <c r="B2905" s="1">
        <v>46186</v>
      </c>
      <c r="C2905" t="s">
        <v>376</v>
      </c>
      <c r="D2905" t="s">
        <v>80</v>
      </c>
      <c r="E2905" t="s">
        <v>117</v>
      </c>
      <c r="F2905" t="s">
        <v>14</v>
      </c>
      <c r="G2905">
        <v>24.99</v>
      </c>
      <c r="H2905" t="s">
        <v>15</v>
      </c>
      <c r="I2905" t="s">
        <v>47</v>
      </c>
      <c r="J2905" t="s">
        <v>82</v>
      </c>
    </row>
    <row r="2906" spans="1:10" x14ac:dyDescent="0.35">
      <c r="A2906" t="s">
        <v>3094</v>
      </c>
      <c r="B2906" s="1">
        <v>46186</v>
      </c>
      <c r="C2906" t="s">
        <v>163</v>
      </c>
      <c r="D2906" t="s">
        <v>80</v>
      </c>
      <c r="E2906" t="s">
        <v>92</v>
      </c>
      <c r="F2906" t="s">
        <v>14</v>
      </c>
      <c r="G2906">
        <v>15.75</v>
      </c>
      <c r="H2906" t="s">
        <v>21</v>
      </c>
      <c r="I2906" t="s">
        <v>22</v>
      </c>
      <c r="J2906" t="s">
        <v>118</v>
      </c>
    </row>
    <row r="2907" spans="1:10" x14ac:dyDescent="0.35">
      <c r="A2907" t="s">
        <v>3095</v>
      </c>
      <c r="B2907" s="1">
        <v>46186</v>
      </c>
      <c r="C2907" t="s">
        <v>206</v>
      </c>
      <c r="D2907" t="s">
        <v>29</v>
      </c>
      <c r="E2907" t="s">
        <v>95</v>
      </c>
      <c r="F2907" t="s">
        <v>14</v>
      </c>
      <c r="G2907">
        <v>57.99</v>
      </c>
      <c r="H2907" t="s">
        <v>15</v>
      </c>
      <c r="I2907" t="s">
        <v>22</v>
      </c>
      <c r="J2907" t="s">
        <v>31</v>
      </c>
    </row>
    <row r="2908" spans="1:10" x14ac:dyDescent="0.35">
      <c r="A2908" t="s">
        <v>3096</v>
      </c>
      <c r="B2908" s="1">
        <v>46187</v>
      </c>
      <c r="C2908" t="s">
        <v>143</v>
      </c>
      <c r="D2908" t="s">
        <v>54</v>
      </c>
      <c r="E2908" t="s">
        <v>55</v>
      </c>
      <c r="F2908" t="s">
        <v>54</v>
      </c>
      <c r="G2908">
        <v>744.59</v>
      </c>
      <c r="H2908" t="s">
        <v>15</v>
      </c>
      <c r="I2908" t="s">
        <v>22</v>
      </c>
      <c r="J2908" t="s">
        <v>89</v>
      </c>
    </row>
    <row r="2909" spans="1:10" x14ac:dyDescent="0.35">
      <c r="A2909" t="s">
        <v>3097</v>
      </c>
      <c r="B2909" s="1">
        <v>46187</v>
      </c>
      <c r="C2909" t="s">
        <v>243</v>
      </c>
      <c r="D2909" t="s">
        <v>101</v>
      </c>
      <c r="E2909" t="s">
        <v>244</v>
      </c>
      <c r="F2909" t="s">
        <v>14</v>
      </c>
      <c r="G2909">
        <v>89.72</v>
      </c>
      <c r="H2909" t="s">
        <v>15</v>
      </c>
      <c r="I2909" t="s">
        <v>257</v>
      </c>
      <c r="J2909" t="s">
        <v>102</v>
      </c>
    </row>
    <row r="2910" spans="1:10" x14ac:dyDescent="0.35">
      <c r="A2910" t="s">
        <v>3098</v>
      </c>
      <c r="B2910" s="1">
        <v>46187</v>
      </c>
      <c r="C2910" t="s">
        <v>345</v>
      </c>
      <c r="D2910" t="s">
        <v>59</v>
      </c>
      <c r="E2910" t="s">
        <v>60</v>
      </c>
      <c r="F2910" t="s">
        <v>14</v>
      </c>
      <c r="G2910">
        <v>607.45000000000005</v>
      </c>
      <c r="H2910" t="s">
        <v>15</v>
      </c>
      <c r="I2910" t="s">
        <v>36</v>
      </c>
      <c r="J2910" t="s">
        <v>211</v>
      </c>
    </row>
    <row r="2911" spans="1:10" x14ac:dyDescent="0.35">
      <c r="A2911" t="s">
        <v>3099</v>
      </c>
      <c r="B2911" s="1">
        <v>46188</v>
      </c>
      <c r="C2911" t="s">
        <v>308</v>
      </c>
      <c r="D2911" t="s">
        <v>54</v>
      </c>
      <c r="E2911" t="s">
        <v>64</v>
      </c>
      <c r="F2911" t="s">
        <v>54</v>
      </c>
      <c r="G2911">
        <v>284.79000000000002</v>
      </c>
      <c r="H2911" t="s">
        <v>21</v>
      </c>
      <c r="I2911" t="s">
        <v>36</v>
      </c>
      <c r="J2911" t="s">
        <v>89</v>
      </c>
    </row>
    <row r="2912" spans="1:10" x14ac:dyDescent="0.35">
      <c r="A2912" t="s">
        <v>3100</v>
      </c>
      <c r="B2912" s="1">
        <v>46188</v>
      </c>
      <c r="C2912" t="s">
        <v>269</v>
      </c>
      <c r="D2912" t="s">
        <v>34</v>
      </c>
      <c r="E2912" t="s">
        <v>35</v>
      </c>
      <c r="F2912" t="s">
        <v>14</v>
      </c>
      <c r="G2912">
        <v>93.5</v>
      </c>
      <c r="H2912" t="s">
        <v>21</v>
      </c>
      <c r="I2912" t="s">
        <v>36</v>
      </c>
      <c r="J2912" t="s">
        <v>123</v>
      </c>
    </row>
    <row r="2913" spans="1:10" x14ac:dyDescent="0.35">
      <c r="A2913" t="s">
        <v>3101</v>
      </c>
      <c r="B2913" s="1">
        <v>46188</v>
      </c>
      <c r="C2913" t="s">
        <v>189</v>
      </c>
      <c r="D2913" t="s">
        <v>34</v>
      </c>
      <c r="E2913" t="s">
        <v>122</v>
      </c>
      <c r="F2913" t="s">
        <v>14</v>
      </c>
      <c r="G2913">
        <v>201.11</v>
      </c>
      <c r="H2913" t="s">
        <v>15</v>
      </c>
      <c r="I2913" t="s">
        <v>22</v>
      </c>
      <c r="J2913" t="s">
        <v>37</v>
      </c>
    </row>
    <row r="2914" spans="1:10" x14ac:dyDescent="0.35">
      <c r="A2914" t="s">
        <v>3102</v>
      </c>
      <c r="B2914" s="1">
        <v>46188</v>
      </c>
      <c r="C2914" t="s">
        <v>296</v>
      </c>
      <c r="D2914" t="s">
        <v>101</v>
      </c>
      <c r="E2914" t="s">
        <v>136</v>
      </c>
      <c r="F2914" t="s">
        <v>14</v>
      </c>
      <c r="G2914">
        <v>47.53</v>
      </c>
      <c r="H2914" t="s">
        <v>15</v>
      </c>
      <c r="I2914" t="s">
        <v>22</v>
      </c>
      <c r="J2914" t="s">
        <v>136</v>
      </c>
    </row>
    <row r="2915" spans="1:10" x14ac:dyDescent="0.35">
      <c r="A2915" t="s">
        <v>3103</v>
      </c>
      <c r="B2915" s="1">
        <v>46188</v>
      </c>
      <c r="C2915" t="s">
        <v>19</v>
      </c>
      <c r="D2915" t="s">
        <v>12</v>
      </c>
      <c r="E2915" t="s">
        <v>13</v>
      </c>
      <c r="F2915" t="s">
        <v>14</v>
      </c>
      <c r="G2915">
        <v>34.56</v>
      </c>
      <c r="H2915" t="s">
        <v>15</v>
      </c>
      <c r="I2915" t="s">
        <v>22</v>
      </c>
      <c r="J2915" t="s">
        <v>23</v>
      </c>
    </row>
    <row r="2916" spans="1:10" x14ac:dyDescent="0.35">
      <c r="A2916" t="s">
        <v>3104</v>
      </c>
      <c r="B2916" s="1">
        <v>46188</v>
      </c>
      <c r="C2916" t="s">
        <v>464</v>
      </c>
      <c r="D2916" t="s">
        <v>34</v>
      </c>
      <c r="E2916" t="s">
        <v>122</v>
      </c>
      <c r="F2916" t="s">
        <v>14</v>
      </c>
      <c r="G2916">
        <v>289.22000000000003</v>
      </c>
      <c r="H2916" t="s">
        <v>15</v>
      </c>
      <c r="I2916" t="s">
        <v>16</v>
      </c>
      <c r="J2916" t="s">
        <v>239</v>
      </c>
    </row>
    <row r="2917" spans="1:10" x14ac:dyDescent="0.35">
      <c r="A2917" t="s">
        <v>3105</v>
      </c>
      <c r="B2917" s="1">
        <v>46188</v>
      </c>
      <c r="C2917" t="s">
        <v>143</v>
      </c>
      <c r="D2917" t="s">
        <v>54</v>
      </c>
      <c r="E2917" t="s">
        <v>55</v>
      </c>
      <c r="F2917" t="s">
        <v>54</v>
      </c>
      <c r="G2917">
        <v>786.22</v>
      </c>
      <c r="H2917" t="s">
        <v>98</v>
      </c>
      <c r="I2917" t="s">
        <v>36</v>
      </c>
      <c r="J2917" t="s">
        <v>89</v>
      </c>
    </row>
    <row r="2918" spans="1:10" x14ac:dyDescent="0.35">
      <c r="A2918" t="s">
        <v>3106</v>
      </c>
      <c r="B2918" s="1">
        <v>46189</v>
      </c>
      <c r="C2918" t="s">
        <v>184</v>
      </c>
      <c r="D2918" t="s">
        <v>59</v>
      </c>
      <c r="E2918" t="s">
        <v>185</v>
      </c>
      <c r="F2918" t="s">
        <v>14</v>
      </c>
      <c r="G2918">
        <v>224.31</v>
      </c>
      <c r="H2918" t="s">
        <v>15</v>
      </c>
      <c r="I2918" t="s">
        <v>47</v>
      </c>
      <c r="J2918" t="s">
        <v>61</v>
      </c>
    </row>
    <row r="2919" spans="1:10" x14ac:dyDescent="0.35">
      <c r="A2919" t="s">
        <v>3107</v>
      </c>
      <c r="B2919" s="1">
        <v>46189</v>
      </c>
      <c r="C2919" t="s">
        <v>50</v>
      </c>
      <c r="D2919" t="s">
        <v>12</v>
      </c>
      <c r="E2919" t="s">
        <v>51</v>
      </c>
      <c r="F2919" t="s">
        <v>14</v>
      </c>
      <c r="G2919">
        <v>33.799999999999997</v>
      </c>
      <c r="H2919" t="s">
        <v>15</v>
      </c>
      <c r="I2919" t="s">
        <v>36</v>
      </c>
      <c r="J2919" t="s">
        <v>44</v>
      </c>
    </row>
    <row r="2920" spans="1:10" x14ac:dyDescent="0.35">
      <c r="A2920" t="s">
        <v>3108</v>
      </c>
      <c r="B2920" s="1">
        <v>46189</v>
      </c>
      <c r="C2920" t="s">
        <v>25</v>
      </c>
      <c r="D2920" t="s">
        <v>12</v>
      </c>
      <c r="E2920" t="s">
        <v>26</v>
      </c>
      <c r="F2920" t="s">
        <v>14</v>
      </c>
      <c r="G2920">
        <v>16.260000000000002</v>
      </c>
      <c r="H2920" t="s">
        <v>15</v>
      </c>
      <c r="I2920" t="s">
        <v>36</v>
      </c>
      <c r="J2920" t="s">
        <v>17</v>
      </c>
    </row>
    <row r="2921" spans="1:10" x14ac:dyDescent="0.35">
      <c r="A2921" t="s">
        <v>3109</v>
      </c>
      <c r="B2921" s="1">
        <v>46189</v>
      </c>
      <c r="C2921" t="s">
        <v>308</v>
      </c>
      <c r="D2921" t="s">
        <v>54</v>
      </c>
      <c r="E2921" t="s">
        <v>64</v>
      </c>
      <c r="F2921" t="s">
        <v>54</v>
      </c>
      <c r="G2921">
        <v>401.79</v>
      </c>
      <c r="H2921" t="s">
        <v>15</v>
      </c>
      <c r="I2921" t="s">
        <v>36</v>
      </c>
      <c r="J2921" t="s">
        <v>89</v>
      </c>
    </row>
    <row r="2922" spans="1:10" x14ac:dyDescent="0.35">
      <c r="A2922" t="s">
        <v>3110</v>
      </c>
      <c r="B2922" s="1">
        <v>46189</v>
      </c>
      <c r="C2922" t="s">
        <v>53</v>
      </c>
      <c r="D2922" t="s">
        <v>54</v>
      </c>
      <c r="E2922" t="s">
        <v>55</v>
      </c>
      <c r="F2922" t="s">
        <v>54</v>
      </c>
      <c r="G2922">
        <v>778.58</v>
      </c>
      <c r="H2922" t="s">
        <v>98</v>
      </c>
      <c r="I2922" t="s">
        <v>22</v>
      </c>
      <c r="J2922" t="s">
        <v>56</v>
      </c>
    </row>
    <row r="2923" spans="1:10" x14ac:dyDescent="0.35">
      <c r="A2923" t="s">
        <v>3111</v>
      </c>
      <c r="B2923" s="1">
        <v>46190</v>
      </c>
      <c r="C2923" t="s">
        <v>79</v>
      </c>
      <c r="D2923" t="s">
        <v>80</v>
      </c>
      <c r="E2923" t="s">
        <v>81</v>
      </c>
      <c r="F2923" t="s">
        <v>14</v>
      </c>
      <c r="G2923">
        <v>46.75</v>
      </c>
      <c r="H2923" t="s">
        <v>21</v>
      </c>
      <c r="I2923" t="s">
        <v>16</v>
      </c>
      <c r="J2923" t="s">
        <v>82</v>
      </c>
    </row>
    <row r="2924" spans="1:10" x14ac:dyDescent="0.35">
      <c r="A2924" t="s">
        <v>3112</v>
      </c>
      <c r="B2924" s="1">
        <v>46190</v>
      </c>
      <c r="C2924" t="s">
        <v>229</v>
      </c>
      <c r="D2924" t="s">
        <v>54</v>
      </c>
      <c r="E2924" t="s">
        <v>64</v>
      </c>
      <c r="F2924" t="s">
        <v>54</v>
      </c>
      <c r="G2924">
        <v>401.59</v>
      </c>
      <c r="H2924" t="s">
        <v>15</v>
      </c>
      <c r="I2924" t="s">
        <v>84</v>
      </c>
      <c r="J2924" t="s">
        <v>56</v>
      </c>
    </row>
    <row r="2925" spans="1:10" x14ac:dyDescent="0.35">
      <c r="A2925" t="s">
        <v>3113</v>
      </c>
      <c r="B2925" s="1">
        <v>46190</v>
      </c>
      <c r="C2925" t="s">
        <v>580</v>
      </c>
      <c r="D2925" t="s">
        <v>80</v>
      </c>
      <c r="E2925" t="s">
        <v>81</v>
      </c>
      <c r="F2925" t="s">
        <v>14</v>
      </c>
      <c r="G2925">
        <v>32.39</v>
      </c>
      <c r="H2925" t="s">
        <v>98</v>
      </c>
      <c r="I2925" t="s">
        <v>36</v>
      </c>
      <c r="J2925" t="s">
        <v>118</v>
      </c>
    </row>
    <row r="2926" spans="1:10" x14ac:dyDescent="0.35">
      <c r="A2926" t="s">
        <v>3114</v>
      </c>
      <c r="B2926" s="1">
        <v>46190</v>
      </c>
      <c r="C2926" t="s">
        <v>1491</v>
      </c>
      <c r="D2926" t="s">
        <v>69</v>
      </c>
      <c r="E2926" t="s">
        <v>233</v>
      </c>
      <c r="F2926" t="s">
        <v>14</v>
      </c>
      <c r="G2926">
        <v>217.62</v>
      </c>
      <c r="H2926" t="s">
        <v>21</v>
      </c>
      <c r="I2926" t="s">
        <v>36</v>
      </c>
      <c r="J2926" t="s">
        <v>396</v>
      </c>
    </row>
    <row r="2927" spans="1:10" x14ac:dyDescent="0.35">
      <c r="A2927" t="s">
        <v>3115</v>
      </c>
      <c r="B2927" s="1">
        <v>46190</v>
      </c>
      <c r="C2927" t="s">
        <v>350</v>
      </c>
      <c r="D2927" t="s">
        <v>29</v>
      </c>
      <c r="E2927" t="s">
        <v>151</v>
      </c>
      <c r="F2927" t="s">
        <v>14</v>
      </c>
      <c r="G2927">
        <v>17.13</v>
      </c>
      <c r="H2927" t="s">
        <v>15</v>
      </c>
      <c r="I2927" t="s">
        <v>22</v>
      </c>
      <c r="J2927" t="s">
        <v>158</v>
      </c>
    </row>
    <row r="2928" spans="1:10" x14ac:dyDescent="0.35">
      <c r="A2928" t="s">
        <v>3116</v>
      </c>
      <c r="B2928" s="1">
        <v>46190</v>
      </c>
      <c r="C2928" t="s">
        <v>298</v>
      </c>
      <c r="D2928" t="s">
        <v>59</v>
      </c>
      <c r="E2928" t="s">
        <v>185</v>
      </c>
      <c r="F2928" t="s">
        <v>14</v>
      </c>
      <c r="G2928">
        <v>125.27</v>
      </c>
      <c r="H2928" t="s">
        <v>15</v>
      </c>
      <c r="I2928" t="s">
        <v>22</v>
      </c>
      <c r="J2928" t="s">
        <v>170</v>
      </c>
    </row>
    <row r="2929" spans="1:10" x14ac:dyDescent="0.35">
      <c r="A2929" t="s">
        <v>3117</v>
      </c>
      <c r="B2929" s="1">
        <v>46190</v>
      </c>
      <c r="C2929" t="s">
        <v>308</v>
      </c>
      <c r="D2929" t="s">
        <v>54</v>
      </c>
      <c r="E2929" t="s">
        <v>64</v>
      </c>
      <c r="F2929" t="s">
        <v>54</v>
      </c>
      <c r="G2929">
        <v>305.62</v>
      </c>
      <c r="H2929" t="s">
        <v>21</v>
      </c>
      <c r="I2929" t="s">
        <v>22</v>
      </c>
      <c r="J2929" t="s">
        <v>89</v>
      </c>
    </row>
    <row r="2930" spans="1:10" x14ac:dyDescent="0.35">
      <c r="A2930" t="s">
        <v>3118</v>
      </c>
      <c r="B2930" s="1">
        <v>46191</v>
      </c>
      <c r="C2930" t="s">
        <v>63</v>
      </c>
      <c r="D2930" t="s">
        <v>54</v>
      </c>
      <c r="E2930" t="s">
        <v>64</v>
      </c>
      <c r="F2930" t="s">
        <v>54</v>
      </c>
      <c r="G2930">
        <v>384.31</v>
      </c>
      <c r="H2930" t="s">
        <v>98</v>
      </c>
      <c r="I2930" t="s">
        <v>22</v>
      </c>
      <c r="J2930" t="s">
        <v>65</v>
      </c>
    </row>
    <row r="2931" spans="1:10" x14ac:dyDescent="0.35">
      <c r="A2931" t="s">
        <v>3119</v>
      </c>
      <c r="B2931" s="1">
        <v>46191</v>
      </c>
      <c r="C2931" t="s">
        <v>53</v>
      </c>
      <c r="D2931" t="s">
        <v>54</v>
      </c>
      <c r="E2931" t="s">
        <v>55</v>
      </c>
      <c r="F2931" t="s">
        <v>54</v>
      </c>
      <c r="G2931">
        <v>756.14</v>
      </c>
      <c r="H2931" t="s">
        <v>15</v>
      </c>
      <c r="I2931" t="s">
        <v>47</v>
      </c>
      <c r="J2931" t="s">
        <v>56</v>
      </c>
    </row>
    <row r="2932" spans="1:10" x14ac:dyDescent="0.35">
      <c r="A2932" t="s">
        <v>3120</v>
      </c>
      <c r="B2932" s="1">
        <v>46191</v>
      </c>
      <c r="C2932" t="s">
        <v>298</v>
      </c>
      <c r="D2932" t="s">
        <v>59</v>
      </c>
      <c r="E2932" t="s">
        <v>185</v>
      </c>
      <c r="F2932" t="s">
        <v>14</v>
      </c>
      <c r="G2932">
        <v>646.29</v>
      </c>
      <c r="H2932" t="s">
        <v>15</v>
      </c>
      <c r="I2932" t="s">
        <v>36</v>
      </c>
      <c r="J2932" t="s">
        <v>170</v>
      </c>
    </row>
    <row r="2933" spans="1:10" x14ac:dyDescent="0.35">
      <c r="A2933" t="s">
        <v>3121</v>
      </c>
      <c r="B2933" s="1">
        <v>46191</v>
      </c>
      <c r="C2933" t="s">
        <v>168</v>
      </c>
      <c r="D2933" t="s">
        <v>59</v>
      </c>
      <c r="E2933" t="s">
        <v>60</v>
      </c>
      <c r="F2933" t="s">
        <v>14</v>
      </c>
      <c r="G2933">
        <v>210.22</v>
      </c>
      <c r="H2933" t="s">
        <v>15</v>
      </c>
      <c r="I2933" t="s">
        <v>22</v>
      </c>
      <c r="J2933" t="s">
        <v>170</v>
      </c>
    </row>
    <row r="2934" spans="1:10" x14ac:dyDescent="0.35">
      <c r="A2934" t="s">
        <v>3122</v>
      </c>
      <c r="B2934" s="1">
        <v>46192</v>
      </c>
      <c r="C2934" t="s">
        <v>88</v>
      </c>
      <c r="D2934" t="s">
        <v>54</v>
      </c>
      <c r="E2934" t="s">
        <v>74</v>
      </c>
      <c r="F2934" t="s">
        <v>54</v>
      </c>
      <c r="G2934">
        <v>2804.21</v>
      </c>
      <c r="H2934" t="s">
        <v>15</v>
      </c>
      <c r="I2934" t="s">
        <v>36</v>
      </c>
      <c r="J2934" t="s">
        <v>89</v>
      </c>
    </row>
    <row r="2935" spans="1:10" x14ac:dyDescent="0.35">
      <c r="A2935" t="s">
        <v>3123</v>
      </c>
      <c r="B2935" s="1">
        <v>46192</v>
      </c>
      <c r="C2935" t="s">
        <v>28</v>
      </c>
      <c r="D2935" t="s">
        <v>29</v>
      </c>
      <c r="E2935" t="s">
        <v>30</v>
      </c>
      <c r="F2935" t="s">
        <v>14</v>
      </c>
      <c r="G2935">
        <v>56.17</v>
      </c>
      <c r="H2935" t="s">
        <v>98</v>
      </c>
      <c r="I2935" t="s">
        <v>22</v>
      </c>
      <c r="J2935" t="s">
        <v>31</v>
      </c>
    </row>
    <row r="2936" spans="1:10" x14ac:dyDescent="0.35">
      <c r="A2936" t="s">
        <v>3124</v>
      </c>
      <c r="B2936" s="1">
        <v>46192</v>
      </c>
      <c r="C2936" t="s">
        <v>179</v>
      </c>
      <c r="D2936" t="s">
        <v>80</v>
      </c>
      <c r="E2936" t="s">
        <v>117</v>
      </c>
      <c r="F2936" t="s">
        <v>14</v>
      </c>
      <c r="G2936">
        <v>60.67</v>
      </c>
      <c r="H2936" t="s">
        <v>21</v>
      </c>
      <c r="I2936" t="s">
        <v>16</v>
      </c>
      <c r="J2936" t="s">
        <v>180</v>
      </c>
    </row>
    <row r="2937" spans="1:10" x14ac:dyDescent="0.35">
      <c r="A2937" t="s">
        <v>3125</v>
      </c>
      <c r="B2937" s="1">
        <v>46192</v>
      </c>
      <c r="C2937" t="s">
        <v>238</v>
      </c>
      <c r="D2937" t="s">
        <v>34</v>
      </c>
      <c r="E2937" t="s">
        <v>35</v>
      </c>
      <c r="F2937" t="s">
        <v>14</v>
      </c>
      <c r="G2937">
        <v>65.73</v>
      </c>
      <c r="H2937" t="s">
        <v>15</v>
      </c>
      <c r="I2937" t="s">
        <v>47</v>
      </c>
      <c r="J2937" t="s">
        <v>239</v>
      </c>
    </row>
    <row r="2938" spans="1:10" x14ac:dyDescent="0.35">
      <c r="A2938" t="s">
        <v>3126</v>
      </c>
      <c r="B2938" s="1">
        <v>46192</v>
      </c>
      <c r="C2938" t="s">
        <v>198</v>
      </c>
      <c r="D2938" t="s">
        <v>59</v>
      </c>
      <c r="E2938" t="s">
        <v>199</v>
      </c>
      <c r="F2938" t="s">
        <v>14</v>
      </c>
      <c r="G2938">
        <v>603.33000000000004</v>
      </c>
      <c r="H2938" t="s">
        <v>15</v>
      </c>
      <c r="I2938" t="s">
        <v>47</v>
      </c>
      <c r="J2938" t="s">
        <v>61</v>
      </c>
    </row>
    <row r="2939" spans="1:10" x14ac:dyDescent="0.35">
      <c r="A2939" t="s">
        <v>3127</v>
      </c>
      <c r="B2939" s="1">
        <v>46192</v>
      </c>
      <c r="C2939" t="s">
        <v>177</v>
      </c>
      <c r="D2939" t="s">
        <v>54</v>
      </c>
      <c r="E2939" t="s">
        <v>74</v>
      </c>
      <c r="F2939" t="s">
        <v>54</v>
      </c>
      <c r="G2939">
        <v>2495.83</v>
      </c>
      <c r="H2939" t="s">
        <v>15</v>
      </c>
      <c r="I2939" t="s">
        <v>22</v>
      </c>
      <c r="J2939" t="s">
        <v>56</v>
      </c>
    </row>
    <row r="2940" spans="1:10" x14ac:dyDescent="0.35">
      <c r="A2940" t="s">
        <v>3128</v>
      </c>
      <c r="B2940" s="1">
        <v>46192</v>
      </c>
      <c r="C2940" t="s">
        <v>109</v>
      </c>
      <c r="D2940" t="s">
        <v>34</v>
      </c>
      <c r="E2940" t="s">
        <v>35</v>
      </c>
      <c r="F2940" t="s">
        <v>14</v>
      </c>
      <c r="G2940">
        <v>60.49</v>
      </c>
      <c r="H2940" t="s">
        <v>21</v>
      </c>
      <c r="I2940" t="s">
        <v>22</v>
      </c>
      <c r="J2940" t="s">
        <v>41</v>
      </c>
    </row>
    <row r="2941" spans="1:10" x14ac:dyDescent="0.35">
      <c r="A2941" t="s">
        <v>3129</v>
      </c>
      <c r="B2941" s="1">
        <v>46193</v>
      </c>
      <c r="C2941" t="s">
        <v>192</v>
      </c>
      <c r="D2941" t="s">
        <v>80</v>
      </c>
      <c r="E2941" t="s">
        <v>92</v>
      </c>
      <c r="F2941" t="s">
        <v>14</v>
      </c>
      <c r="G2941">
        <v>86.89</v>
      </c>
      <c r="H2941" t="s">
        <v>21</v>
      </c>
      <c r="I2941" t="s">
        <v>47</v>
      </c>
      <c r="J2941" t="s">
        <v>180</v>
      </c>
    </row>
    <row r="2942" spans="1:10" x14ac:dyDescent="0.35">
      <c r="A2942" t="s">
        <v>3130</v>
      </c>
      <c r="B2942" s="1">
        <v>46193</v>
      </c>
      <c r="C2942" t="s">
        <v>175</v>
      </c>
      <c r="D2942" t="s">
        <v>80</v>
      </c>
      <c r="E2942" t="s">
        <v>92</v>
      </c>
      <c r="F2942" t="s">
        <v>14</v>
      </c>
      <c r="G2942">
        <v>18.46</v>
      </c>
      <c r="H2942" t="s">
        <v>15</v>
      </c>
      <c r="I2942" t="s">
        <v>22</v>
      </c>
      <c r="J2942" t="s">
        <v>141</v>
      </c>
    </row>
    <row r="2943" spans="1:10" x14ac:dyDescent="0.35">
      <c r="A2943" t="s">
        <v>3131</v>
      </c>
      <c r="B2943" s="1">
        <v>46193</v>
      </c>
      <c r="C2943" t="s">
        <v>210</v>
      </c>
      <c r="D2943" t="s">
        <v>59</v>
      </c>
      <c r="E2943" t="s">
        <v>185</v>
      </c>
      <c r="F2943" t="s">
        <v>14</v>
      </c>
      <c r="G2943">
        <v>616.46</v>
      </c>
      <c r="H2943" t="s">
        <v>15</v>
      </c>
      <c r="I2943" t="s">
        <v>22</v>
      </c>
      <c r="J2943" t="s">
        <v>211</v>
      </c>
    </row>
    <row r="2944" spans="1:10" x14ac:dyDescent="0.35">
      <c r="A2944" t="s">
        <v>3132</v>
      </c>
      <c r="B2944" s="1">
        <v>46193</v>
      </c>
      <c r="C2944" t="s">
        <v>580</v>
      </c>
      <c r="D2944" t="s">
        <v>80</v>
      </c>
      <c r="E2944" t="s">
        <v>81</v>
      </c>
      <c r="F2944" t="s">
        <v>14</v>
      </c>
      <c r="G2944">
        <v>80.95</v>
      </c>
      <c r="H2944" t="s">
        <v>98</v>
      </c>
      <c r="I2944" t="s">
        <v>47</v>
      </c>
      <c r="J2944" t="s">
        <v>118</v>
      </c>
    </row>
    <row r="2945" spans="1:10" x14ac:dyDescent="0.35">
      <c r="A2945" t="s">
        <v>3133</v>
      </c>
      <c r="B2945" s="1">
        <v>46194</v>
      </c>
      <c r="C2945" t="s">
        <v>46</v>
      </c>
      <c r="D2945" t="s">
        <v>12</v>
      </c>
      <c r="E2945" t="s">
        <v>13</v>
      </c>
      <c r="F2945" t="s">
        <v>14</v>
      </c>
      <c r="G2945">
        <v>180</v>
      </c>
      <c r="H2945" t="s">
        <v>15</v>
      </c>
      <c r="I2945" t="s">
        <v>47</v>
      </c>
      <c r="J2945" t="s">
        <v>48</v>
      </c>
    </row>
    <row r="2946" spans="1:10" x14ac:dyDescent="0.35">
      <c r="A2946" t="s">
        <v>3134</v>
      </c>
      <c r="B2946" s="1">
        <v>46194</v>
      </c>
      <c r="C2946" t="s">
        <v>143</v>
      </c>
      <c r="D2946" t="s">
        <v>54</v>
      </c>
      <c r="E2946" t="s">
        <v>55</v>
      </c>
      <c r="F2946" t="s">
        <v>54</v>
      </c>
      <c r="G2946">
        <v>593.21</v>
      </c>
      <c r="H2946" t="s">
        <v>15</v>
      </c>
      <c r="I2946" t="s">
        <v>22</v>
      </c>
      <c r="J2946" t="s">
        <v>89</v>
      </c>
    </row>
    <row r="2947" spans="1:10" x14ac:dyDescent="0.35">
      <c r="A2947" t="s">
        <v>3135</v>
      </c>
      <c r="B2947" s="1">
        <v>46194</v>
      </c>
      <c r="C2947" t="s">
        <v>150</v>
      </c>
      <c r="D2947" t="s">
        <v>29</v>
      </c>
      <c r="E2947" t="s">
        <v>30</v>
      </c>
      <c r="F2947" t="s">
        <v>14</v>
      </c>
      <c r="G2947">
        <v>20.92</v>
      </c>
      <c r="H2947" t="s">
        <v>15</v>
      </c>
      <c r="I2947" t="s">
        <v>22</v>
      </c>
      <c r="J2947" t="s">
        <v>151</v>
      </c>
    </row>
    <row r="2948" spans="1:10" x14ac:dyDescent="0.35">
      <c r="A2948" t="s">
        <v>3136</v>
      </c>
      <c r="B2948" s="1">
        <v>46194</v>
      </c>
      <c r="C2948" t="s">
        <v>296</v>
      </c>
      <c r="D2948" t="s">
        <v>101</v>
      </c>
      <c r="E2948" t="s">
        <v>136</v>
      </c>
      <c r="F2948" t="s">
        <v>14</v>
      </c>
      <c r="G2948">
        <v>51.88</v>
      </c>
      <c r="H2948" t="s">
        <v>15</v>
      </c>
      <c r="I2948" t="s">
        <v>22</v>
      </c>
      <c r="J2948" t="s">
        <v>136</v>
      </c>
    </row>
    <row r="2949" spans="1:10" x14ac:dyDescent="0.35">
      <c r="A2949" t="s">
        <v>3137</v>
      </c>
      <c r="B2949" s="1">
        <v>46194</v>
      </c>
      <c r="C2949" t="s">
        <v>350</v>
      </c>
      <c r="D2949" t="s">
        <v>29</v>
      </c>
      <c r="E2949" t="s">
        <v>151</v>
      </c>
      <c r="F2949" t="s">
        <v>14</v>
      </c>
      <c r="G2949">
        <v>81.55</v>
      </c>
      <c r="H2949" t="s">
        <v>21</v>
      </c>
      <c r="I2949" t="s">
        <v>22</v>
      </c>
      <c r="J2949" t="s">
        <v>158</v>
      </c>
    </row>
    <row r="2950" spans="1:10" x14ac:dyDescent="0.35">
      <c r="A2950" t="s">
        <v>3138</v>
      </c>
      <c r="B2950" s="1">
        <v>46194</v>
      </c>
      <c r="C2950" t="s">
        <v>256</v>
      </c>
      <c r="D2950" t="s">
        <v>34</v>
      </c>
      <c r="E2950" t="s">
        <v>40</v>
      </c>
      <c r="F2950" t="s">
        <v>14</v>
      </c>
      <c r="G2950">
        <v>49.32</v>
      </c>
      <c r="H2950" t="s">
        <v>15</v>
      </c>
      <c r="I2950" t="s">
        <v>22</v>
      </c>
      <c r="J2950" t="s">
        <v>239</v>
      </c>
    </row>
    <row r="2951" spans="1:10" x14ac:dyDescent="0.35">
      <c r="A2951" t="s">
        <v>3139</v>
      </c>
      <c r="B2951" s="1">
        <v>46195</v>
      </c>
      <c r="C2951" t="s">
        <v>267</v>
      </c>
      <c r="D2951" t="s">
        <v>29</v>
      </c>
      <c r="E2951" t="s">
        <v>30</v>
      </c>
      <c r="F2951" t="s">
        <v>14</v>
      </c>
      <c r="G2951">
        <v>29.02</v>
      </c>
      <c r="H2951" t="s">
        <v>15</v>
      </c>
      <c r="I2951" t="s">
        <v>84</v>
      </c>
      <c r="J2951" t="s">
        <v>96</v>
      </c>
    </row>
    <row r="2952" spans="1:10" x14ac:dyDescent="0.35">
      <c r="A2952" t="s">
        <v>3140</v>
      </c>
      <c r="B2952" s="1">
        <v>46195</v>
      </c>
      <c r="C2952" t="s">
        <v>227</v>
      </c>
      <c r="D2952" t="s">
        <v>12</v>
      </c>
      <c r="E2952" t="s">
        <v>51</v>
      </c>
      <c r="F2952" t="s">
        <v>14</v>
      </c>
      <c r="G2952">
        <v>55.71</v>
      </c>
      <c r="H2952" t="s">
        <v>15</v>
      </c>
      <c r="I2952" t="s">
        <v>36</v>
      </c>
      <c r="J2952" t="s">
        <v>17</v>
      </c>
    </row>
    <row r="2953" spans="1:10" x14ac:dyDescent="0.35">
      <c r="A2953" t="s">
        <v>3141</v>
      </c>
      <c r="B2953" s="1">
        <v>46195</v>
      </c>
      <c r="C2953" t="s">
        <v>298</v>
      </c>
      <c r="D2953" t="s">
        <v>59</v>
      </c>
      <c r="E2953" t="s">
        <v>185</v>
      </c>
      <c r="F2953" t="s">
        <v>14</v>
      </c>
      <c r="G2953">
        <v>197.02</v>
      </c>
      <c r="H2953" t="s">
        <v>15</v>
      </c>
      <c r="I2953" t="s">
        <v>47</v>
      </c>
      <c r="J2953" t="s">
        <v>170</v>
      </c>
    </row>
    <row r="2954" spans="1:10" x14ac:dyDescent="0.35">
      <c r="A2954" t="s">
        <v>3142</v>
      </c>
      <c r="B2954" s="1">
        <v>46196</v>
      </c>
      <c r="C2954" t="s">
        <v>138</v>
      </c>
      <c r="D2954" t="s">
        <v>12</v>
      </c>
      <c r="E2954" t="s">
        <v>26</v>
      </c>
      <c r="F2954" t="s">
        <v>14</v>
      </c>
      <c r="G2954">
        <v>23.54</v>
      </c>
      <c r="H2954" t="s">
        <v>21</v>
      </c>
      <c r="I2954" t="s">
        <v>36</v>
      </c>
      <c r="J2954" t="s">
        <v>77</v>
      </c>
    </row>
    <row r="2955" spans="1:10" x14ac:dyDescent="0.35">
      <c r="A2955" t="s">
        <v>3143</v>
      </c>
      <c r="B2955" s="1">
        <v>46196</v>
      </c>
      <c r="C2955" t="s">
        <v>464</v>
      </c>
      <c r="D2955" t="s">
        <v>34</v>
      </c>
      <c r="E2955" t="s">
        <v>122</v>
      </c>
      <c r="F2955" t="s">
        <v>14</v>
      </c>
      <c r="G2955">
        <v>238.08</v>
      </c>
      <c r="H2955" t="s">
        <v>15</v>
      </c>
      <c r="I2955" t="s">
        <v>47</v>
      </c>
      <c r="J2955" t="s">
        <v>239</v>
      </c>
    </row>
    <row r="2956" spans="1:10" x14ac:dyDescent="0.35">
      <c r="A2956" t="s">
        <v>3144</v>
      </c>
      <c r="B2956" s="1">
        <v>46197</v>
      </c>
      <c r="C2956" t="s">
        <v>125</v>
      </c>
      <c r="D2956" t="s">
        <v>12</v>
      </c>
      <c r="E2956" t="s">
        <v>13</v>
      </c>
      <c r="F2956" t="s">
        <v>14</v>
      </c>
      <c r="G2956">
        <v>43.17</v>
      </c>
      <c r="H2956" t="s">
        <v>15</v>
      </c>
      <c r="I2956" t="s">
        <v>84</v>
      </c>
      <c r="J2956" t="s">
        <v>44</v>
      </c>
    </row>
    <row r="2957" spans="1:10" x14ac:dyDescent="0.35">
      <c r="A2957" t="s">
        <v>3145</v>
      </c>
      <c r="B2957" s="1">
        <v>46197</v>
      </c>
      <c r="C2957" t="s">
        <v>155</v>
      </c>
      <c r="D2957" t="s">
        <v>12</v>
      </c>
      <c r="E2957" t="s">
        <v>51</v>
      </c>
      <c r="F2957" t="s">
        <v>14</v>
      </c>
      <c r="G2957">
        <v>21.53</v>
      </c>
      <c r="H2957" t="s">
        <v>15</v>
      </c>
      <c r="I2957" t="s">
        <v>22</v>
      </c>
      <c r="J2957" t="s">
        <v>48</v>
      </c>
    </row>
    <row r="2958" spans="1:10" x14ac:dyDescent="0.35">
      <c r="A2958" t="s">
        <v>3146</v>
      </c>
      <c r="B2958" s="1">
        <v>46197</v>
      </c>
      <c r="C2958" t="s">
        <v>184</v>
      </c>
      <c r="D2958" t="s">
        <v>59</v>
      </c>
      <c r="E2958" t="s">
        <v>185</v>
      </c>
      <c r="F2958" t="s">
        <v>14</v>
      </c>
      <c r="G2958">
        <v>422.71</v>
      </c>
      <c r="H2958" t="s">
        <v>15</v>
      </c>
      <c r="I2958" t="s">
        <v>36</v>
      </c>
      <c r="J2958" t="s">
        <v>61</v>
      </c>
    </row>
    <row r="2959" spans="1:10" x14ac:dyDescent="0.35">
      <c r="A2959" t="s">
        <v>3147</v>
      </c>
      <c r="B2959" s="1">
        <v>46197</v>
      </c>
      <c r="C2959" t="s">
        <v>262</v>
      </c>
      <c r="D2959" t="s">
        <v>101</v>
      </c>
      <c r="E2959" t="s">
        <v>244</v>
      </c>
      <c r="F2959" t="s">
        <v>14</v>
      </c>
      <c r="G2959">
        <v>26.61</v>
      </c>
      <c r="H2959" t="s">
        <v>98</v>
      </c>
      <c r="I2959" t="s">
        <v>36</v>
      </c>
      <c r="J2959" t="s">
        <v>136</v>
      </c>
    </row>
    <row r="2960" spans="1:10" x14ac:dyDescent="0.35">
      <c r="A2960" t="s">
        <v>3148</v>
      </c>
      <c r="B2960" s="1">
        <v>46197</v>
      </c>
      <c r="C2960" t="s">
        <v>163</v>
      </c>
      <c r="D2960" t="s">
        <v>80</v>
      </c>
      <c r="E2960" t="s">
        <v>92</v>
      </c>
      <c r="F2960" t="s">
        <v>14</v>
      </c>
      <c r="G2960">
        <v>50.87</v>
      </c>
      <c r="H2960" t="s">
        <v>15</v>
      </c>
      <c r="I2960" t="s">
        <v>36</v>
      </c>
      <c r="J2960" t="s">
        <v>118</v>
      </c>
    </row>
    <row r="2961" spans="1:10" x14ac:dyDescent="0.35">
      <c r="A2961" t="s">
        <v>3149</v>
      </c>
      <c r="B2961" s="1">
        <v>46198</v>
      </c>
      <c r="C2961" t="s">
        <v>153</v>
      </c>
      <c r="D2961" t="s">
        <v>34</v>
      </c>
      <c r="E2961" t="s">
        <v>122</v>
      </c>
      <c r="F2961" t="s">
        <v>14</v>
      </c>
      <c r="G2961">
        <v>113.2</v>
      </c>
      <c r="H2961" t="s">
        <v>98</v>
      </c>
      <c r="I2961" t="s">
        <v>47</v>
      </c>
      <c r="J2961" t="s">
        <v>41</v>
      </c>
    </row>
    <row r="2962" spans="1:10" x14ac:dyDescent="0.35">
      <c r="A2962" t="s">
        <v>3150</v>
      </c>
      <c r="B2962" s="1">
        <v>46198</v>
      </c>
      <c r="C2962" t="s">
        <v>184</v>
      </c>
      <c r="D2962" t="s">
        <v>59</v>
      </c>
      <c r="E2962" t="s">
        <v>185</v>
      </c>
      <c r="F2962" t="s">
        <v>14</v>
      </c>
      <c r="G2962">
        <v>103.82</v>
      </c>
      <c r="H2962" t="s">
        <v>21</v>
      </c>
      <c r="I2962" t="s">
        <v>84</v>
      </c>
      <c r="J2962" t="s">
        <v>61</v>
      </c>
    </row>
    <row r="2963" spans="1:10" x14ac:dyDescent="0.35">
      <c r="A2963" t="s">
        <v>3151</v>
      </c>
      <c r="B2963" s="1">
        <v>46198</v>
      </c>
      <c r="C2963" t="s">
        <v>198</v>
      </c>
      <c r="D2963" t="s">
        <v>59</v>
      </c>
      <c r="E2963" t="s">
        <v>199</v>
      </c>
      <c r="F2963" t="s">
        <v>14</v>
      </c>
      <c r="G2963">
        <v>289.77</v>
      </c>
      <c r="H2963" t="s">
        <v>21</v>
      </c>
      <c r="I2963" t="s">
        <v>36</v>
      </c>
      <c r="J2963" t="s">
        <v>61</v>
      </c>
    </row>
    <row r="2964" spans="1:10" x14ac:dyDescent="0.35">
      <c r="A2964" t="s">
        <v>3152</v>
      </c>
      <c r="B2964" s="1">
        <v>46198</v>
      </c>
      <c r="C2964" t="s">
        <v>53</v>
      </c>
      <c r="D2964" t="s">
        <v>54</v>
      </c>
      <c r="E2964" t="s">
        <v>55</v>
      </c>
      <c r="F2964" t="s">
        <v>54</v>
      </c>
      <c r="G2964">
        <v>676.98</v>
      </c>
      <c r="H2964" t="s">
        <v>15</v>
      </c>
      <c r="I2964" t="s">
        <v>47</v>
      </c>
      <c r="J2964" t="s">
        <v>56</v>
      </c>
    </row>
    <row r="2965" spans="1:10" x14ac:dyDescent="0.35">
      <c r="A2965" t="s">
        <v>3153</v>
      </c>
      <c r="B2965" s="1">
        <v>46199</v>
      </c>
      <c r="C2965" t="s">
        <v>130</v>
      </c>
      <c r="D2965" t="s">
        <v>12</v>
      </c>
      <c r="E2965" t="s">
        <v>26</v>
      </c>
      <c r="F2965" t="s">
        <v>14</v>
      </c>
      <c r="G2965">
        <v>12.59</v>
      </c>
      <c r="H2965" t="s">
        <v>15</v>
      </c>
      <c r="I2965" t="s">
        <v>22</v>
      </c>
      <c r="J2965" t="s">
        <v>48</v>
      </c>
    </row>
    <row r="2966" spans="1:10" x14ac:dyDescent="0.35">
      <c r="A2966" t="s">
        <v>3154</v>
      </c>
      <c r="B2966" s="1">
        <v>46199</v>
      </c>
      <c r="C2966" t="s">
        <v>229</v>
      </c>
      <c r="D2966" t="s">
        <v>54</v>
      </c>
      <c r="E2966" t="s">
        <v>64</v>
      </c>
      <c r="F2966" t="s">
        <v>54</v>
      </c>
      <c r="G2966">
        <v>391.45</v>
      </c>
      <c r="H2966" t="s">
        <v>15</v>
      </c>
      <c r="I2966" t="s">
        <v>36</v>
      </c>
      <c r="J2966" t="s">
        <v>56</v>
      </c>
    </row>
    <row r="2967" spans="1:10" x14ac:dyDescent="0.35">
      <c r="A2967" t="s">
        <v>3155</v>
      </c>
      <c r="B2967" s="1">
        <v>46199</v>
      </c>
      <c r="C2967" t="s">
        <v>116</v>
      </c>
      <c r="D2967" t="s">
        <v>80</v>
      </c>
      <c r="E2967" t="s">
        <v>117</v>
      </c>
      <c r="F2967" t="s">
        <v>14</v>
      </c>
      <c r="G2967">
        <v>17.72</v>
      </c>
      <c r="H2967" t="s">
        <v>21</v>
      </c>
      <c r="I2967" t="s">
        <v>22</v>
      </c>
      <c r="J2967" t="s">
        <v>118</v>
      </c>
    </row>
    <row r="2968" spans="1:10" x14ac:dyDescent="0.35">
      <c r="A2968" t="s">
        <v>3156</v>
      </c>
      <c r="B2968" s="1">
        <v>46199</v>
      </c>
      <c r="C2968" t="s">
        <v>229</v>
      </c>
      <c r="D2968" t="s">
        <v>54</v>
      </c>
      <c r="E2968" t="s">
        <v>64</v>
      </c>
      <c r="F2968" t="s">
        <v>54</v>
      </c>
      <c r="G2968">
        <v>346.87</v>
      </c>
      <c r="H2968" t="s">
        <v>15</v>
      </c>
      <c r="I2968" t="s">
        <v>22</v>
      </c>
      <c r="J2968" t="s">
        <v>56</v>
      </c>
    </row>
    <row r="2969" spans="1:10" x14ac:dyDescent="0.35">
      <c r="A2969" t="s">
        <v>3157</v>
      </c>
      <c r="B2969" s="1">
        <v>46199</v>
      </c>
      <c r="C2969" t="s">
        <v>184</v>
      </c>
      <c r="D2969" t="s">
        <v>59</v>
      </c>
      <c r="E2969" t="s">
        <v>185</v>
      </c>
      <c r="F2969" t="s">
        <v>14</v>
      </c>
      <c r="G2969">
        <v>374.71</v>
      </c>
      <c r="H2969" t="s">
        <v>15</v>
      </c>
      <c r="I2969" t="s">
        <v>36</v>
      </c>
      <c r="J2969" t="s">
        <v>61</v>
      </c>
    </row>
    <row r="2970" spans="1:10" x14ac:dyDescent="0.35">
      <c r="A2970" t="s">
        <v>3158</v>
      </c>
      <c r="B2970" s="1">
        <v>46199</v>
      </c>
      <c r="C2970" t="s">
        <v>204</v>
      </c>
      <c r="D2970" t="s">
        <v>12</v>
      </c>
      <c r="E2970" t="s">
        <v>51</v>
      </c>
      <c r="F2970" t="s">
        <v>14</v>
      </c>
      <c r="G2970">
        <v>92.5</v>
      </c>
      <c r="H2970" t="s">
        <v>21</v>
      </c>
      <c r="I2970" t="s">
        <v>22</v>
      </c>
      <c r="J2970" t="s">
        <v>23</v>
      </c>
    </row>
    <row r="2971" spans="1:10" x14ac:dyDescent="0.35">
      <c r="A2971" t="s">
        <v>3159</v>
      </c>
      <c r="B2971" s="1">
        <v>46200</v>
      </c>
      <c r="C2971" t="s">
        <v>100</v>
      </c>
      <c r="D2971" t="s">
        <v>101</v>
      </c>
      <c r="E2971" t="s">
        <v>102</v>
      </c>
      <c r="F2971" t="s">
        <v>14</v>
      </c>
      <c r="G2971">
        <v>87.16</v>
      </c>
      <c r="H2971" t="s">
        <v>15</v>
      </c>
      <c r="I2971" t="s">
        <v>22</v>
      </c>
      <c r="J2971" t="s">
        <v>103</v>
      </c>
    </row>
    <row r="2972" spans="1:10" x14ac:dyDescent="0.35">
      <c r="A2972" t="s">
        <v>3160</v>
      </c>
      <c r="B2972" s="1">
        <v>46200</v>
      </c>
      <c r="C2972" t="s">
        <v>272</v>
      </c>
      <c r="D2972" t="s">
        <v>54</v>
      </c>
      <c r="E2972" t="s">
        <v>55</v>
      </c>
      <c r="F2972" t="s">
        <v>54</v>
      </c>
      <c r="G2972">
        <v>803.4</v>
      </c>
      <c r="H2972" t="s">
        <v>21</v>
      </c>
      <c r="I2972" t="s">
        <v>16</v>
      </c>
      <c r="J2972" t="s">
        <v>65</v>
      </c>
    </row>
    <row r="2973" spans="1:10" x14ac:dyDescent="0.35">
      <c r="A2973" t="s">
        <v>3161</v>
      </c>
      <c r="B2973" s="1">
        <v>46200</v>
      </c>
      <c r="C2973" t="s">
        <v>179</v>
      </c>
      <c r="D2973" t="s">
        <v>80</v>
      </c>
      <c r="E2973" t="s">
        <v>117</v>
      </c>
      <c r="F2973" t="s">
        <v>14</v>
      </c>
      <c r="G2973">
        <v>23.44</v>
      </c>
      <c r="H2973" t="s">
        <v>15</v>
      </c>
      <c r="I2973" t="s">
        <v>16</v>
      </c>
      <c r="J2973" t="s">
        <v>180</v>
      </c>
    </row>
    <row r="2974" spans="1:10" x14ac:dyDescent="0.35">
      <c r="A2974" t="s">
        <v>3162</v>
      </c>
      <c r="B2974" s="1">
        <v>46200</v>
      </c>
      <c r="C2974" t="s">
        <v>150</v>
      </c>
      <c r="D2974" t="s">
        <v>29</v>
      </c>
      <c r="E2974" t="s">
        <v>30</v>
      </c>
      <c r="F2974" t="s">
        <v>14</v>
      </c>
      <c r="G2974">
        <v>23.71</v>
      </c>
      <c r="H2974" t="s">
        <v>15</v>
      </c>
      <c r="I2974" t="s">
        <v>47</v>
      </c>
      <c r="J2974" t="s">
        <v>151</v>
      </c>
    </row>
    <row r="2975" spans="1:10" x14ac:dyDescent="0.35">
      <c r="A2975" t="s">
        <v>3163</v>
      </c>
      <c r="B2975" s="1">
        <v>46200</v>
      </c>
      <c r="C2975" t="s">
        <v>229</v>
      </c>
      <c r="D2975" t="s">
        <v>54</v>
      </c>
      <c r="E2975" t="s">
        <v>64</v>
      </c>
      <c r="F2975" t="s">
        <v>54</v>
      </c>
      <c r="G2975">
        <v>391.59</v>
      </c>
      <c r="H2975" t="s">
        <v>98</v>
      </c>
      <c r="I2975" t="s">
        <v>36</v>
      </c>
      <c r="J2975" t="s">
        <v>56</v>
      </c>
    </row>
    <row r="2976" spans="1:10" x14ac:dyDescent="0.35">
      <c r="A2976" t="s">
        <v>3164</v>
      </c>
      <c r="B2976" s="1">
        <v>46200</v>
      </c>
      <c r="C2976" t="s">
        <v>58</v>
      </c>
      <c r="D2976" t="s">
        <v>59</v>
      </c>
      <c r="E2976" t="s">
        <v>60</v>
      </c>
      <c r="F2976" t="s">
        <v>14</v>
      </c>
      <c r="G2976">
        <v>950</v>
      </c>
      <c r="H2976" t="s">
        <v>15</v>
      </c>
      <c r="I2976" t="s">
        <v>36</v>
      </c>
      <c r="J2976" t="s">
        <v>61</v>
      </c>
    </row>
    <row r="2977" spans="1:10" x14ac:dyDescent="0.35">
      <c r="A2977" t="s">
        <v>3165</v>
      </c>
      <c r="B2977" s="1">
        <v>46201</v>
      </c>
      <c r="C2977" t="s">
        <v>267</v>
      </c>
      <c r="D2977" t="s">
        <v>29</v>
      </c>
      <c r="E2977" t="s">
        <v>30</v>
      </c>
      <c r="F2977" t="s">
        <v>14</v>
      </c>
      <c r="G2977">
        <v>56.55</v>
      </c>
      <c r="H2977" t="s">
        <v>21</v>
      </c>
      <c r="I2977" t="s">
        <v>22</v>
      </c>
      <c r="J2977" t="s">
        <v>96</v>
      </c>
    </row>
    <row r="2978" spans="1:10" x14ac:dyDescent="0.35">
      <c r="A2978" t="s">
        <v>3166</v>
      </c>
      <c r="B2978" s="1">
        <v>46201</v>
      </c>
      <c r="C2978" t="s">
        <v>272</v>
      </c>
      <c r="D2978" t="s">
        <v>54</v>
      </c>
      <c r="E2978" t="s">
        <v>55</v>
      </c>
      <c r="F2978" t="s">
        <v>54</v>
      </c>
      <c r="G2978">
        <v>810.32</v>
      </c>
      <c r="H2978" t="s">
        <v>15</v>
      </c>
      <c r="I2978" t="s">
        <v>16</v>
      </c>
      <c r="J2978" t="s">
        <v>65</v>
      </c>
    </row>
    <row r="2979" spans="1:10" x14ac:dyDescent="0.35">
      <c r="A2979" t="s">
        <v>3167</v>
      </c>
      <c r="B2979" s="1">
        <v>46201</v>
      </c>
      <c r="C2979" t="s">
        <v>424</v>
      </c>
      <c r="D2979" t="s">
        <v>101</v>
      </c>
      <c r="E2979" t="s">
        <v>136</v>
      </c>
      <c r="F2979" t="s">
        <v>14</v>
      </c>
      <c r="G2979">
        <v>59.24</v>
      </c>
      <c r="H2979" t="s">
        <v>21</v>
      </c>
      <c r="I2979" t="s">
        <v>22</v>
      </c>
      <c r="J2979" t="s">
        <v>102</v>
      </c>
    </row>
    <row r="2980" spans="1:10" x14ac:dyDescent="0.35">
      <c r="A2980" t="s">
        <v>3168</v>
      </c>
      <c r="B2980" s="1">
        <v>46201</v>
      </c>
      <c r="C2980" t="s">
        <v>88</v>
      </c>
      <c r="D2980" t="s">
        <v>54</v>
      </c>
      <c r="E2980" t="s">
        <v>74</v>
      </c>
      <c r="F2980" t="s">
        <v>54</v>
      </c>
      <c r="G2980">
        <v>2504.86</v>
      </c>
      <c r="H2980" t="s">
        <v>15</v>
      </c>
      <c r="I2980" t="s">
        <v>47</v>
      </c>
      <c r="J2980" t="s">
        <v>89</v>
      </c>
    </row>
    <row r="2981" spans="1:10" x14ac:dyDescent="0.35">
      <c r="A2981" t="s">
        <v>3169</v>
      </c>
      <c r="B2981" s="1">
        <v>46201</v>
      </c>
      <c r="C2981" t="s">
        <v>220</v>
      </c>
      <c r="D2981" t="s">
        <v>59</v>
      </c>
      <c r="E2981" t="s">
        <v>199</v>
      </c>
      <c r="F2981" t="s">
        <v>14</v>
      </c>
      <c r="G2981">
        <v>247.65</v>
      </c>
      <c r="H2981" t="s">
        <v>15</v>
      </c>
      <c r="I2981" t="s">
        <v>36</v>
      </c>
      <c r="J2981" t="s">
        <v>211</v>
      </c>
    </row>
    <row r="2982" spans="1:10" x14ac:dyDescent="0.35">
      <c r="A2982" t="s">
        <v>3170</v>
      </c>
      <c r="B2982" s="1">
        <v>46202</v>
      </c>
      <c r="C2982" t="s">
        <v>253</v>
      </c>
      <c r="D2982" t="s">
        <v>29</v>
      </c>
      <c r="E2982" t="s">
        <v>30</v>
      </c>
      <c r="F2982" t="s">
        <v>14</v>
      </c>
      <c r="G2982">
        <v>46.8</v>
      </c>
      <c r="H2982" t="s">
        <v>98</v>
      </c>
      <c r="I2982" t="s">
        <v>36</v>
      </c>
      <c r="J2982" t="s">
        <v>158</v>
      </c>
    </row>
    <row r="2983" spans="1:10" x14ac:dyDescent="0.35">
      <c r="A2983" t="s">
        <v>3171</v>
      </c>
      <c r="B2983" s="1">
        <v>46202</v>
      </c>
      <c r="C2983" t="s">
        <v>229</v>
      </c>
      <c r="D2983" t="s">
        <v>54</v>
      </c>
      <c r="E2983" t="s">
        <v>64</v>
      </c>
      <c r="F2983" t="s">
        <v>54</v>
      </c>
      <c r="G2983">
        <v>333.34</v>
      </c>
      <c r="H2983" t="s">
        <v>21</v>
      </c>
      <c r="I2983" t="s">
        <v>47</v>
      </c>
      <c r="J2983" t="s">
        <v>56</v>
      </c>
    </row>
    <row r="2984" spans="1:10" x14ac:dyDescent="0.35">
      <c r="A2984" t="s">
        <v>3172</v>
      </c>
      <c r="B2984" s="1">
        <v>46202</v>
      </c>
      <c r="C2984" t="s">
        <v>296</v>
      </c>
      <c r="D2984" t="s">
        <v>101</v>
      </c>
      <c r="E2984" t="s">
        <v>136</v>
      </c>
      <c r="F2984" t="s">
        <v>14</v>
      </c>
      <c r="G2984">
        <v>39.4</v>
      </c>
      <c r="H2984" t="s">
        <v>21</v>
      </c>
      <c r="I2984" t="s">
        <v>47</v>
      </c>
      <c r="J2984" t="s">
        <v>136</v>
      </c>
    </row>
    <row r="2985" spans="1:10" x14ac:dyDescent="0.35">
      <c r="A2985" t="s">
        <v>3173</v>
      </c>
      <c r="B2985" s="1">
        <v>46202</v>
      </c>
      <c r="C2985" t="s">
        <v>227</v>
      </c>
      <c r="D2985" t="s">
        <v>12</v>
      </c>
      <c r="E2985" t="s">
        <v>51</v>
      </c>
      <c r="F2985" t="s">
        <v>14</v>
      </c>
      <c r="G2985">
        <v>117.7</v>
      </c>
      <c r="H2985" t="s">
        <v>21</v>
      </c>
      <c r="I2985" t="s">
        <v>36</v>
      </c>
      <c r="J2985" t="s">
        <v>17</v>
      </c>
    </row>
    <row r="2986" spans="1:10" x14ac:dyDescent="0.35">
      <c r="A2986" t="s">
        <v>3174</v>
      </c>
      <c r="B2986" s="1">
        <v>46202</v>
      </c>
      <c r="C2986" t="s">
        <v>238</v>
      </c>
      <c r="D2986" t="s">
        <v>34</v>
      </c>
      <c r="E2986" t="s">
        <v>35</v>
      </c>
      <c r="F2986" t="s">
        <v>14</v>
      </c>
      <c r="G2986">
        <v>134.13999999999999</v>
      </c>
      <c r="H2986" t="s">
        <v>21</v>
      </c>
      <c r="I2986" t="s">
        <v>47</v>
      </c>
      <c r="J2986" t="s">
        <v>239</v>
      </c>
    </row>
    <row r="2987" spans="1:10" x14ac:dyDescent="0.35">
      <c r="A2987" t="s">
        <v>3175</v>
      </c>
      <c r="B2987" s="1">
        <v>46203</v>
      </c>
      <c r="C2987" t="s">
        <v>46</v>
      </c>
      <c r="D2987" t="s">
        <v>12</v>
      </c>
      <c r="E2987" t="s">
        <v>13</v>
      </c>
      <c r="F2987" t="s">
        <v>14</v>
      </c>
      <c r="G2987">
        <v>20.25</v>
      </c>
      <c r="H2987" t="s">
        <v>15</v>
      </c>
      <c r="I2987" t="s">
        <v>47</v>
      </c>
      <c r="J2987" t="s">
        <v>48</v>
      </c>
    </row>
    <row r="2988" spans="1:10" x14ac:dyDescent="0.35">
      <c r="A2988" t="s">
        <v>3176</v>
      </c>
      <c r="B2988" s="1">
        <v>46203</v>
      </c>
      <c r="C2988" t="s">
        <v>229</v>
      </c>
      <c r="D2988" t="s">
        <v>54</v>
      </c>
      <c r="E2988" t="s">
        <v>64</v>
      </c>
      <c r="F2988" t="s">
        <v>54</v>
      </c>
      <c r="G2988">
        <v>354.03</v>
      </c>
      <c r="H2988" t="s">
        <v>15</v>
      </c>
      <c r="I2988" t="s">
        <v>47</v>
      </c>
      <c r="J2988" t="s">
        <v>56</v>
      </c>
    </row>
    <row r="2989" spans="1:10" x14ac:dyDescent="0.35">
      <c r="A2989" t="s">
        <v>3177</v>
      </c>
      <c r="B2989" s="1">
        <v>46203</v>
      </c>
      <c r="C2989" t="s">
        <v>189</v>
      </c>
      <c r="D2989" t="s">
        <v>34</v>
      </c>
      <c r="E2989" t="s">
        <v>122</v>
      </c>
      <c r="F2989" t="s">
        <v>14</v>
      </c>
      <c r="G2989">
        <v>325.42</v>
      </c>
      <c r="H2989" t="s">
        <v>15</v>
      </c>
      <c r="I2989" t="s">
        <v>36</v>
      </c>
      <c r="J2989" t="s">
        <v>37</v>
      </c>
    </row>
    <row r="2990" spans="1:10" x14ac:dyDescent="0.35">
      <c r="A2990" t="s">
        <v>3178</v>
      </c>
      <c r="B2990" s="1">
        <v>46204</v>
      </c>
      <c r="C2990" t="s">
        <v>347</v>
      </c>
      <c r="D2990" t="s">
        <v>29</v>
      </c>
      <c r="E2990" t="s">
        <v>151</v>
      </c>
      <c r="F2990" t="s">
        <v>14</v>
      </c>
      <c r="G2990">
        <v>57.66</v>
      </c>
      <c r="H2990" t="s">
        <v>15</v>
      </c>
      <c r="I2990" t="s">
        <v>16</v>
      </c>
      <c r="J2990" t="s">
        <v>96</v>
      </c>
    </row>
    <row r="2991" spans="1:10" x14ac:dyDescent="0.35">
      <c r="A2991" t="s">
        <v>3179</v>
      </c>
      <c r="B2991" s="1">
        <v>46204</v>
      </c>
      <c r="C2991" t="s">
        <v>88</v>
      </c>
      <c r="D2991" t="s">
        <v>54</v>
      </c>
      <c r="E2991" t="s">
        <v>74</v>
      </c>
      <c r="F2991" t="s">
        <v>54</v>
      </c>
      <c r="G2991">
        <v>2004.47</v>
      </c>
      <c r="H2991" t="s">
        <v>15</v>
      </c>
      <c r="I2991" t="s">
        <v>22</v>
      </c>
      <c r="J2991" t="s">
        <v>89</v>
      </c>
    </row>
    <row r="2992" spans="1:10" x14ac:dyDescent="0.35">
      <c r="A2992" t="s">
        <v>3180</v>
      </c>
      <c r="B2992" s="1">
        <v>46204</v>
      </c>
      <c r="C2992" t="s">
        <v>130</v>
      </c>
      <c r="D2992" t="s">
        <v>12</v>
      </c>
      <c r="E2992" t="s">
        <v>26</v>
      </c>
      <c r="F2992" t="s">
        <v>14</v>
      </c>
      <c r="G2992">
        <v>79.19</v>
      </c>
      <c r="H2992" t="s">
        <v>21</v>
      </c>
      <c r="I2992" t="s">
        <v>36</v>
      </c>
      <c r="J2992" t="s">
        <v>48</v>
      </c>
    </row>
    <row r="2993" spans="1:10" x14ac:dyDescent="0.35">
      <c r="A2993" t="s">
        <v>3181</v>
      </c>
      <c r="B2993" s="1">
        <v>46204</v>
      </c>
      <c r="C2993" t="s">
        <v>11</v>
      </c>
      <c r="D2993" t="s">
        <v>12</v>
      </c>
      <c r="E2993" t="s">
        <v>13</v>
      </c>
      <c r="F2993" t="s">
        <v>14</v>
      </c>
      <c r="G2993">
        <v>112.93</v>
      </c>
      <c r="H2993" t="s">
        <v>15</v>
      </c>
      <c r="I2993" t="s">
        <v>22</v>
      </c>
      <c r="J2993" t="s">
        <v>17</v>
      </c>
    </row>
    <row r="2994" spans="1:10" x14ac:dyDescent="0.35">
      <c r="A2994" t="s">
        <v>3182</v>
      </c>
      <c r="B2994" s="1">
        <v>46204</v>
      </c>
      <c r="C2994" t="s">
        <v>79</v>
      </c>
      <c r="D2994" t="s">
        <v>80</v>
      </c>
      <c r="E2994" t="s">
        <v>81</v>
      </c>
      <c r="F2994" t="s">
        <v>14</v>
      </c>
      <c r="G2994">
        <v>81.319999999999993</v>
      </c>
      <c r="H2994" t="s">
        <v>21</v>
      </c>
      <c r="I2994" t="s">
        <v>22</v>
      </c>
      <c r="J2994" t="s">
        <v>82</v>
      </c>
    </row>
    <row r="2995" spans="1:10" x14ac:dyDescent="0.35">
      <c r="A2995" t="s">
        <v>3183</v>
      </c>
      <c r="B2995" s="1">
        <v>46205</v>
      </c>
      <c r="C2995" t="s">
        <v>269</v>
      </c>
      <c r="D2995" t="s">
        <v>34</v>
      </c>
      <c r="E2995" t="s">
        <v>35</v>
      </c>
      <c r="F2995" t="s">
        <v>14</v>
      </c>
      <c r="G2995">
        <v>173.44</v>
      </c>
      <c r="H2995" t="s">
        <v>98</v>
      </c>
      <c r="I2995" t="s">
        <v>16</v>
      </c>
      <c r="J2995" t="s">
        <v>123</v>
      </c>
    </row>
    <row r="2996" spans="1:10" x14ac:dyDescent="0.35">
      <c r="A2996" t="s">
        <v>3184</v>
      </c>
      <c r="B2996" s="1">
        <v>46205</v>
      </c>
      <c r="C2996" t="s">
        <v>347</v>
      </c>
      <c r="D2996" t="s">
        <v>29</v>
      </c>
      <c r="E2996" t="s">
        <v>151</v>
      </c>
      <c r="F2996" t="s">
        <v>14</v>
      </c>
      <c r="G2996">
        <v>120</v>
      </c>
      <c r="H2996" t="s">
        <v>15</v>
      </c>
      <c r="I2996" t="s">
        <v>16</v>
      </c>
      <c r="J2996" t="s">
        <v>96</v>
      </c>
    </row>
    <row r="2997" spans="1:10" x14ac:dyDescent="0.35">
      <c r="A2997" t="s">
        <v>3185</v>
      </c>
      <c r="B2997" s="1">
        <v>46205</v>
      </c>
      <c r="C2997" t="s">
        <v>160</v>
      </c>
      <c r="D2997" t="s">
        <v>80</v>
      </c>
      <c r="E2997" t="s">
        <v>117</v>
      </c>
      <c r="F2997" t="s">
        <v>14</v>
      </c>
      <c r="G2997">
        <v>33.39</v>
      </c>
      <c r="H2997" t="s">
        <v>15</v>
      </c>
      <c r="I2997" t="s">
        <v>84</v>
      </c>
      <c r="J2997" t="s">
        <v>161</v>
      </c>
    </row>
    <row r="2998" spans="1:10" x14ac:dyDescent="0.35">
      <c r="A2998" t="s">
        <v>3186</v>
      </c>
      <c r="B2998" s="1">
        <v>46205</v>
      </c>
      <c r="C2998" t="s">
        <v>198</v>
      </c>
      <c r="D2998" t="s">
        <v>59</v>
      </c>
      <c r="E2998" t="s">
        <v>199</v>
      </c>
      <c r="F2998" t="s">
        <v>14</v>
      </c>
      <c r="G2998">
        <v>290.99</v>
      </c>
      <c r="H2998" t="s">
        <v>15</v>
      </c>
      <c r="I2998" t="s">
        <v>36</v>
      </c>
      <c r="J2998" t="s">
        <v>61</v>
      </c>
    </row>
    <row r="2999" spans="1:10" x14ac:dyDescent="0.35">
      <c r="A2999" t="s">
        <v>3187</v>
      </c>
      <c r="B2999" s="1">
        <v>46205</v>
      </c>
      <c r="C2999" t="s">
        <v>227</v>
      </c>
      <c r="D2999" t="s">
        <v>12</v>
      </c>
      <c r="E2999" t="s">
        <v>51</v>
      </c>
      <c r="F2999" t="s">
        <v>14</v>
      </c>
      <c r="G2999">
        <v>30.15</v>
      </c>
      <c r="H2999" t="s">
        <v>21</v>
      </c>
      <c r="I2999" t="s">
        <v>36</v>
      </c>
      <c r="J2999" t="s">
        <v>17</v>
      </c>
    </row>
    <row r="3000" spans="1:10" x14ac:dyDescent="0.35">
      <c r="A3000" t="s">
        <v>3188</v>
      </c>
      <c r="B3000" s="1">
        <v>46205</v>
      </c>
      <c r="C3000" t="s">
        <v>121</v>
      </c>
      <c r="D3000" t="s">
        <v>34</v>
      </c>
      <c r="E3000" t="s">
        <v>122</v>
      </c>
      <c r="F3000" t="s">
        <v>14</v>
      </c>
      <c r="G3000">
        <v>256.25</v>
      </c>
      <c r="H3000" t="s">
        <v>21</v>
      </c>
      <c r="I3000" t="s">
        <v>36</v>
      </c>
      <c r="J3000" t="s">
        <v>123</v>
      </c>
    </row>
    <row r="3001" spans="1:10" x14ac:dyDescent="0.35">
      <c r="A3001" t="s">
        <v>3189</v>
      </c>
      <c r="B3001" s="1">
        <v>46206</v>
      </c>
      <c r="C3001" t="s">
        <v>184</v>
      </c>
      <c r="D3001" t="s">
        <v>59</v>
      </c>
      <c r="E3001" t="s">
        <v>185</v>
      </c>
      <c r="F3001" t="s">
        <v>14</v>
      </c>
      <c r="G3001">
        <v>95.45</v>
      </c>
      <c r="H3001" t="s">
        <v>21</v>
      </c>
      <c r="I3001" t="s">
        <v>22</v>
      </c>
      <c r="J3001" t="s">
        <v>61</v>
      </c>
    </row>
    <row r="3002" spans="1:10" x14ac:dyDescent="0.35">
      <c r="A3002" t="s">
        <v>3190</v>
      </c>
      <c r="B3002" s="1">
        <v>46206</v>
      </c>
      <c r="C3002" t="s">
        <v>25</v>
      </c>
      <c r="D3002" t="s">
        <v>12</v>
      </c>
      <c r="E3002" t="s">
        <v>26</v>
      </c>
      <c r="F3002" t="s">
        <v>14</v>
      </c>
      <c r="G3002">
        <v>95.26</v>
      </c>
      <c r="H3002" t="s">
        <v>15</v>
      </c>
      <c r="I3002" t="s">
        <v>47</v>
      </c>
      <c r="J3002" t="s">
        <v>17</v>
      </c>
    </row>
    <row r="3003" spans="1:10" x14ac:dyDescent="0.35">
      <c r="A3003" t="s">
        <v>3191</v>
      </c>
      <c r="B3003" s="1">
        <v>46206</v>
      </c>
      <c r="C3003" t="s">
        <v>135</v>
      </c>
      <c r="D3003" t="s">
        <v>101</v>
      </c>
      <c r="E3003" t="s">
        <v>102</v>
      </c>
      <c r="F3003" t="s">
        <v>14</v>
      </c>
      <c r="G3003">
        <v>97.59</v>
      </c>
      <c r="H3003" t="s">
        <v>21</v>
      </c>
      <c r="I3003" t="s">
        <v>36</v>
      </c>
      <c r="J3003" t="s">
        <v>136</v>
      </c>
    </row>
    <row r="3004" spans="1:10" x14ac:dyDescent="0.35">
      <c r="A3004" t="s">
        <v>3192</v>
      </c>
      <c r="B3004" s="1">
        <v>46206</v>
      </c>
      <c r="C3004" t="s">
        <v>269</v>
      </c>
      <c r="D3004" t="s">
        <v>34</v>
      </c>
      <c r="E3004" t="s">
        <v>35</v>
      </c>
      <c r="F3004" t="s">
        <v>14</v>
      </c>
      <c r="G3004">
        <v>123.21</v>
      </c>
      <c r="H3004" t="s">
        <v>21</v>
      </c>
      <c r="I3004" t="s">
        <v>47</v>
      </c>
      <c r="J3004" t="s">
        <v>123</v>
      </c>
    </row>
    <row r="3005" spans="1:10" x14ac:dyDescent="0.35">
      <c r="A3005" t="s">
        <v>3193</v>
      </c>
      <c r="B3005" s="1">
        <v>46206</v>
      </c>
      <c r="C3005" t="s">
        <v>189</v>
      </c>
      <c r="D3005" t="s">
        <v>34</v>
      </c>
      <c r="E3005" t="s">
        <v>122</v>
      </c>
      <c r="F3005" t="s">
        <v>14</v>
      </c>
      <c r="G3005">
        <v>19.21</v>
      </c>
      <c r="H3005" t="s">
        <v>15</v>
      </c>
      <c r="I3005" t="s">
        <v>47</v>
      </c>
      <c r="J3005" t="s">
        <v>37</v>
      </c>
    </row>
    <row r="3006" spans="1:10" x14ac:dyDescent="0.35">
      <c r="A3006" t="s">
        <v>3194</v>
      </c>
      <c r="B3006" s="1">
        <v>46207</v>
      </c>
      <c r="C3006" t="s">
        <v>111</v>
      </c>
      <c r="D3006" t="s">
        <v>12</v>
      </c>
      <c r="E3006" t="s">
        <v>26</v>
      </c>
      <c r="F3006" t="s">
        <v>14</v>
      </c>
      <c r="G3006">
        <v>32.08</v>
      </c>
      <c r="H3006" t="s">
        <v>15</v>
      </c>
      <c r="I3006" t="s">
        <v>36</v>
      </c>
      <c r="J3006" t="s">
        <v>23</v>
      </c>
    </row>
    <row r="3007" spans="1:10" x14ac:dyDescent="0.35">
      <c r="A3007" t="s">
        <v>3195</v>
      </c>
      <c r="B3007" s="1">
        <v>46207</v>
      </c>
      <c r="C3007" t="s">
        <v>63</v>
      </c>
      <c r="D3007" t="s">
        <v>54</v>
      </c>
      <c r="E3007" t="s">
        <v>64</v>
      </c>
      <c r="F3007" t="s">
        <v>54</v>
      </c>
      <c r="G3007">
        <v>294.16000000000003</v>
      </c>
      <c r="H3007" t="s">
        <v>15</v>
      </c>
      <c r="I3007" t="s">
        <v>16</v>
      </c>
      <c r="J3007" t="s">
        <v>65</v>
      </c>
    </row>
    <row r="3008" spans="1:10" x14ac:dyDescent="0.35">
      <c r="A3008" t="s">
        <v>3196</v>
      </c>
      <c r="B3008" s="1">
        <v>46207</v>
      </c>
      <c r="C3008" t="s">
        <v>229</v>
      </c>
      <c r="D3008" t="s">
        <v>54</v>
      </c>
      <c r="E3008" t="s">
        <v>64</v>
      </c>
      <c r="F3008" t="s">
        <v>54</v>
      </c>
      <c r="G3008">
        <v>315.05</v>
      </c>
      <c r="H3008" t="s">
        <v>15</v>
      </c>
      <c r="I3008" t="s">
        <v>22</v>
      </c>
      <c r="J3008" t="s">
        <v>56</v>
      </c>
    </row>
    <row r="3009" spans="1:10" x14ac:dyDescent="0.35">
      <c r="A3009" t="s">
        <v>3197</v>
      </c>
      <c r="B3009" s="1">
        <v>46207</v>
      </c>
      <c r="C3009" t="s">
        <v>130</v>
      </c>
      <c r="D3009" t="s">
        <v>12</v>
      </c>
      <c r="E3009" t="s">
        <v>26</v>
      </c>
      <c r="F3009" t="s">
        <v>14</v>
      </c>
      <c r="G3009">
        <v>142.72999999999999</v>
      </c>
      <c r="H3009" t="s">
        <v>15</v>
      </c>
      <c r="I3009" t="s">
        <v>47</v>
      </c>
      <c r="J3009" t="s">
        <v>48</v>
      </c>
    </row>
    <row r="3010" spans="1:10" x14ac:dyDescent="0.35">
      <c r="A3010" t="s">
        <v>3198</v>
      </c>
      <c r="B3010" s="1">
        <v>46207</v>
      </c>
      <c r="C3010" t="s">
        <v>63</v>
      </c>
      <c r="D3010" t="s">
        <v>54</v>
      </c>
      <c r="E3010" t="s">
        <v>64</v>
      </c>
      <c r="F3010" t="s">
        <v>54</v>
      </c>
      <c r="G3010">
        <v>369.62</v>
      </c>
      <c r="H3010" t="s">
        <v>98</v>
      </c>
      <c r="I3010" t="s">
        <v>47</v>
      </c>
      <c r="J3010" t="s">
        <v>65</v>
      </c>
    </row>
    <row r="3011" spans="1:10" x14ac:dyDescent="0.35">
      <c r="A3011" t="s">
        <v>3199</v>
      </c>
      <c r="B3011" s="1">
        <v>46208</v>
      </c>
      <c r="C3011" t="s">
        <v>53</v>
      </c>
      <c r="D3011" t="s">
        <v>54</v>
      </c>
      <c r="E3011" t="s">
        <v>55</v>
      </c>
      <c r="F3011" t="s">
        <v>54</v>
      </c>
      <c r="G3011">
        <v>691.57</v>
      </c>
      <c r="H3011" t="s">
        <v>21</v>
      </c>
      <c r="I3011" t="s">
        <v>22</v>
      </c>
      <c r="J3011" t="s">
        <v>56</v>
      </c>
    </row>
    <row r="3012" spans="1:10" x14ac:dyDescent="0.35">
      <c r="A3012" t="s">
        <v>3200</v>
      </c>
      <c r="B3012" s="1">
        <v>46208</v>
      </c>
      <c r="C3012" t="s">
        <v>345</v>
      </c>
      <c r="D3012" t="s">
        <v>59</v>
      </c>
      <c r="E3012" t="s">
        <v>60</v>
      </c>
      <c r="F3012" t="s">
        <v>14</v>
      </c>
      <c r="G3012">
        <v>336.05</v>
      </c>
      <c r="H3012" t="s">
        <v>15</v>
      </c>
      <c r="I3012" t="s">
        <v>47</v>
      </c>
      <c r="J3012" t="s">
        <v>211</v>
      </c>
    </row>
    <row r="3013" spans="1:10" x14ac:dyDescent="0.35">
      <c r="A3013" t="s">
        <v>3201</v>
      </c>
      <c r="B3013" s="1">
        <v>46208</v>
      </c>
      <c r="C3013" t="s">
        <v>272</v>
      </c>
      <c r="D3013" t="s">
        <v>54</v>
      </c>
      <c r="E3013" t="s">
        <v>55</v>
      </c>
      <c r="F3013" t="s">
        <v>54</v>
      </c>
      <c r="G3013">
        <v>738.36</v>
      </c>
      <c r="H3013" t="s">
        <v>21</v>
      </c>
      <c r="I3013" t="s">
        <v>16</v>
      </c>
      <c r="J3013" t="s">
        <v>65</v>
      </c>
    </row>
    <row r="3014" spans="1:10" x14ac:dyDescent="0.35">
      <c r="A3014" t="s">
        <v>3202</v>
      </c>
      <c r="B3014" s="1">
        <v>46209</v>
      </c>
      <c r="C3014" t="s">
        <v>198</v>
      </c>
      <c r="D3014" t="s">
        <v>59</v>
      </c>
      <c r="E3014" t="s">
        <v>199</v>
      </c>
      <c r="F3014" t="s">
        <v>14</v>
      </c>
      <c r="G3014">
        <v>146.07</v>
      </c>
      <c r="H3014" t="s">
        <v>15</v>
      </c>
      <c r="I3014" t="s">
        <v>47</v>
      </c>
      <c r="J3014" t="s">
        <v>61</v>
      </c>
    </row>
    <row r="3015" spans="1:10" x14ac:dyDescent="0.35">
      <c r="A3015" t="s">
        <v>3203</v>
      </c>
      <c r="B3015" s="1">
        <v>46209</v>
      </c>
      <c r="C3015" t="s">
        <v>121</v>
      </c>
      <c r="D3015" t="s">
        <v>34</v>
      </c>
      <c r="E3015" t="s">
        <v>122</v>
      </c>
      <c r="F3015" t="s">
        <v>14</v>
      </c>
      <c r="G3015">
        <v>65.08</v>
      </c>
      <c r="H3015" t="s">
        <v>15</v>
      </c>
      <c r="I3015" t="s">
        <v>84</v>
      </c>
      <c r="J3015" t="s">
        <v>123</v>
      </c>
    </row>
    <row r="3016" spans="1:10" x14ac:dyDescent="0.35">
      <c r="A3016" t="s">
        <v>3204</v>
      </c>
      <c r="B3016" s="1">
        <v>46209</v>
      </c>
      <c r="C3016" t="s">
        <v>184</v>
      </c>
      <c r="D3016" t="s">
        <v>59</v>
      </c>
      <c r="E3016" t="s">
        <v>185</v>
      </c>
      <c r="F3016" t="s">
        <v>14</v>
      </c>
      <c r="G3016">
        <v>97.23</v>
      </c>
      <c r="H3016" t="s">
        <v>15</v>
      </c>
      <c r="I3016" t="s">
        <v>16</v>
      </c>
      <c r="J3016" t="s">
        <v>61</v>
      </c>
    </row>
    <row r="3017" spans="1:10" x14ac:dyDescent="0.35">
      <c r="A3017" t="s">
        <v>3205</v>
      </c>
      <c r="B3017" s="1">
        <v>46209</v>
      </c>
      <c r="C3017" t="s">
        <v>734</v>
      </c>
      <c r="D3017" t="s">
        <v>69</v>
      </c>
      <c r="E3017" t="s">
        <v>291</v>
      </c>
      <c r="F3017" t="s">
        <v>14</v>
      </c>
      <c r="G3017">
        <v>429.2</v>
      </c>
      <c r="H3017" t="s">
        <v>15</v>
      </c>
      <c r="I3017" t="s">
        <v>47</v>
      </c>
      <c r="J3017" t="s">
        <v>71</v>
      </c>
    </row>
    <row r="3018" spans="1:10" x14ac:dyDescent="0.35">
      <c r="A3018" t="s">
        <v>3206</v>
      </c>
      <c r="B3018" s="1">
        <v>46209</v>
      </c>
      <c r="C3018" t="s">
        <v>63</v>
      </c>
      <c r="D3018" t="s">
        <v>54</v>
      </c>
      <c r="E3018" t="s">
        <v>64</v>
      </c>
      <c r="F3018" t="s">
        <v>54</v>
      </c>
      <c r="G3018">
        <v>259.82</v>
      </c>
      <c r="H3018" t="s">
        <v>21</v>
      </c>
      <c r="I3018" t="s">
        <v>22</v>
      </c>
      <c r="J3018" t="s">
        <v>65</v>
      </c>
    </row>
    <row r="3019" spans="1:10" x14ac:dyDescent="0.35">
      <c r="A3019" t="s">
        <v>3207</v>
      </c>
      <c r="B3019" s="1">
        <v>46210</v>
      </c>
      <c r="C3019" t="s">
        <v>248</v>
      </c>
      <c r="D3019" t="s">
        <v>80</v>
      </c>
      <c r="E3019" t="s">
        <v>81</v>
      </c>
      <c r="F3019" t="s">
        <v>14</v>
      </c>
      <c r="G3019">
        <v>30.78</v>
      </c>
      <c r="H3019" t="s">
        <v>15</v>
      </c>
      <c r="I3019" t="s">
        <v>84</v>
      </c>
      <c r="J3019" t="s">
        <v>161</v>
      </c>
    </row>
    <row r="3020" spans="1:10" x14ac:dyDescent="0.35">
      <c r="A3020" t="s">
        <v>3208</v>
      </c>
      <c r="B3020" s="1">
        <v>46210</v>
      </c>
      <c r="C3020" t="s">
        <v>130</v>
      </c>
      <c r="D3020" t="s">
        <v>12</v>
      </c>
      <c r="E3020" t="s">
        <v>26</v>
      </c>
      <c r="F3020" t="s">
        <v>14</v>
      </c>
      <c r="G3020">
        <v>12.27</v>
      </c>
      <c r="H3020" t="s">
        <v>15</v>
      </c>
      <c r="I3020" t="s">
        <v>36</v>
      </c>
      <c r="J3020" t="s">
        <v>48</v>
      </c>
    </row>
    <row r="3021" spans="1:10" x14ac:dyDescent="0.35">
      <c r="A3021" t="s">
        <v>3209</v>
      </c>
      <c r="B3021" s="1">
        <v>46210</v>
      </c>
      <c r="C3021" t="s">
        <v>210</v>
      </c>
      <c r="D3021" t="s">
        <v>59</v>
      </c>
      <c r="E3021" t="s">
        <v>185</v>
      </c>
      <c r="F3021" t="s">
        <v>14</v>
      </c>
      <c r="G3021">
        <v>130.34</v>
      </c>
      <c r="H3021" t="s">
        <v>15</v>
      </c>
      <c r="I3021" t="s">
        <v>36</v>
      </c>
      <c r="J3021" t="s">
        <v>211</v>
      </c>
    </row>
    <row r="3022" spans="1:10" x14ac:dyDescent="0.35">
      <c r="A3022" t="s">
        <v>3210</v>
      </c>
      <c r="B3022" s="1">
        <v>46210</v>
      </c>
      <c r="C3022" t="s">
        <v>116</v>
      </c>
      <c r="D3022" t="s">
        <v>80</v>
      </c>
      <c r="E3022" t="s">
        <v>117</v>
      </c>
      <c r="F3022" t="s">
        <v>14</v>
      </c>
      <c r="G3022">
        <v>30.29</v>
      </c>
      <c r="H3022" t="s">
        <v>15</v>
      </c>
      <c r="I3022" t="s">
        <v>47</v>
      </c>
      <c r="J3022" t="s">
        <v>118</v>
      </c>
    </row>
    <row r="3023" spans="1:10" x14ac:dyDescent="0.35">
      <c r="A3023" t="s">
        <v>3211</v>
      </c>
      <c r="B3023" s="1">
        <v>46210</v>
      </c>
      <c r="C3023" t="s">
        <v>88</v>
      </c>
      <c r="D3023" t="s">
        <v>54</v>
      </c>
      <c r="E3023" t="s">
        <v>74</v>
      </c>
      <c r="F3023" t="s">
        <v>54</v>
      </c>
      <c r="G3023">
        <v>2665.54</v>
      </c>
      <c r="H3023" t="s">
        <v>15</v>
      </c>
      <c r="I3023" t="s">
        <v>47</v>
      </c>
      <c r="J3023" t="s">
        <v>89</v>
      </c>
    </row>
    <row r="3024" spans="1:10" x14ac:dyDescent="0.35">
      <c r="A3024" t="s">
        <v>3212</v>
      </c>
      <c r="B3024" s="1">
        <v>46210</v>
      </c>
      <c r="C3024" t="s">
        <v>143</v>
      </c>
      <c r="D3024" t="s">
        <v>3043</v>
      </c>
      <c r="E3024" t="s">
        <v>55</v>
      </c>
      <c r="F3024" t="s">
        <v>54</v>
      </c>
      <c r="G3024">
        <v>714.05</v>
      </c>
      <c r="H3024" t="s">
        <v>21</v>
      </c>
      <c r="I3024" t="s">
        <v>36</v>
      </c>
      <c r="J3024" t="s">
        <v>89</v>
      </c>
    </row>
    <row r="3025" spans="1:10" x14ac:dyDescent="0.35">
      <c r="A3025" t="s">
        <v>3213</v>
      </c>
      <c r="B3025" s="1">
        <v>46210</v>
      </c>
      <c r="C3025" t="s">
        <v>210</v>
      </c>
      <c r="D3025" t="s">
        <v>59</v>
      </c>
      <c r="E3025" t="s">
        <v>185</v>
      </c>
      <c r="F3025" t="s">
        <v>14</v>
      </c>
      <c r="G3025">
        <v>578.80999999999995</v>
      </c>
      <c r="H3025" t="s">
        <v>15</v>
      </c>
      <c r="I3025" t="s">
        <v>36</v>
      </c>
      <c r="J3025" t="s">
        <v>211</v>
      </c>
    </row>
    <row r="3026" spans="1:10" x14ac:dyDescent="0.35">
      <c r="A3026" t="s">
        <v>3214</v>
      </c>
      <c r="B3026" s="1">
        <v>46210</v>
      </c>
      <c r="C3026" t="s">
        <v>73</v>
      </c>
      <c r="D3026" t="s">
        <v>54</v>
      </c>
      <c r="E3026" t="s">
        <v>74</v>
      </c>
      <c r="F3026" t="s">
        <v>54</v>
      </c>
      <c r="G3026">
        <v>2900.03</v>
      </c>
      <c r="H3026" t="s">
        <v>15</v>
      </c>
      <c r="I3026" t="s">
        <v>47</v>
      </c>
      <c r="J3026" t="s">
        <v>65</v>
      </c>
    </row>
    <row r="3027" spans="1:10" x14ac:dyDescent="0.35">
      <c r="A3027" t="s">
        <v>3215</v>
      </c>
      <c r="B3027" s="1">
        <v>46211</v>
      </c>
      <c r="C3027" t="s">
        <v>155</v>
      </c>
      <c r="D3027" t="s">
        <v>12</v>
      </c>
      <c r="E3027" t="s">
        <v>51</v>
      </c>
      <c r="F3027" t="s">
        <v>14</v>
      </c>
      <c r="G3027">
        <v>65.3</v>
      </c>
      <c r="H3027" t="s">
        <v>15</v>
      </c>
      <c r="I3027" t="s">
        <v>47</v>
      </c>
      <c r="J3027" t="s">
        <v>48</v>
      </c>
    </row>
    <row r="3028" spans="1:10" x14ac:dyDescent="0.35">
      <c r="A3028" t="s">
        <v>3216</v>
      </c>
      <c r="B3028" s="1">
        <v>46211</v>
      </c>
      <c r="C3028" t="s">
        <v>220</v>
      </c>
      <c r="D3028" t="s">
        <v>59</v>
      </c>
      <c r="E3028" t="s">
        <v>199</v>
      </c>
      <c r="F3028" t="s">
        <v>14</v>
      </c>
      <c r="G3028">
        <v>142.58000000000001</v>
      </c>
      <c r="H3028" t="s">
        <v>21</v>
      </c>
      <c r="I3028" t="s">
        <v>22</v>
      </c>
      <c r="J3028" t="s">
        <v>211</v>
      </c>
    </row>
    <row r="3029" spans="1:10" x14ac:dyDescent="0.35">
      <c r="A3029" t="s">
        <v>3217</v>
      </c>
      <c r="B3029" s="1">
        <v>46211</v>
      </c>
      <c r="C3029" t="s">
        <v>262</v>
      </c>
      <c r="D3029" t="s">
        <v>101</v>
      </c>
      <c r="E3029" t="s">
        <v>244</v>
      </c>
      <c r="F3029" t="s">
        <v>14</v>
      </c>
      <c r="G3029">
        <v>56.64</v>
      </c>
      <c r="H3029" t="s">
        <v>15</v>
      </c>
      <c r="I3029" t="s">
        <v>16</v>
      </c>
      <c r="J3029" t="s">
        <v>136</v>
      </c>
    </row>
    <row r="3030" spans="1:10" x14ac:dyDescent="0.35">
      <c r="A3030" t="s">
        <v>3218</v>
      </c>
      <c r="B3030" s="1">
        <v>46211</v>
      </c>
      <c r="C3030" t="s">
        <v>19</v>
      </c>
      <c r="D3030" t="s">
        <v>12</v>
      </c>
      <c r="E3030" t="s">
        <v>13</v>
      </c>
      <c r="F3030" t="s">
        <v>14</v>
      </c>
      <c r="G3030">
        <v>91.16</v>
      </c>
      <c r="H3030" t="s">
        <v>21</v>
      </c>
      <c r="I3030" t="s">
        <v>36</v>
      </c>
      <c r="J3030" t="s">
        <v>23</v>
      </c>
    </row>
    <row r="3031" spans="1:10" x14ac:dyDescent="0.35">
      <c r="A3031" t="s">
        <v>3219</v>
      </c>
      <c r="B3031" s="1">
        <v>46211</v>
      </c>
      <c r="C3031" t="s">
        <v>376</v>
      </c>
      <c r="D3031" t="s">
        <v>80</v>
      </c>
      <c r="E3031" t="s">
        <v>117</v>
      </c>
      <c r="F3031" t="s">
        <v>14</v>
      </c>
      <c r="G3031">
        <v>61.04</v>
      </c>
      <c r="H3031" t="s">
        <v>21</v>
      </c>
      <c r="I3031" t="s">
        <v>22</v>
      </c>
      <c r="J3031" t="s">
        <v>82</v>
      </c>
    </row>
    <row r="3032" spans="1:10" x14ac:dyDescent="0.35">
      <c r="A3032" t="s">
        <v>3220</v>
      </c>
      <c r="B3032" s="1">
        <v>46211</v>
      </c>
      <c r="C3032" t="s">
        <v>163</v>
      </c>
      <c r="D3032" t="s">
        <v>80</v>
      </c>
      <c r="E3032" t="s">
        <v>92</v>
      </c>
      <c r="F3032" t="s">
        <v>14</v>
      </c>
      <c r="G3032">
        <v>80.48</v>
      </c>
      <c r="H3032" t="s">
        <v>21</v>
      </c>
      <c r="I3032" t="s">
        <v>36</v>
      </c>
      <c r="J3032" t="s">
        <v>118</v>
      </c>
    </row>
    <row r="3033" spans="1:10" x14ac:dyDescent="0.35">
      <c r="A3033" t="s">
        <v>3221</v>
      </c>
      <c r="B3033" s="1">
        <v>46211</v>
      </c>
      <c r="C3033" t="s">
        <v>76</v>
      </c>
      <c r="D3033" t="s">
        <v>12</v>
      </c>
      <c r="E3033" t="s">
        <v>13</v>
      </c>
      <c r="F3033" t="s">
        <v>14</v>
      </c>
      <c r="G3033">
        <v>53.85</v>
      </c>
      <c r="H3033" t="s">
        <v>15</v>
      </c>
      <c r="I3033" t="s">
        <v>84</v>
      </c>
      <c r="J3033" t="s">
        <v>77</v>
      </c>
    </row>
    <row r="3034" spans="1:10" x14ac:dyDescent="0.35">
      <c r="A3034" t="s">
        <v>3222</v>
      </c>
      <c r="B3034" s="1">
        <v>46212</v>
      </c>
      <c r="C3034" t="s">
        <v>125</v>
      </c>
      <c r="D3034" t="s">
        <v>12</v>
      </c>
      <c r="E3034" t="s">
        <v>13</v>
      </c>
      <c r="F3034" t="s">
        <v>14</v>
      </c>
      <c r="G3034">
        <v>161.46</v>
      </c>
      <c r="H3034" t="s">
        <v>98</v>
      </c>
      <c r="I3034" t="s">
        <v>47</v>
      </c>
      <c r="J3034" t="s">
        <v>44</v>
      </c>
    </row>
    <row r="3035" spans="1:10" x14ac:dyDescent="0.35">
      <c r="A3035" t="s">
        <v>3223</v>
      </c>
      <c r="B3035" s="1">
        <v>46212</v>
      </c>
      <c r="C3035" t="s">
        <v>143</v>
      </c>
      <c r="D3035" t="s">
        <v>54</v>
      </c>
      <c r="E3035" t="s">
        <v>55</v>
      </c>
      <c r="F3035" t="s">
        <v>54</v>
      </c>
      <c r="G3035">
        <v>605.88</v>
      </c>
      <c r="H3035" t="s">
        <v>15</v>
      </c>
      <c r="I3035" t="s">
        <v>22</v>
      </c>
      <c r="J3035" t="s">
        <v>89</v>
      </c>
    </row>
    <row r="3036" spans="1:10" x14ac:dyDescent="0.35">
      <c r="A3036" t="s">
        <v>3224</v>
      </c>
      <c r="B3036" s="1">
        <v>46212</v>
      </c>
      <c r="C3036" t="s">
        <v>39</v>
      </c>
      <c r="D3036" t="s">
        <v>34</v>
      </c>
      <c r="E3036" t="s">
        <v>40</v>
      </c>
      <c r="F3036" t="s">
        <v>14</v>
      </c>
      <c r="G3036">
        <v>189.43</v>
      </c>
      <c r="H3036" t="s">
        <v>21</v>
      </c>
      <c r="I3036" t="s">
        <v>22</v>
      </c>
      <c r="J3036" t="s">
        <v>41</v>
      </c>
    </row>
    <row r="3037" spans="1:10" x14ac:dyDescent="0.35">
      <c r="A3037" t="s">
        <v>3225</v>
      </c>
      <c r="B3037" s="1">
        <v>46213</v>
      </c>
      <c r="C3037" t="s">
        <v>272</v>
      </c>
      <c r="D3037" t="s">
        <v>54</v>
      </c>
      <c r="E3037" t="s">
        <v>55</v>
      </c>
      <c r="F3037" t="s">
        <v>54</v>
      </c>
      <c r="G3037">
        <v>698.99</v>
      </c>
      <c r="H3037" t="s">
        <v>15</v>
      </c>
      <c r="I3037" t="s">
        <v>22</v>
      </c>
      <c r="J3037" t="s">
        <v>65</v>
      </c>
    </row>
    <row r="3038" spans="1:10" x14ac:dyDescent="0.35">
      <c r="A3038" t="s">
        <v>3226</v>
      </c>
      <c r="B3038" s="1">
        <v>46213</v>
      </c>
      <c r="C3038" t="s">
        <v>210</v>
      </c>
      <c r="D3038" t="s">
        <v>59</v>
      </c>
      <c r="E3038" t="s">
        <v>185</v>
      </c>
      <c r="F3038" t="s">
        <v>14</v>
      </c>
      <c r="G3038">
        <v>111.93</v>
      </c>
      <c r="H3038" t="s">
        <v>15</v>
      </c>
      <c r="I3038" t="s">
        <v>1485</v>
      </c>
      <c r="J3038" t="s">
        <v>211</v>
      </c>
    </row>
    <row r="3039" spans="1:10" x14ac:dyDescent="0.35">
      <c r="A3039" t="s">
        <v>3227</v>
      </c>
      <c r="B3039" s="1">
        <v>46213</v>
      </c>
      <c r="C3039" t="s">
        <v>296</v>
      </c>
      <c r="D3039" t="s">
        <v>101</v>
      </c>
      <c r="E3039" t="s">
        <v>136</v>
      </c>
      <c r="F3039" t="s">
        <v>14</v>
      </c>
      <c r="G3039">
        <v>68.349999999999994</v>
      </c>
      <c r="H3039" t="s">
        <v>15</v>
      </c>
      <c r="I3039" t="s">
        <v>36</v>
      </c>
      <c r="J3039" t="s">
        <v>136</v>
      </c>
    </row>
    <row r="3040" spans="1:10" x14ac:dyDescent="0.35">
      <c r="A3040" t="s">
        <v>3228</v>
      </c>
      <c r="B3040" s="1">
        <v>46213</v>
      </c>
      <c r="C3040" t="s">
        <v>11</v>
      </c>
      <c r="D3040" t="s">
        <v>12</v>
      </c>
      <c r="E3040" t="s">
        <v>13</v>
      </c>
      <c r="F3040" t="s">
        <v>14</v>
      </c>
      <c r="G3040">
        <v>61.26</v>
      </c>
      <c r="H3040" t="s">
        <v>15</v>
      </c>
      <c r="I3040" t="s">
        <v>47</v>
      </c>
      <c r="J3040" t="s">
        <v>17</v>
      </c>
    </row>
    <row r="3041" spans="1:10" x14ac:dyDescent="0.35">
      <c r="A3041" t="s">
        <v>3229</v>
      </c>
      <c r="B3041" s="1">
        <v>46213</v>
      </c>
      <c r="C3041" t="s">
        <v>155</v>
      </c>
      <c r="D3041" t="s">
        <v>12</v>
      </c>
      <c r="E3041" t="s">
        <v>51</v>
      </c>
      <c r="F3041" t="s">
        <v>14</v>
      </c>
      <c r="G3041">
        <v>35.99</v>
      </c>
      <c r="H3041" t="s">
        <v>21</v>
      </c>
      <c r="I3041" t="s">
        <v>22</v>
      </c>
      <c r="J3041" t="s">
        <v>48</v>
      </c>
    </row>
    <row r="3042" spans="1:10" x14ac:dyDescent="0.35">
      <c r="A3042" t="s">
        <v>3230</v>
      </c>
      <c r="B3042" s="1">
        <v>46213</v>
      </c>
      <c r="C3042" t="s">
        <v>227</v>
      </c>
      <c r="D3042" t="s">
        <v>12</v>
      </c>
      <c r="E3042" t="s">
        <v>51</v>
      </c>
      <c r="F3042" t="s">
        <v>14</v>
      </c>
      <c r="G3042">
        <v>50.7</v>
      </c>
      <c r="H3042" t="s">
        <v>21</v>
      </c>
      <c r="I3042" t="s">
        <v>22</v>
      </c>
      <c r="J3042" t="s">
        <v>17</v>
      </c>
    </row>
    <row r="3043" spans="1:10" x14ac:dyDescent="0.35">
      <c r="A3043" t="s">
        <v>3231</v>
      </c>
      <c r="B3043" s="1">
        <v>46213</v>
      </c>
      <c r="C3043" t="s">
        <v>198</v>
      </c>
      <c r="D3043" t="s">
        <v>59</v>
      </c>
      <c r="E3043" t="s">
        <v>199</v>
      </c>
      <c r="F3043" t="s">
        <v>14</v>
      </c>
      <c r="G3043">
        <v>257.83</v>
      </c>
      <c r="H3043" t="s">
        <v>15</v>
      </c>
      <c r="I3043" t="s">
        <v>36</v>
      </c>
      <c r="J3043" t="s">
        <v>61</v>
      </c>
    </row>
    <row r="3044" spans="1:10" x14ac:dyDescent="0.35">
      <c r="A3044" t="s">
        <v>3232</v>
      </c>
      <c r="B3044" s="1">
        <v>46214</v>
      </c>
      <c r="C3044" t="s">
        <v>100</v>
      </c>
      <c r="D3044" t="s">
        <v>101</v>
      </c>
      <c r="E3044" t="s">
        <v>102</v>
      </c>
      <c r="F3044" t="s">
        <v>14</v>
      </c>
      <c r="G3044">
        <v>18.97</v>
      </c>
      <c r="H3044" t="s">
        <v>15</v>
      </c>
      <c r="I3044" t="s">
        <v>22</v>
      </c>
      <c r="J3044" t="s">
        <v>103</v>
      </c>
    </row>
    <row r="3045" spans="1:10" x14ac:dyDescent="0.35">
      <c r="A3045" t="s">
        <v>3233</v>
      </c>
      <c r="B3045" s="1">
        <v>46214</v>
      </c>
      <c r="C3045" t="s">
        <v>43</v>
      </c>
      <c r="D3045" t="s">
        <v>12</v>
      </c>
      <c r="E3045" t="s">
        <v>26</v>
      </c>
      <c r="F3045" t="s">
        <v>14</v>
      </c>
      <c r="G3045">
        <v>30.25</v>
      </c>
      <c r="H3045" t="s">
        <v>15</v>
      </c>
      <c r="I3045" t="s">
        <v>36</v>
      </c>
      <c r="J3045" t="s">
        <v>44</v>
      </c>
    </row>
    <row r="3046" spans="1:10" x14ac:dyDescent="0.35">
      <c r="A3046" t="s">
        <v>3234</v>
      </c>
      <c r="B3046" s="1">
        <v>46215</v>
      </c>
      <c r="C3046" t="s">
        <v>177</v>
      </c>
      <c r="D3046" t="s">
        <v>54</v>
      </c>
      <c r="E3046" t="s">
        <v>74</v>
      </c>
      <c r="F3046" t="s">
        <v>54</v>
      </c>
      <c r="G3046">
        <v>2594.63</v>
      </c>
      <c r="H3046" t="s">
        <v>21</v>
      </c>
      <c r="I3046" t="s">
        <v>36</v>
      </c>
      <c r="J3046" t="s">
        <v>56</v>
      </c>
    </row>
    <row r="3047" spans="1:10" x14ac:dyDescent="0.35">
      <c r="A3047" t="s">
        <v>3235</v>
      </c>
      <c r="B3047" s="1">
        <v>46215</v>
      </c>
      <c r="C3047" t="s">
        <v>157</v>
      </c>
      <c r="D3047" t="s">
        <v>29</v>
      </c>
      <c r="E3047" t="s">
        <v>95</v>
      </c>
      <c r="F3047" t="s">
        <v>14</v>
      </c>
      <c r="G3047">
        <v>27.63</v>
      </c>
      <c r="H3047" t="s">
        <v>15</v>
      </c>
      <c r="I3047" t="s">
        <v>47</v>
      </c>
      <c r="J3047" t="s">
        <v>158</v>
      </c>
    </row>
    <row r="3048" spans="1:10" x14ac:dyDescent="0.35">
      <c r="A3048" t="s">
        <v>3236</v>
      </c>
      <c r="B3048" s="1">
        <v>46215</v>
      </c>
      <c r="C3048" t="s">
        <v>155</v>
      </c>
      <c r="D3048" t="s">
        <v>12</v>
      </c>
      <c r="E3048" t="s">
        <v>51</v>
      </c>
      <c r="F3048" t="s">
        <v>14</v>
      </c>
      <c r="G3048">
        <v>23.05</v>
      </c>
      <c r="H3048" t="s">
        <v>15</v>
      </c>
      <c r="I3048" t="s">
        <v>36</v>
      </c>
      <c r="J3048" t="s">
        <v>48</v>
      </c>
    </row>
    <row r="3049" spans="1:10" x14ac:dyDescent="0.35">
      <c r="A3049" t="s">
        <v>3237</v>
      </c>
      <c r="B3049" s="1">
        <v>46215</v>
      </c>
      <c r="C3049" t="s">
        <v>262</v>
      </c>
      <c r="D3049" t="s">
        <v>101</v>
      </c>
      <c r="E3049" t="s">
        <v>244</v>
      </c>
      <c r="F3049" t="s">
        <v>14</v>
      </c>
      <c r="G3049">
        <v>79.760000000000005</v>
      </c>
      <c r="H3049" t="s">
        <v>15</v>
      </c>
      <c r="I3049" t="s">
        <v>47</v>
      </c>
      <c r="J3049" t="s">
        <v>136</v>
      </c>
    </row>
    <row r="3050" spans="1:10" x14ac:dyDescent="0.35">
      <c r="A3050" t="s">
        <v>3238</v>
      </c>
      <c r="B3050" s="1">
        <v>46215</v>
      </c>
      <c r="C3050" t="s">
        <v>138</v>
      </c>
      <c r="D3050" t="s">
        <v>12</v>
      </c>
      <c r="E3050" t="s">
        <v>26</v>
      </c>
      <c r="F3050" t="s">
        <v>14</v>
      </c>
      <c r="G3050">
        <v>17.350000000000001</v>
      </c>
      <c r="H3050" t="s">
        <v>15</v>
      </c>
      <c r="I3050" t="s">
        <v>36</v>
      </c>
      <c r="J3050" t="s">
        <v>77</v>
      </c>
    </row>
    <row r="3051" spans="1:10" x14ac:dyDescent="0.35">
      <c r="A3051" t="s">
        <v>3239</v>
      </c>
      <c r="B3051" s="1">
        <v>46216</v>
      </c>
      <c r="C3051" t="s">
        <v>206</v>
      </c>
      <c r="D3051" t="s">
        <v>29</v>
      </c>
      <c r="E3051" t="s">
        <v>95</v>
      </c>
      <c r="F3051" t="s">
        <v>14</v>
      </c>
      <c r="G3051">
        <v>30.61</v>
      </c>
      <c r="H3051" t="s">
        <v>21</v>
      </c>
      <c r="I3051" t="s">
        <v>16</v>
      </c>
      <c r="J3051" t="s">
        <v>31</v>
      </c>
    </row>
    <row r="3052" spans="1:10" x14ac:dyDescent="0.35">
      <c r="A3052" t="s">
        <v>3240</v>
      </c>
      <c r="B3052" s="1">
        <v>46216</v>
      </c>
      <c r="C3052" t="s">
        <v>138</v>
      </c>
      <c r="D3052" t="s">
        <v>12</v>
      </c>
      <c r="E3052" t="s">
        <v>26</v>
      </c>
      <c r="F3052" t="s">
        <v>14</v>
      </c>
      <c r="G3052">
        <v>37.020000000000003</v>
      </c>
      <c r="H3052" t="s">
        <v>15</v>
      </c>
      <c r="I3052" t="s">
        <v>16</v>
      </c>
      <c r="J3052" t="s">
        <v>77</v>
      </c>
    </row>
    <row r="3053" spans="1:10" x14ac:dyDescent="0.35">
      <c r="A3053" t="s">
        <v>3241</v>
      </c>
      <c r="B3053" s="1">
        <v>46216</v>
      </c>
      <c r="C3053" t="s">
        <v>345</v>
      </c>
      <c r="D3053" t="s">
        <v>59</v>
      </c>
      <c r="E3053" t="s">
        <v>60</v>
      </c>
      <c r="F3053" t="s">
        <v>14</v>
      </c>
      <c r="G3053">
        <v>149.57</v>
      </c>
      <c r="H3053" t="s">
        <v>15</v>
      </c>
      <c r="I3053" t="s">
        <v>22</v>
      </c>
      <c r="J3053" t="s">
        <v>211</v>
      </c>
    </row>
    <row r="3054" spans="1:10" x14ac:dyDescent="0.35">
      <c r="A3054" t="s">
        <v>3242</v>
      </c>
      <c r="B3054" s="1">
        <v>46216</v>
      </c>
      <c r="C3054" t="s">
        <v>238</v>
      </c>
      <c r="D3054" t="s">
        <v>34</v>
      </c>
      <c r="E3054" t="s">
        <v>35</v>
      </c>
      <c r="F3054" t="s">
        <v>14</v>
      </c>
      <c r="G3054">
        <v>330.74</v>
      </c>
      <c r="H3054" t="s">
        <v>15</v>
      </c>
      <c r="I3054" t="s">
        <v>36</v>
      </c>
      <c r="J3054" t="s">
        <v>239</v>
      </c>
    </row>
    <row r="3055" spans="1:10" x14ac:dyDescent="0.35">
      <c r="A3055" t="s">
        <v>3243</v>
      </c>
      <c r="B3055" s="1">
        <v>46216</v>
      </c>
      <c r="C3055" t="s">
        <v>91</v>
      </c>
      <c r="D3055" t="s">
        <v>80</v>
      </c>
      <c r="E3055" t="s">
        <v>92</v>
      </c>
      <c r="F3055" t="s">
        <v>14</v>
      </c>
      <c r="G3055">
        <v>89.5</v>
      </c>
      <c r="H3055" t="s">
        <v>21</v>
      </c>
      <c r="I3055" t="s">
        <v>22</v>
      </c>
      <c r="J3055" t="s">
        <v>82</v>
      </c>
    </row>
    <row r="3056" spans="1:10" x14ac:dyDescent="0.35">
      <c r="A3056" t="s">
        <v>3244</v>
      </c>
      <c r="B3056" s="1">
        <v>46216</v>
      </c>
      <c r="C3056" t="s">
        <v>113</v>
      </c>
      <c r="D3056" t="s">
        <v>34</v>
      </c>
      <c r="E3056" t="s">
        <v>40</v>
      </c>
      <c r="F3056" t="s">
        <v>14</v>
      </c>
      <c r="G3056">
        <v>137.69999999999999</v>
      </c>
      <c r="H3056" t="s">
        <v>15</v>
      </c>
      <c r="I3056" t="s">
        <v>47</v>
      </c>
      <c r="J3056" t="s">
        <v>37</v>
      </c>
    </row>
    <row r="3057" spans="1:10" x14ac:dyDescent="0.35">
      <c r="A3057" t="s">
        <v>3245</v>
      </c>
      <c r="B3057" s="1">
        <v>46217</v>
      </c>
      <c r="C3057" t="s">
        <v>50</v>
      </c>
      <c r="D3057" t="s">
        <v>12</v>
      </c>
      <c r="E3057" t="s">
        <v>51</v>
      </c>
      <c r="F3057" t="s">
        <v>14</v>
      </c>
      <c r="G3057">
        <v>81.06</v>
      </c>
      <c r="H3057" t="s">
        <v>21</v>
      </c>
      <c r="I3057" t="s">
        <v>22</v>
      </c>
      <c r="J3057" t="s">
        <v>44</v>
      </c>
    </row>
    <row r="3058" spans="1:10" x14ac:dyDescent="0.35">
      <c r="A3058" t="s">
        <v>3246</v>
      </c>
      <c r="B3058" s="1">
        <v>46217</v>
      </c>
      <c r="C3058" t="s">
        <v>113</v>
      </c>
      <c r="D3058" t="s">
        <v>34</v>
      </c>
      <c r="E3058" t="s">
        <v>40</v>
      </c>
      <c r="F3058" t="s">
        <v>14</v>
      </c>
      <c r="G3058">
        <v>402.45</v>
      </c>
      <c r="H3058" t="s">
        <v>21</v>
      </c>
      <c r="I3058" t="s">
        <v>22</v>
      </c>
      <c r="J3058" t="s">
        <v>37</v>
      </c>
    </row>
    <row r="3059" spans="1:10" x14ac:dyDescent="0.35">
      <c r="A3059" t="s">
        <v>3247</v>
      </c>
      <c r="B3059" s="1">
        <v>46217</v>
      </c>
      <c r="C3059" t="s">
        <v>153</v>
      </c>
      <c r="D3059" t="s">
        <v>34</v>
      </c>
      <c r="E3059" t="s">
        <v>122</v>
      </c>
      <c r="F3059" t="s">
        <v>14</v>
      </c>
      <c r="G3059">
        <v>228.53</v>
      </c>
      <c r="H3059" t="s">
        <v>15</v>
      </c>
      <c r="I3059" t="s">
        <v>47</v>
      </c>
      <c r="J3059" t="s">
        <v>41</v>
      </c>
    </row>
    <row r="3060" spans="1:10" x14ac:dyDescent="0.35">
      <c r="A3060" t="s">
        <v>3248</v>
      </c>
      <c r="B3060" s="1">
        <v>46217</v>
      </c>
      <c r="C3060" t="s">
        <v>177</v>
      </c>
      <c r="D3060" t="s">
        <v>54</v>
      </c>
      <c r="E3060" t="s">
        <v>74</v>
      </c>
      <c r="F3060" t="s">
        <v>54</v>
      </c>
      <c r="G3060">
        <v>2174.89</v>
      </c>
      <c r="H3060" t="s">
        <v>15</v>
      </c>
      <c r="I3060" t="s">
        <v>47</v>
      </c>
      <c r="J3060" t="s">
        <v>56</v>
      </c>
    </row>
    <row r="3061" spans="1:10" x14ac:dyDescent="0.35">
      <c r="A3061" t="s">
        <v>3249</v>
      </c>
      <c r="B3061" s="1">
        <v>46217</v>
      </c>
      <c r="C3061" t="s">
        <v>138</v>
      </c>
      <c r="D3061" t="s">
        <v>12</v>
      </c>
      <c r="E3061" t="s">
        <v>26</v>
      </c>
      <c r="F3061" t="s">
        <v>14</v>
      </c>
      <c r="G3061">
        <v>30.82</v>
      </c>
      <c r="H3061" t="s">
        <v>15</v>
      </c>
      <c r="I3061" t="s">
        <v>22</v>
      </c>
      <c r="J3061" t="s">
        <v>77</v>
      </c>
    </row>
    <row r="3062" spans="1:10" x14ac:dyDescent="0.35">
      <c r="A3062" t="s">
        <v>3250</v>
      </c>
      <c r="B3062" s="1">
        <v>46217</v>
      </c>
      <c r="C3062" t="s">
        <v>135</v>
      </c>
      <c r="D3062" t="s">
        <v>101</v>
      </c>
      <c r="E3062" t="s">
        <v>102</v>
      </c>
      <c r="F3062" t="s">
        <v>14</v>
      </c>
      <c r="G3062">
        <v>101.14</v>
      </c>
      <c r="H3062" t="s">
        <v>21</v>
      </c>
      <c r="I3062" t="s">
        <v>22</v>
      </c>
      <c r="J3062" t="s">
        <v>136</v>
      </c>
    </row>
    <row r="3063" spans="1:10" x14ac:dyDescent="0.35">
      <c r="A3063" t="s">
        <v>3251</v>
      </c>
      <c r="B3063" s="1">
        <v>46217</v>
      </c>
      <c r="C3063" t="s">
        <v>143</v>
      </c>
      <c r="D3063" t="s">
        <v>54</v>
      </c>
      <c r="E3063" t="s">
        <v>55</v>
      </c>
      <c r="F3063" t="s">
        <v>54</v>
      </c>
      <c r="G3063">
        <v>666.57</v>
      </c>
      <c r="H3063" t="s">
        <v>21</v>
      </c>
      <c r="I3063" t="s">
        <v>22</v>
      </c>
      <c r="J3063" t="s">
        <v>89</v>
      </c>
    </row>
    <row r="3064" spans="1:10" x14ac:dyDescent="0.35">
      <c r="A3064" t="s">
        <v>3252</v>
      </c>
      <c r="B3064" s="1">
        <v>46218</v>
      </c>
      <c r="C3064" t="s">
        <v>91</v>
      </c>
      <c r="D3064" t="s">
        <v>80</v>
      </c>
      <c r="E3064" t="s">
        <v>92</v>
      </c>
      <c r="F3064" t="s">
        <v>14</v>
      </c>
      <c r="G3064">
        <v>54.93</v>
      </c>
      <c r="H3064" t="s">
        <v>15</v>
      </c>
      <c r="I3064" t="s">
        <v>22</v>
      </c>
      <c r="J3064" t="s">
        <v>82</v>
      </c>
    </row>
    <row r="3065" spans="1:10" x14ac:dyDescent="0.35">
      <c r="A3065" t="s">
        <v>3253</v>
      </c>
      <c r="B3065" s="1">
        <v>46218</v>
      </c>
      <c r="C3065" t="s">
        <v>76</v>
      </c>
      <c r="D3065" t="s">
        <v>12</v>
      </c>
      <c r="E3065" t="s">
        <v>13</v>
      </c>
      <c r="F3065" t="s">
        <v>14</v>
      </c>
      <c r="G3065">
        <v>51.88</v>
      </c>
      <c r="H3065" t="s">
        <v>15</v>
      </c>
      <c r="I3065" t="s">
        <v>22</v>
      </c>
      <c r="J3065" t="s">
        <v>77</v>
      </c>
    </row>
    <row r="3066" spans="1:10" x14ac:dyDescent="0.35">
      <c r="A3066" t="s">
        <v>3254</v>
      </c>
      <c r="B3066" s="1">
        <v>46218</v>
      </c>
      <c r="C3066" t="s">
        <v>217</v>
      </c>
      <c r="D3066" t="s">
        <v>80</v>
      </c>
      <c r="E3066" t="s">
        <v>81</v>
      </c>
      <c r="F3066" t="s">
        <v>14</v>
      </c>
      <c r="G3066">
        <v>58.21</v>
      </c>
      <c r="H3066" t="s">
        <v>15</v>
      </c>
      <c r="I3066" t="s">
        <v>16</v>
      </c>
      <c r="J3066" t="s">
        <v>180</v>
      </c>
    </row>
    <row r="3067" spans="1:10" x14ac:dyDescent="0.35">
      <c r="A3067" t="s">
        <v>3255</v>
      </c>
      <c r="B3067" s="1">
        <v>46218</v>
      </c>
      <c r="C3067" t="s">
        <v>100</v>
      </c>
      <c r="D3067" t="s">
        <v>101</v>
      </c>
      <c r="E3067" t="s">
        <v>102</v>
      </c>
      <c r="F3067" t="s">
        <v>14</v>
      </c>
      <c r="G3067">
        <v>239</v>
      </c>
      <c r="H3067" t="s">
        <v>15</v>
      </c>
      <c r="I3067" t="s">
        <v>22</v>
      </c>
      <c r="J3067" t="s">
        <v>103</v>
      </c>
    </row>
    <row r="3068" spans="1:10" x14ac:dyDescent="0.35">
      <c r="A3068" t="s">
        <v>3256</v>
      </c>
      <c r="B3068" s="1">
        <v>46218</v>
      </c>
      <c r="C3068" t="s">
        <v>269</v>
      </c>
      <c r="D3068" t="s">
        <v>34</v>
      </c>
      <c r="E3068" t="s">
        <v>35</v>
      </c>
      <c r="F3068" t="s">
        <v>14</v>
      </c>
      <c r="G3068">
        <v>290.95</v>
      </c>
      <c r="H3068" t="s">
        <v>21</v>
      </c>
      <c r="I3068" t="s">
        <v>47</v>
      </c>
      <c r="J3068" t="s">
        <v>123</v>
      </c>
    </row>
    <row r="3069" spans="1:10" x14ac:dyDescent="0.35">
      <c r="A3069" t="s">
        <v>3257</v>
      </c>
      <c r="B3069" s="1">
        <v>46219</v>
      </c>
      <c r="C3069" t="s">
        <v>204</v>
      </c>
      <c r="D3069" t="s">
        <v>12</v>
      </c>
      <c r="E3069" t="s">
        <v>51</v>
      </c>
      <c r="F3069" t="s">
        <v>14</v>
      </c>
      <c r="G3069">
        <v>61.51</v>
      </c>
      <c r="H3069" t="s">
        <v>15</v>
      </c>
      <c r="I3069" t="s">
        <v>47</v>
      </c>
      <c r="J3069" t="s">
        <v>23</v>
      </c>
    </row>
    <row r="3070" spans="1:10" x14ac:dyDescent="0.35">
      <c r="A3070" t="s">
        <v>3258</v>
      </c>
      <c r="B3070" s="1">
        <v>46219</v>
      </c>
      <c r="C3070" t="s">
        <v>28</v>
      </c>
      <c r="D3070" t="s">
        <v>29</v>
      </c>
      <c r="E3070" t="s">
        <v>30</v>
      </c>
      <c r="F3070" t="s">
        <v>14</v>
      </c>
      <c r="G3070">
        <v>11.67</v>
      </c>
      <c r="H3070" t="s">
        <v>98</v>
      </c>
      <c r="I3070" t="s">
        <v>47</v>
      </c>
      <c r="J3070" t="s">
        <v>31</v>
      </c>
    </row>
    <row r="3071" spans="1:10" x14ac:dyDescent="0.35">
      <c r="A3071" t="s">
        <v>3259</v>
      </c>
      <c r="B3071" s="1">
        <v>46219</v>
      </c>
      <c r="C3071" t="s">
        <v>1491</v>
      </c>
      <c r="D3071" t="s">
        <v>69</v>
      </c>
      <c r="E3071" t="s">
        <v>233</v>
      </c>
      <c r="F3071" t="s">
        <v>14</v>
      </c>
      <c r="G3071">
        <v>162.36000000000001</v>
      </c>
      <c r="H3071" t="s">
        <v>15</v>
      </c>
      <c r="I3071" t="s">
        <v>47</v>
      </c>
      <c r="J3071" t="s">
        <v>396</v>
      </c>
    </row>
    <row r="3072" spans="1:10" x14ac:dyDescent="0.35">
      <c r="A3072" t="s">
        <v>3260</v>
      </c>
      <c r="B3072" s="1">
        <v>46219</v>
      </c>
      <c r="C3072" t="s">
        <v>43</v>
      </c>
      <c r="D3072" t="s">
        <v>12</v>
      </c>
      <c r="E3072" t="s">
        <v>26</v>
      </c>
      <c r="F3072" t="s">
        <v>14</v>
      </c>
      <c r="G3072">
        <v>28.15</v>
      </c>
      <c r="H3072" t="s">
        <v>15</v>
      </c>
      <c r="I3072" t="s">
        <v>36</v>
      </c>
      <c r="J3072" t="s">
        <v>44</v>
      </c>
    </row>
    <row r="3073" spans="1:10" x14ac:dyDescent="0.35">
      <c r="A3073" t="s">
        <v>3261</v>
      </c>
      <c r="B3073" s="1">
        <v>46219</v>
      </c>
      <c r="C3073" t="s">
        <v>46</v>
      </c>
      <c r="D3073" t="s">
        <v>12</v>
      </c>
      <c r="E3073" t="s">
        <v>13</v>
      </c>
      <c r="F3073" t="s">
        <v>14</v>
      </c>
      <c r="G3073">
        <v>61.84</v>
      </c>
      <c r="H3073" t="s">
        <v>15</v>
      </c>
      <c r="I3073" t="s">
        <v>22</v>
      </c>
      <c r="J3073" t="s">
        <v>48</v>
      </c>
    </row>
    <row r="3074" spans="1:10" x14ac:dyDescent="0.35">
      <c r="A3074" t="s">
        <v>3262</v>
      </c>
      <c r="B3074" s="1">
        <v>46219</v>
      </c>
      <c r="C3074" t="s">
        <v>140</v>
      </c>
      <c r="D3074" t="s">
        <v>80</v>
      </c>
      <c r="E3074" t="s">
        <v>81</v>
      </c>
      <c r="F3074" t="s">
        <v>14</v>
      </c>
      <c r="G3074">
        <v>53.04</v>
      </c>
      <c r="H3074" t="s">
        <v>15</v>
      </c>
      <c r="I3074" t="s">
        <v>47</v>
      </c>
      <c r="J3074" t="s">
        <v>141</v>
      </c>
    </row>
    <row r="3075" spans="1:10" x14ac:dyDescent="0.35">
      <c r="A3075" t="s">
        <v>3263</v>
      </c>
      <c r="B3075" s="1">
        <v>46219</v>
      </c>
      <c r="C3075" t="s">
        <v>347</v>
      </c>
      <c r="D3075" t="s">
        <v>29</v>
      </c>
      <c r="E3075" t="s">
        <v>151</v>
      </c>
      <c r="F3075" t="s">
        <v>14</v>
      </c>
      <c r="G3075">
        <v>19.62</v>
      </c>
      <c r="H3075" t="s">
        <v>98</v>
      </c>
      <c r="I3075" t="s">
        <v>47</v>
      </c>
      <c r="J3075" t="s">
        <v>96</v>
      </c>
    </row>
    <row r="3076" spans="1:10" x14ac:dyDescent="0.35">
      <c r="A3076" t="s">
        <v>3264</v>
      </c>
      <c r="B3076" s="1">
        <v>46219</v>
      </c>
      <c r="C3076" t="s">
        <v>308</v>
      </c>
      <c r="D3076" t="s">
        <v>54</v>
      </c>
      <c r="E3076" t="s">
        <v>64</v>
      </c>
      <c r="F3076" t="s">
        <v>54</v>
      </c>
      <c r="G3076">
        <v>380.91</v>
      </c>
      <c r="H3076" t="s">
        <v>21</v>
      </c>
      <c r="I3076" t="s">
        <v>22</v>
      </c>
      <c r="J3076" t="s">
        <v>89</v>
      </c>
    </row>
    <row r="3077" spans="1:10" x14ac:dyDescent="0.35">
      <c r="A3077" t="s">
        <v>3265</v>
      </c>
      <c r="B3077" s="1">
        <v>46219</v>
      </c>
      <c r="C3077" t="s">
        <v>113</v>
      </c>
      <c r="D3077" t="s">
        <v>34</v>
      </c>
      <c r="E3077" t="s">
        <v>40</v>
      </c>
      <c r="F3077" t="s">
        <v>14</v>
      </c>
      <c r="G3077">
        <v>46.65</v>
      </c>
      <c r="H3077" t="s">
        <v>21</v>
      </c>
      <c r="I3077" t="s">
        <v>22</v>
      </c>
      <c r="J3077" t="s">
        <v>37</v>
      </c>
    </row>
    <row r="3078" spans="1:10" x14ac:dyDescent="0.35">
      <c r="A3078" t="s">
        <v>3266</v>
      </c>
      <c r="B3078" s="1">
        <v>46219</v>
      </c>
      <c r="C3078" t="s">
        <v>160</v>
      </c>
      <c r="D3078" t="s">
        <v>80</v>
      </c>
      <c r="E3078" t="s">
        <v>117</v>
      </c>
      <c r="F3078" t="s">
        <v>14</v>
      </c>
      <c r="G3078">
        <v>64.260000000000005</v>
      </c>
      <c r="H3078" t="s">
        <v>15</v>
      </c>
      <c r="I3078" t="s">
        <v>22</v>
      </c>
      <c r="J3078" t="s">
        <v>161</v>
      </c>
    </row>
    <row r="3079" spans="1:10" x14ac:dyDescent="0.35">
      <c r="A3079" t="s">
        <v>3267</v>
      </c>
      <c r="B3079" s="1">
        <v>46220</v>
      </c>
      <c r="C3079" t="s">
        <v>350</v>
      </c>
      <c r="D3079" t="s">
        <v>29</v>
      </c>
      <c r="E3079" t="s">
        <v>151</v>
      </c>
      <c r="F3079" t="s">
        <v>14</v>
      </c>
      <c r="G3079">
        <v>8.1999999999999993</v>
      </c>
      <c r="H3079" t="s">
        <v>15</v>
      </c>
      <c r="I3079" t="s">
        <v>47</v>
      </c>
      <c r="J3079" t="s">
        <v>158</v>
      </c>
    </row>
    <row r="3080" spans="1:10" x14ac:dyDescent="0.35">
      <c r="A3080" t="s">
        <v>3268</v>
      </c>
      <c r="B3080" s="1">
        <v>46220</v>
      </c>
      <c r="C3080" t="s">
        <v>33</v>
      </c>
      <c r="D3080" t="s">
        <v>34</v>
      </c>
      <c r="E3080" t="s">
        <v>35</v>
      </c>
      <c r="F3080" t="s">
        <v>14</v>
      </c>
      <c r="G3080">
        <v>109.23</v>
      </c>
      <c r="H3080" t="s">
        <v>21</v>
      </c>
      <c r="I3080" t="s">
        <v>36</v>
      </c>
      <c r="J3080" t="s">
        <v>37</v>
      </c>
    </row>
    <row r="3081" spans="1:10" x14ac:dyDescent="0.35">
      <c r="A3081" t="s">
        <v>3269</v>
      </c>
      <c r="B3081" s="1">
        <v>46220</v>
      </c>
      <c r="C3081" t="s">
        <v>308</v>
      </c>
      <c r="D3081" t="s">
        <v>54</v>
      </c>
      <c r="E3081" t="s">
        <v>64</v>
      </c>
      <c r="F3081" t="s">
        <v>54</v>
      </c>
      <c r="G3081">
        <v>404.03</v>
      </c>
      <c r="H3081" t="s">
        <v>15</v>
      </c>
      <c r="I3081" t="s">
        <v>22</v>
      </c>
      <c r="J3081" t="s">
        <v>89</v>
      </c>
    </row>
    <row r="3082" spans="1:10" x14ac:dyDescent="0.35">
      <c r="A3082" t="s">
        <v>3270</v>
      </c>
      <c r="B3082" s="1">
        <v>46220</v>
      </c>
      <c r="C3082" t="s">
        <v>168</v>
      </c>
      <c r="D3082" t="s">
        <v>59</v>
      </c>
      <c r="E3082" t="s">
        <v>60</v>
      </c>
      <c r="F3082" t="s">
        <v>14</v>
      </c>
      <c r="G3082">
        <v>284.67</v>
      </c>
      <c r="H3082" t="s">
        <v>21</v>
      </c>
      <c r="I3082" t="s">
        <v>16</v>
      </c>
      <c r="J3082" t="s">
        <v>170</v>
      </c>
    </row>
    <row r="3083" spans="1:10" x14ac:dyDescent="0.35">
      <c r="A3083" t="s">
        <v>3271</v>
      </c>
      <c r="B3083" s="1">
        <v>46220</v>
      </c>
      <c r="C3083" t="s">
        <v>415</v>
      </c>
      <c r="D3083" t="s">
        <v>12</v>
      </c>
      <c r="E3083" t="s">
        <v>51</v>
      </c>
      <c r="F3083" t="s">
        <v>14</v>
      </c>
      <c r="G3083">
        <v>110.22</v>
      </c>
      <c r="H3083" t="s">
        <v>15</v>
      </c>
      <c r="I3083" t="s">
        <v>47</v>
      </c>
      <c r="J3083" t="s">
        <v>77</v>
      </c>
    </row>
    <row r="3084" spans="1:10" x14ac:dyDescent="0.35">
      <c r="A3084" t="s">
        <v>3272</v>
      </c>
      <c r="B3084" s="1">
        <v>46221</v>
      </c>
      <c r="C3084" t="s">
        <v>88</v>
      </c>
      <c r="D3084" t="s">
        <v>54</v>
      </c>
      <c r="E3084" t="s">
        <v>74</v>
      </c>
      <c r="F3084" t="s">
        <v>54</v>
      </c>
      <c r="G3084">
        <v>2342.17</v>
      </c>
      <c r="H3084" t="s">
        <v>15</v>
      </c>
      <c r="I3084" t="s">
        <v>22</v>
      </c>
      <c r="J3084" t="s">
        <v>89</v>
      </c>
    </row>
    <row r="3085" spans="1:10" x14ac:dyDescent="0.35">
      <c r="A3085" t="s">
        <v>3273</v>
      </c>
      <c r="B3085" s="1">
        <v>46221</v>
      </c>
      <c r="C3085" t="s">
        <v>256</v>
      </c>
      <c r="D3085" t="s">
        <v>34</v>
      </c>
      <c r="E3085" t="s">
        <v>40</v>
      </c>
      <c r="F3085" t="s">
        <v>14</v>
      </c>
      <c r="G3085">
        <v>214.92</v>
      </c>
      <c r="H3085" t="s">
        <v>15</v>
      </c>
      <c r="I3085" t="s">
        <v>36</v>
      </c>
      <c r="J3085" t="s">
        <v>239</v>
      </c>
    </row>
    <row r="3086" spans="1:10" x14ac:dyDescent="0.35">
      <c r="A3086" t="s">
        <v>3274</v>
      </c>
      <c r="B3086" s="1">
        <v>46221</v>
      </c>
      <c r="C3086" t="s">
        <v>19</v>
      </c>
      <c r="D3086" t="s">
        <v>12</v>
      </c>
      <c r="E3086" t="s">
        <v>13</v>
      </c>
      <c r="F3086" t="s">
        <v>14</v>
      </c>
      <c r="G3086">
        <v>53.11</v>
      </c>
      <c r="H3086" t="s">
        <v>21</v>
      </c>
      <c r="I3086" t="s">
        <v>16</v>
      </c>
      <c r="J3086" t="s">
        <v>23</v>
      </c>
    </row>
    <row r="3087" spans="1:10" x14ac:dyDescent="0.35">
      <c r="A3087" t="s">
        <v>3275</v>
      </c>
      <c r="B3087" s="1">
        <v>46222</v>
      </c>
      <c r="C3087" t="s">
        <v>53</v>
      </c>
      <c r="D3087" t="s">
        <v>54</v>
      </c>
      <c r="E3087" t="s">
        <v>55</v>
      </c>
      <c r="F3087" t="s">
        <v>54</v>
      </c>
      <c r="G3087">
        <v>752.71</v>
      </c>
      <c r="H3087" t="s">
        <v>21</v>
      </c>
      <c r="I3087" t="s">
        <v>22</v>
      </c>
      <c r="J3087" t="s">
        <v>56</v>
      </c>
    </row>
    <row r="3088" spans="1:10" x14ac:dyDescent="0.35">
      <c r="A3088" t="s">
        <v>3276</v>
      </c>
      <c r="B3088" s="1">
        <v>46222</v>
      </c>
      <c r="C3088" t="s">
        <v>210</v>
      </c>
      <c r="D3088" t="s">
        <v>59</v>
      </c>
      <c r="E3088" t="s">
        <v>185</v>
      </c>
      <c r="F3088" t="s">
        <v>14</v>
      </c>
      <c r="G3088">
        <v>516</v>
      </c>
      <c r="H3088" t="s">
        <v>15</v>
      </c>
      <c r="I3088" t="s">
        <v>22</v>
      </c>
      <c r="J3088" t="s">
        <v>211</v>
      </c>
    </row>
    <row r="3089" spans="1:10" x14ac:dyDescent="0.35">
      <c r="A3089" t="s">
        <v>3277</v>
      </c>
      <c r="B3089" s="1">
        <v>46222</v>
      </c>
      <c r="C3089" t="s">
        <v>53</v>
      </c>
      <c r="D3089" t="s">
        <v>54</v>
      </c>
      <c r="E3089" t="s">
        <v>55</v>
      </c>
      <c r="F3089" t="s">
        <v>54</v>
      </c>
      <c r="G3089">
        <v>626.11</v>
      </c>
      <c r="H3089" t="s">
        <v>15</v>
      </c>
      <c r="I3089" t="s">
        <v>47</v>
      </c>
      <c r="J3089" t="s">
        <v>56</v>
      </c>
    </row>
    <row r="3090" spans="1:10" x14ac:dyDescent="0.35">
      <c r="A3090" t="s">
        <v>3278</v>
      </c>
      <c r="B3090" s="1">
        <v>46223</v>
      </c>
      <c r="C3090" t="s">
        <v>220</v>
      </c>
      <c r="D3090" t="s">
        <v>59</v>
      </c>
      <c r="E3090" t="s">
        <v>199</v>
      </c>
      <c r="F3090" t="s">
        <v>14</v>
      </c>
      <c r="G3090">
        <v>211.06</v>
      </c>
      <c r="H3090" t="s">
        <v>21</v>
      </c>
      <c r="I3090" t="s">
        <v>16</v>
      </c>
      <c r="J3090" t="s">
        <v>211</v>
      </c>
    </row>
    <row r="3091" spans="1:10" x14ac:dyDescent="0.35">
      <c r="A3091" t="s">
        <v>3279</v>
      </c>
      <c r="B3091" s="1">
        <v>46224</v>
      </c>
      <c r="C3091" t="s">
        <v>88</v>
      </c>
      <c r="D3091" t="s">
        <v>54</v>
      </c>
      <c r="E3091" t="s">
        <v>74</v>
      </c>
      <c r="F3091" t="s">
        <v>54</v>
      </c>
      <c r="G3091">
        <v>2225.73</v>
      </c>
      <c r="H3091" t="s">
        <v>15</v>
      </c>
      <c r="I3091" t="s">
        <v>22</v>
      </c>
      <c r="J3091" t="s">
        <v>89</v>
      </c>
    </row>
    <row r="3092" spans="1:10" x14ac:dyDescent="0.35">
      <c r="A3092" t="s">
        <v>3280</v>
      </c>
      <c r="B3092" s="1">
        <v>46224</v>
      </c>
      <c r="C3092" t="s">
        <v>125</v>
      </c>
      <c r="D3092" t="s">
        <v>12</v>
      </c>
      <c r="E3092" t="s">
        <v>13</v>
      </c>
      <c r="F3092" t="s">
        <v>14</v>
      </c>
      <c r="G3092">
        <v>27.73</v>
      </c>
      <c r="H3092" t="s">
        <v>15</v>
      </c>
      <c r="I3092" t="s">
        <v>36</v>
      </c>
      <c r="J3092" t="s">
        <v>44</v>
      </c>
    </row>
    <row r="3093" spans="1:10" x14ac:dyDescent="0.35">
      <c r="A3093" t="s">
        <v>3281</v>
      </c>
      <c r="B3093" s="1">
        <v>46224</v>
      </c>
      <c r="C3093" t="s">
        <v>143</v>
      </c>
      <c r="D3093" t="s">
        <v>54</v>
      </c>
      <c r="E3093" t="s">
        <v>55</v>
      </c>
      <c r="F3093" t="s">
        <v>54</v>
      </c>
      <c r="G3093">
        <v>595.96</v>
      </c>
      <c r="H3093" t="s">
        <v>15</v>
      </c>
      <c r="I3093" t="s">
        <v>22</v>
      </c>
      <c r="J3093" t="s">
        <v>89</v>
      </c>
    </row>
    <row r="3094" spans="1:10" x14ac:dyDescent="0.35">
      <c r="A3094" t="s">
        <v>3282</v>
      </c>
      <c r="B3094" s="1">
        <v>46224</v>
      </c>
      <c r="C3094" t="s">
        <v>177</v>
      </c>
      <c r="D3094" t="s">
        <v>54</v>
      </c>
      <c r="E3094" t="s">
        <v>74</v>
      </c>
      <c r="F3094" t="s">
        <v>54</v>
      </c>
      <c r="G3094">
        <v>2737.54</v>
      </c>
      <c r="H3094" t="s">
        <v>15</v>
      </c>
      <c r="I3094" t="s">
        <v>22</v>
      </c>
      <c r="J3094" t="s">
        <v>56</v>
      </c>
    </row>
    <row r="3095" spans="1:10" x14ac:dyDescent="0.35">
      <c r="A3095" t="s">
        <v>3283</v>
      </c>
      <c r="B3095" s="1">
        <v>46224</v>
      </c>
      <c r="C3095" t="s">
        <v>259</v>
      </c>
      <c r="D3095" t="s">
        <v>59</v>
      </c>
      <c r="E3095" t="s">
        <v>199</v>
      </c>
      <c r="F3095" t="s">
        <v>14</v>
      </c>
      <c r="G3095">
        <v>134.56</v>
      </c>
      <c r="H3095" t="s">
        <v>15</v>
      </c>
      <c r="I3095" t="s">
        <v>22</v>
      </c>
      <c r="J3095" t="s">
        <v>170</v>
      </c>
    </row>
    <row r="3096" spans="1:10" x14ac:dyDescent="0.35">
      <c r="A3096" t="s">
        <v>3284</v>
      </c>
      <c r="B3096" s="1">
        <v>46225</v>
      </c>
      <c r="C3096" t="s">
        <v>73</v>
      </c>
      <c r="D3096" t="s">
        <v>54</v>
      </c>
      <c r="E3096" t="s">
        <v>74</v>
      </c>
      <c r="F3096" t="s">
        <v>54</v>
      </c>
      <c r="G3096">
        <v>2208.67</v>
      </c>
      <c r="H3096" t="s">
        <v>15</v>
      </c>
      <c r="I3096" t="s">
        <v>47</v>
      </c>
      <c r="J3096" t="s">
        <v>65</v>
      </c>
    </row>
    <row r="3097" spans="1:10" x14ac:dyDescent="0.35">
      <c r="A3097" t="s">
        <v>3285</v>
      </c>
      <c r="B3097" s="1">
        <v>46225</v>
      </c>
      <c r="C3097" t="s">
        <v>43</v>
      </c>
      <c r="D3097" t="s">
        <v>12</v>
      </c>
      <c r="E3097" t="s">
        <v>26</v>
      </c>
      <c r="F3097" t="s">
        <v>14</v>
      </c>
      <c r="G3097">
        <v>127.16</v>
      </c>
      <c r="H3097" t="s">
        <v>21</v>
      </c>
      <c r="I3097" t="s">
        <v>47</v>
      </c>
      <c r="J3097" t="s">
        <v>44</v>
      </c>
    </row>
    <row r="3098" spans="1:10" x14ac:dyDescent="0.35">
      <c r="A3098" t="s">
        <v>3286</v>
      </c>
      <c r="B3098" s="1">
        <v>46225</v>
      </c>
      <c r="C3098" t="s">
        <v>194</v>
      </c>
      <c r="D3098" t="s">
        <v>101</v>
      </c>
      <c r="E3098" t="s">
        <v>136</v>
      </c>
      <c r="F3098" t="s">
        <v>14</v>
      </c>
      <c r="G3098">
        <v>143.08000000000001</v>
      </c>
      <c r="H3098" t="s">
        <v>21</v>
      </c>
      <c r="I3098" t="s">
        <v>22</v>
      </c>
      <c r="J3098" t="s">
        <v>103</v>
      </c>
    </row>
    <row r="3099" spans="1:10" x14ac:dyDescent="0.35">
      <c r="A3099" t="s">
        <v>3287</v>
      </c>
      <c r="B3099" s="1">
        <v>46225</v>
      </c>
      <c r="C3099" t="s">
        <v>238</v>
      </c>
      <c r="D3099" t="s">
        <v>34</v>
      </c>
      <c r="E3099" t="s">
        <v>35</v>
      </c>
      <c r="F3099" t="s">
        <v>14</v>
      </c>
      <c r="G3099">
        <v>120.08</v>
      </c>
      <c r="H3099" t="s">
        <v>21</v>
      </c>
      <c r="I3099" t="s">
        <v>36</v>
      </c>
      <c r="J3099" t="s">
        <v>239</v>
      </c>
    </row>
    <row r="3100" spans="1:10" x14ac:dyDescent="0.35">
      <c r="A3100" t="s">
        <v>3288</v>
      </c>
      <c r="B3100" s="1">
        <v>46225</v>
      </c>
      <c r="C3100" t="s">
        <v>63</v>
      </c>
      <c r="D3100" t="s">
        <v>54</v>
      </c>
      <c r="E3100" t="s">
        <v>64</v>
      </c>
      <c r="F3100" t="s">
        <v>54</v>
      </c>
      <c r="G3100">
        <v>350.1</v>
      </c>
      <c r="H3100" t="s">
        <v>15</v>
      </c>
      <c r="I3100" t="s">
        <v>36</v>
      </c>
      <c r="J3100" t="s">
        <v>65</v>
      </c>
    </row>
    <row r="3101" spans="1:10" x14ac:dyDescent="0.35">
      <c r="A3101" t="s">
        <v>3289</v>
      </c>
      <c r="B3101" s="1">
        <v>46226</v>
      </c>
      <c r="C3101" t="s">
        <v>172</v>
      </c>
      <c r="D3101" t="s">
        <v>101</v>
      </c>
      <c r="E3101" t="s">
        <v>102</v>
      </c>
      <c r="F3101" t="s">
        <v>14</v>
      </c>
      <c r="G3101">
        <v>47.05</v>
      </c>
      <c r="H3101" t="s">
        <v>21</v>
      </c>
      <c r="I3101" t="s">
        <v>22</v>
      </c>
      <c r="J3101" t="s">
        <v>102</v>
      </c>
    </row>
    <row r="3102" spans="1:10" x14ac:dyDescent="0.35">
      <c r="A3102" t="s">
        <v>3290</v>
      </c>
      <c r="B3102" s="1">
        <v>46226</v>
      </c>
      <c r="C3102" t="s">
        <v>63</v>
      </c>
      <c r="D3102" t="s">
        <v>54</v>
      </c>
      <c r="E3102" t="s">
        <v>64</v>
      </c>
      <c r="F3102" t="s">
        <v>54</v>
      </c>
      <c r="G3102">
        <v>309.63</v>
      </c>
      <c r="H3102" t="s">
        <v>21</v>
      </c>
      <c r="I3102" t="s">
        <v>47</v>
      </c>
      <c r="J3102" t="s">
        <v>3291</v>
      </c>
    </row>
    <row r="3103" spans="1:10" x14ac:dyDescent="0.35">
      <c r="A3103" t="s">
        <v>3292</v>
      </c>
      <c r="B3103" s="1">
        <v>46226</v>
      </c>
      <c r="C3103" t="s">
        <v>229</v>
      </c>
      <c r="D3103" t="s">
        <v>54</v>
      </c>
      <c r="E3103" t="s">
        <v>64</v>
      </c>
      <c r="F3103" t="s">
        <v>54</v>
      </c>
      <c r="G3103">
        <v>388.82</v>
      </c>
      <c r="H3103" t="s">
        <v>15</v>
      </c>
      <c r="I3103" t="s">
        <v>22</v>
      </c>
      <c r="J3103" t="s">
        <v>56</v>
      </c>
    </row>
    <row r="3104" spans="1:10" x14ac:dyDescent="0.35">
      <c r="A3104" t="s">
        <v>3293</v>
      </c>
      <c r="B3104" s="1">
        <v>46227</v>
      </c>
      <c r="C3104" t="s">
        <v>177</v>
      </c>
      <c r="D3104" t="s">
        <v>54</v>
      </c>
      <c r="E3104" t="s">
        <v>74</v>
      </c>
      <c r="F3104" t="s">
        <v>54</v>
      </c>
      <c r="G3104">
        <v>2938.99</v>
      </c>
      <c r="H3104" t="s">
        <v>21</v>
      </c>
      <c r="I3104" t="s">
        <v>16</v>
      </c>
      <c r="J3104" t="s">
        <v>56</v>
      </c>
    </row>
    <row r="3105" spans="1:10" x14ac:dyDescent="0.35">
      <c r="A3105" t="s">
        <v>3294</v>
      </c>
      <c r="B3105" s="1">
        <v>46227</v>
      </c>
      <c r="C3105" t="s">
        <v>464</v>
      </c>
      <c r="D3105" t="s">
        <v>34</v>
      </c>
      <c r="E3105" t="s">
        <v>122</v>
      </c>
      <c r="F3105" t="s">
        <v>14</v>
      </c>
      <c r="G3105">
        <v>296.94</v>
      </c>
      <c r="H3105" t="s">
        <v>15</v>
      </c>
      <c r="I3105" t="s">
        <v>22</v>
      </c>
      <c r="J3105" t="s">
        <v>239</v>
      </c>
    </row>
    <row r="3106" spans="1:10" x14ac:dyDescent="0.35">
      <c r="A3106" t="s">
        <v>3295</v>
      </c>
      <c r="B3106" s="1">
        <v>46227</v>
      </c>
      <c r="C3106" t="s">
        <v>198</v>
      </c>
      <c r="D3106" t="s">
        <v>59</v>
      </c>
      <c r="E3106" t="s">
        <v>199</v>
      </c>
      <c r="F3106" t="s">
        <v>14</v>
      </c>
      <c r="G3106">
        <v>189.37</v>
      </c>
      <c r="H3106" t="s">
        <v>21</v>
      </c>
      <c r="I3106" t="s">
        <v>47</v>
      </c>
      <c r="J3106" t="s">
        <v>61</v>
      </c>
    </row>
    <row r="3107" spans="1:10" x14ac:dyDescent="0.35">
      <c r="A3107" t="s">
        <v>3296</v>
      </c>
      <c r="B3107" s="1">
        <v>46227</v>
      </c>
      <c r="C3107" t="s">
        <v>262</v>
      </c>
      <c r="D3107" t="s">
        <v>101</v>
      </c>
      <c r="E3107" t="s">
        <v>244</v>
      </c>
      <c r="F3107" t="s">
        <v>14</v>
      </c>
      <c r="G3107">
        <v>37.93</v>
      </c>
      <c r="H3107" t="s">
        <v>15</v>
      </c>
      <c r="I3107" t="s">
        <v>36</v>
      </c>
      <c r="J3107" t="s">
        <v>136</v>
      </c>
    </row>
    <row r="3108" spans="1:10" x14ac:dyDescent="0.35">
      <c r="A3108" t="s">
        <v>3297</v>
      </c>
      <c r="B3108" s="1">
        <v>46227</v>
      </c>
      <c r="C3108" t="s">
        <v>53</v>
      </c>
      <c r="D3108" t="s">
        <v>54</v>
      </c>
      <c r="E3108" t="s">
        <v>55</v>
      </c>
      <c r="F3108" t="s">
        <v>54</v>
      </c>
      <c r="G3108">
        <v>765.65</v>
      </c>
      <c r="H3108" t="s">
        <v>21</v>
      </c>
      <c r="I3108" t="s">
        <v>22</v>
      </c>
      <c r="J3108" t="s">
        <v>56</v>
      </c>
    </row>
    <row r="3109" spans="1:10" x14ac:dyDescent="0.35">
      <c r="A3109" t="s">
        <v>3298</v>
      </c>
      <c r="B3109" s="1">
        <v>46228</v>
      </c>
      <c r="C3109" t="s">
        <v>33</v>
      </c>
      <c r="D3109" t="s">
        <v>34</v>
      </c>
      <c r="E3109" t="s">
        <v>35</v>
      </c>
      <c r="F3109" t="s">
        <v>14</v>
      </c>
      <c r="G3109">
        <v>408.78</v>
      </c>
      <c r="H3109" t="s">
        <v>15</v>
      </c>
      <c r="I3109" t="s">
        <v>22</v>
      </c>
      <c r="J3109" t="s">
        <v>37</v>
      </c>
    </row>
    <row r="3110" spans="1:10" x14ac:dyDescent="0.35">
      <c r="A3110" t="s">
        <v>3299</v>
      </c>
      <c r="B3110" s="1">
        <v>46228</v>
      </c>
      <c r="C3110" t="s">
        <v>121</v>
      </c>
      <c r="D3110" t="s">
        <v>34</v>
      </c>
      <c r="E3110" t="s">
        <v>122</v>
      </c>
      <c r="F3110" t="s">
        <v>14</v>
      </c>
      <c r="G3110">
        <v>121.99</v>
      </c>
      <c r="H3110" t="s">
        <v>15</v>
      </c>
      <c r="I3110" t="s">
        <v>47</v>
      </c>
      <c r="J3110" t="s">
        <v>123</v>
      </c>
    </row>
    <row r="3111" spans="1:10" x14ac:dyDescent="0.35">
      <c r="A3111" t="s">
        <v>3300</v>
      </c>
      <c r="B3111" s="1">
        <v>46228</v>
      </c>
      <c r="C3111" t="s">
        <v>121</v>
      </c>
      <c r="D3111" t="s">
        <v>34</v>
      </c>
      <c r="E3111" t="s">
        <v>122</v>
      </c>
      <c r="F3111" t="s">
        <v>14</v>
      </c>
      <c r="G3111">
        <v>126.18</v>
      </c>
      <c r="H3111" t="s">
        <v>15</v>
      </c>
      <c r="I3111" t="s">
        <v>36</v>
      </c>
      <c r="J3111" t="s">
        <v>123</v>
      </c>
    </row>
    <row r="3112" spans="1:10" x14ac:dyDescent="0.35">
      <c r="A3112" t="s">
        <v>3301</v>
      </c>
      <c r="B3112" s="1">
        <v>46228</v>
      </c>
      <c r="C3112" t="s">
        <v>121</v>
      </c>
      <c r="D3112" t="s">
        <v>34</v>
      </c>
      <c r="E3112" t="s">
        <v>122</v>
      </c>
      <c r="F3112" t="s">
        <v>14</v>
      </c>
      <c r="G3112">
        <v>84.15</v>
      </c>
      <c r="H3112" t="s">
        <v>15</v>
      </c>
      <c r="I3112" t="s">
        <v>22</v>
      </c>
      <c r="J3112" t="s">
        <v>123</v>
      </c>
    </row>
    <row r="3113" spans="1:10" x14ac:dyDescent="0.35">
      <c r="A3113" t="s">
        <v>3302</v>
      </c>
      <c r="B3113" s="1">
        <v>46228</v>
      </c>
      <c r="C3113" t="s">
        <v>253</v>
      </c>
      <c r="D3113" t="s">
        <v>29</v>
      </c>
      <c r="E3113" t="s">
        <v>30</v>
      </c>
      <c r="F3113" t="s">
        <v>14</v>
      </c>
      <c r="G3113">
        <v>20.45</v>
      </c>
      <c r="H3113" t="s">
        <v>15</v>
      </c>
      <c r="I3113" t="s">
        <v>22</v>
      </c>
      <c r="J3113" t="s">
        <v>158</v>
      </c>
    </row>
    <row r="3114" spans="1:10" x14ac:dyDescent="0.35">
      <c r="A3114" t="s">
        <v>3303</v>
      </c>
      <c r="B3114" s="1">
        <v>46228</v>
      </c>
      <c r="C3114" t="s">
        <v>163</v>
      </c>
      <c r="D3114" t="s">
        <v>80</v>
      </c>
      <c r="E3114" t="s">
        <v>92</v>
      </c>
      <c r="F3114" t="s">
        <v>14</v>
      </c>
      <c r="G3114">
        <v>25.68</v>
      </c>
      <c r="H3114" t="s">
        <v>15</v>
      </c>
      <c r="I3114" t="s">
        <v>47</v>
      </c>
      <c r="J3114" t="s">
        <v>118</v>
      </c>
    </row>
    <row r="3115" spans="1:10" x14ac:dyDescent="0.35">
      <c r="A3115" t="s">
        <v>3304</v>
      </c>
      <c r="B3115" s="1">
        <v>46228</v>
      </c>
      <c r="C3115" t="s">
        <v>267</v>
      </c>
      <c r="D3115" t="s">
        <v>29</v>
      </c>
      <c r="E3115" t="s">
        <v>30</v>
      </c>
      <c r="F3115" t="s">
        <v>14</v>
      </c>
      <c r="G3115">
        <v>12.95</v>
      </c>
      <c r="H3115" t="s">
        <v>15</v>
      </c>
      <c r="I3115" t="s">
        <v>22</v>
      </c>
      <c r="J3115" t="s">
        <v>96</v>
      </c>
    </row>
    <row r="3116" spans="1:10" x14ac:dyDescent="0.35">
      <c r="A3116" t="s">
        <v>3305</v>
      </c>
      <c r="B3116" s="1">
        <v>46229</v>
      </c>
      <c r="C3116" t="s">
        <v>580</v>
      </c>
      <c r="D3116" t="s">
        <v>80</v>
      </c>
      <c r="E3116" t="s">
        <v>81</v>
      </c>
      <c r="F3116" t="s">
        <v>14</v>
      </c>
      <c r="G3116">
        <v>34.799999999999997</v>
      </c>
      <c r="H3116" t="s">
        <v>15</v>
      </c>
      <c r="I3116" t="s">
        <v>36</v>
      </c>
      <c r="J3116" t="s">
        <v>118</v>
      </c>
    </row>
    <row r="3117" spans="1:10" x14ac:dyDescent="0.35">
      <c r="A3117" t="s">
        <v>3306</v>
      </c>
      <c r="B3117" s="1">
        <v>46229</v>
      </c>
      <c r="C3117" t="s">
        <v>58</v>
      </c>
      <c r="D3117" t="s">
        <v>59</v>
      </c>
      <c r="E3117" t="s">
        <v>60</v>
      </c>
      <c r="F3117" t="s">
        <v>14</v>
      </c>
      <c r="G3117">
        <v>238.37</v>
      </c>
      <c r="H3117" t="s">
        <v>21</v>
      </c>
      <c r="I3117" t="s">
        <v>36</v>
      </c>
      <c r="J3117" t="s">
        <v>61</v>
      </c>
    </row>
    <row r="3118" spans="1:10" x14ac:dyDescent="0.35">
      <c r="A3118" t="s">
        <v>3307</v>
      </c>
      <c r="B3118" s="1">
        <v>46229</v>
      </c>
      <c r="C3118" t="s">
        <v>88</v>
      </c>
      <c r="D3118" t="s">
        <v>54</v>
      </c>
      <c r="E3118" t="s">
        <v>74</v>
      </c>
      <c r="F3118" t="s">
        <v>54</v>
      </c>
      <c r="G3118">
        <v>2519.48</v>
      </c>
      <c r="H3118" t="s">
        <v>21</v>
      </c>
      <c r="I3118" t="s">
        <v>47</v>
      </c>
      <c r="J3118" t="s">
        <v>89</v>
      </c>
    </row>
    <row r="3119" spans="1:10" x14ac:dyDescent="0.35">
      <c r="A3119" t="s">
        <v>3308</v>
      </c>
      <c r="B3119" s="1">
        <v>46229</v>
      </c>
      <c r="C3119" t="s">
        <v>198</v>
      </c>
      <c r="D3119" t="s">
        <v>59</v>
      </c>
      <c r="E3119" t="s">
        <v>199</v>
      </c>
      <c r="F3119" t="s">
        <v>14</v>
      </c>
      <c r="G3119">
        <v>578.4</v>
      </c>
      <c r="H3119" t="s">
        <v>15</v>
      </c>
      <c r="I3119" t="s">
        <v>22</v>
      </c>
      <c r="J3119" t="s">
        <v>61</v>
      </c>
    </row>
    <row r="3120" spans="1:10" x14ac:dyDescent="0.35">
      <c r="A3120" t="s">
        <v>3309</v>
      </c>
      <c r="B3120" s="1">
        <v>46229</v>
      </c>
      <c r="C3120" t="s">
        <v>125</v>
      </c>
      <c r="D3120" t="s">
        <v>12</v>
      </c>
      <c r="E3120" t="s">
        <v>13</v>
      </c>
      <c r="F3120" t="s">
        <v>14</v>
      </c>
      <c r="G3120">
        <v>38.229999999999997</v>
      </c>
      <c r="H3120" t="s">
        <v>15</v>
      </c>
      <c r="I3120" t="s">
        <v>47</v>
      </c>
      <c r="J3120" t="s">
        <v>44</v>
      </c>
    </row>
    <row r="3121" spans="1:10" x14ac:dyDescent="0.35">
      <c r="A3121" t="s">
        <v>3310</v>
      </c>
      <c r="B3121" s="1">
        <v>46230</v>
      </c>
      <c r="C3121" t="s">
        <v>215</v>
      </c>
      <c r="D3121" t="s">
        <v>80</v>
      </c>
      <c r="E3121" t="s">
        <v>117</v>
      </c>
      <c r="F3121" t="s">
        <v>14</v>
      </c>
      <c r="G3121">
        <v>46.53</v>
      </c>
      <c r="H3121" t="s">
        <v>15</v>
      </c>
      <c r="I3121" t="s">
        <v>36</v>
      </c>
      <c r="J3121" t="s">
        <v>141</v>
      </c>
    </row>
    <row r="3122" spans="1:10" x14ac:dyDescent="0.35">
      <c r="A3122" t="s">
        <v>3311</v>
      </c>
      <c r="B3122" s="1">
        <v>46230</v>
      </c>
      <c r="C3122" t="s">
        <v>153</v>
      </c>
      <c r="D3122" t="s">
        <v>34</v>
      </c>
      <c r="E3122" t="s">
        <v>122</v>
      </c>
      <c r="F3122" t="s">
        <v>14</v>
      </c>
      <c r="G3122">
        <v>124.94</v>
      </c>
      <c r="H3122" t="s">
        <v>15</v>
      </c>
      <c r="I3122" t="s">
        <v>16</v>
      </c>
      <c r="J3122" t="s">
        <v>41</v>
      </c>
    </row>
    <row r="3123" spans="1:10" x14ac:dyDescent="0.35">
      <c r="A3123" t="s">
        <v>3312</v>
      </c>
      <c r="B3123" s="1">
        <v>46230</v>
      </c>
      <c r="C3123" t="s">
        <v>39</v>
      </c>
      <c r="D3123" t="s">
        <v>34</v>
      </c>
      <c r="E3123" t="s">
        <v>40</v>
      </c>
      <c r="F3123" t="s">
        <v>14</v>
      </c>
      <c r="G3123">
        <v>189.38</v>
      </c>
      <c r="H3123" t="s">
        <v>15</v>
      </c>
      <c r="I3123" t="s">
        <v>47</v>
      </c>
      <c r="J3123" t="s">
        <v>41</v>
      </c>
    </row>
    <row r="3124" spans="1:10" x14ac:dyDescent="0.35">
      <c r="A3124" t="s">
        <v>3313</v>
      </c>
      <c r="B3124" s="1">
        <v>46230</v>
      </c>
      <c r="C3124" t="s">
        <v>50</v>
      </c>
      <c r="D3124" t="s">
        <v>12</v>
      </c>
      <c r="E3124" t="s">
        <v>51</v>
      </c>
      <c r="F3124" t="s">
        <v>14</v>
      </c>
      <c r="G3124">
        <v>16.88</v>
      </c>
      <c r="H3124" t="s">
        <v>98</v>
      </c>
      <c r="I3124" t="s">
        <v>36</v>
      </c>
      <c r="J3124" t="s">
        <v>44</v>
      </c>
    </row>
    <row r="3125" spans="1:10" x14ac:dyDescent="0.35">
      <c r="A3125" t="s">
        <v>3314</v>
      </c>
      <c r="B3125" s="1">
        <v>46230</v>
      </c>
      <c r="C3125" t="s">
        <v>734</v>
      </c>
      <c r="D3125" t="s">
        <v>69</v>
      </c>
      <c r="E3125" t="s">
        <v>291</v>
      </c>
      <c r="F3125" t="s">
        <v>14</v>
      </c>
      <c r="G3125">
        <v>468.83</v>
      </c>
      <c r="H3125" t="s">
        <v>15</v>
      </c>
      <c r="I3125" t="s">
        <v>36</v>
      </c>
      <c r="J3125" t="s">
        <v>71</v>
      </c>
    </row>
    <row r="3126" spans="1:10" x14ac:dyDescent="0.35">
      <c r="A3126" t="s">
        <v>3315</v>
      </c>
      <c r="B3126" s="1">
        <v>46230</v>
      </c>
      <c r="C3126" t="s">
        <v>350</v>
      </c>
      <c r="D3126" t="s">
        <v>29</v>
      </c>
      <c r="E3126" t="s">
        <v>151</v>
      </c>
      <c r="F3126" t="s">
        <v>14</v>
      </c>
      <c r="G3126">
        <v>19.600000000000001</v>
      </c>
      <c r="H3126" t="s">
        <v>98</v>
      </c>
      <c r="I3126" t="s">
        <v>16</v>
      </c>
      <c r="J3126" t="s">
        <v>158</v>
      </c>
    </row>
    <row r="3127" spans="1:10" x14ac:dyDescent="0.35">
      <c r="A3127" t="s">
        <v>3316</v>
      </c>
      <c r="B3127" s="1">
        <v>46230</v>
      </c>
      <c r="C3127" t="s">
        <v>210</v>
      </c>
      <c r="D3127" t="s">
        <v>59</v>
      </c>
      <c r="E3127" t="s">
        <v>185</v>
      </c>
      <c r="F3127" t="s">
        <v>14</v>
      </c>
      <c r="G3127">
        <v>84.54</v>
      </c>
      <c r="H3127" t="s">
        <v>21</v>
      </c>
      <c r="I3127" t="s">
        <v>36</v>
      </c>
      <c r="J3127" t="s">
        <v>211</v>
      </c>
    </row>
    <row r="3128" spans="1:10" x14ac:dyDescent="0.35">
      <c r="A3128" t="s">
        <v>3317</v>
      </c>
      <c r="B3128" s="1">
        <v>46230</v>
      </c>
      <c r="C3128" t="s">
        <v>88</v>
      </c>
      <c r="D3128" t="s">
        <v>54</v>
      </c>
      <c r="E3128" t="s">
        <v>74</v>
      </c>
      <c r="F3128" t="s">
        <v>54</v>
      </c>
      <c r="G3128">
        <v>2314.67</v>
      </c>
      <c r="H3128" t="s">
        <v>15</v>
      </c>
      <c r="I3128" t="s">
        <v>16</v>
      </c>
      <c r="J3128" t="s">
        <v>89</v>
      </c>
    </row>
    <row r="3129" spans="1:10" x14ac:dyDescent="0.35">
      <c r="A3129" t="s">
        <v>3318</v>
      </c>
      <c r="B3129" s="1">
        <v>46231</v>
      </c>
      <c r="C3129" t="s">
        <v>824</v>
      </c>
      <c r="D3129" t="s">
        <v>69</v>
      </c>
      <c r="E3129" t="s">
        <v>233</v>
      </c>
      <c r="F3129" t="s">
        <v>14</v>
      </c>
      <c r="G3129">
        <v>790.94</v>
      </c>
      <c r="H3129" t="s">
        <v>15</v>
      </c>
      <c r="I3129" t="s">
        <v>22</v>
      </c>
      <c r="J3129" t="s">
        <v>133</v>
      </c>
    </row>
    <row r="3130" spans="1:10" x14ac:dyDescent="0.35">
      <c r="A3130" t="s">
        <v>3319</v>
      </c>
      <c r="B3130" s="1">
        <v>46231</v>
      </c>
      <c r="C3130" t="s">
        <v>153</v>
      </c>
      <c r="D3130" t="s">
        <v>34</v>
      </c>
      <c r="E3130" t="s">
        <v>122</v>
      </c>
      <c r="F3130" t="s">
        <v>14</v>
      </c>
      <c r="G3130">
        <v>121.52</v>
      </c>
      <c r="H3130" t="s">
        <v>15</v>
      </c>
      <c r="I3130" t="s">
        <v>47</v>
      </c>
      <c r="J3130" t="s">
        <v>41</v>
      </c>
    </row>
    <row r="3131" spans="1:10" x14ac:dyDescent="0.35">
      <c r="A3131" t="s">
        <v>3320</v>
      </c>
      <c r="B3131" s="1">
        <v>46231</v>
      </c>
      <c r="C3131" t="s">
        <v>376</v>
      </c>
      <c r="D3131" t="s">
        <v>80</v>
      </c>
      <c r="E3131" t="s">
        <v>117</v>
      </c>
      <c r="F3131" t="s">
        <v>14</v>
      </c>
      <c r="G3131">
        <v>46.03</v>
      </c>
      <c r="H3131" t="s">
        <v>15</v>
      </c>
      <c r="I3131" t="s">
        <v>22</v>
      </c>
      <c r="J3131" t="s">
        <v>82</v>
      </c>
    </row>
    <row r="3132" spans="1:10" x14ac:dyDescent="0.35">
      <c r="A3132" t="s">
        <v>3321</v>
      </c>
      <c r="B3132" s="1">
        <v>46231</v>
      </c>
      <c r="C3132" t="s">
        <v>76</v>
      </c>
      <c r="D3132" t="s">
        <v>12</v>
      </c>
      <c r="E3132" t="s">
        <v>13</v>
      </c>
      <c r="F3132" t="s">
        <v>14</v>
      </c>
      <c r="G3132">
        <v>21.21</v>
      </c>
      <c r="H3132" t="s">
        <v>21</v>
      </c>
      <c r="I3132" t="s">
        <v>22</v>
      </c>
      <c r="J3132" t="s">
        <v>77</v>
      </c>
    </row>
    <row r="3133" spans="1:10" x14ac:dyDescent="0.35">
      <c r="A3133" t="s">
        <v>3322</v>
      </c>
      <c r="B3133" s="1">
        <v>46232</v>
      </c>
      <c r="C3133" t="s">
        <v>94</v>
      </c>
      <c r="D3133" t="s">
        <v>29</v>
      </c>
      <c r="E3133" t="s">
        <v>95</v>
      </c>
      <c r="F3133" t="s">
        <v>14</v>
      </c>
      <c r="G3133">
        <v>67.94</v>
      </c>
      <c r="H3133" t="s">
        <v>15</v>
      </c>
      <c r="I3133" t="s">
        <v>22</v>
      </c>
      <c r="J3133" t="s">
        <v>96</v>
      </c>
    </row>
    <row r="3134" spans="1:10" x14ac:dyDescent="0.35">
      <c r="A3134" t="s">
        <v>3323</v>
      </c>
      <c r="B3134" s="1">
        <v>46232</v>
      </c>
      <c r="C3134" t="s">
        <v>290</v>
      </c>
      <c r="D3134" t="s">
        <v>69</v>
      </c>
      <c r="E3134" t="s">
        <v>291</v>
      </c>
      <c r="F3134" t="s">
        <v>14</v>
      </c>
      <c r="G3134">
        <v>158.84</v>
      </c>
      <c r="H3134" t="s">
        <v>15</v>
      </c>
      <c r="I3134" t="s">
        <v>22</v>
      </c>
      <c r="J3134" t="s">
        <v>292</v>
      </c>
    </row>
    <row r="3135" spans="1:10" x14ac:dyDescent="0.35">
      <c r="A3135" t="s">
        <v>3324</v>
      </c>
      <c r="B3135" s="1">
        <v>46232</v>
      </c>
      <c r="C3135" t="s">
        <v>125</v>
      </c>
      <c r="D3135" t="s">
        <v>12</v>
      </c>
      <c r="E3135" t="s">
        <v>13</v>
      </c>
      <c r="F3135" t="s">
        <v>14</v>
      </c>
      <c r="G3135">
        <v>41.19</v>
      </c>
      <c r="H3135" t="s">
        <v>15</v>
      </c>
      <c r="I3135" t="s">
        <v>36</v>
      </c>
      <c r="J3135" t="s">
        <v>44</v>
      </c>
    </row>
    <row r="3136" spans="1:10" x14ac:dyDescent="0.35">
      <c r="A3136" t="s">
        <v>3325</v>
      </c>
      <c r="B3136" s="1">
        <v>46232</v>
      </c>
      <c r="C3136" t="s">
        <v>543</v>
      </c>
      <c r="D3136" t="s">
        <v>69</v>
      </c>
      <c r="E3136" t="s">
        <v>70</v>
      </c>
      <c r="F3136" t="s">
        <v>14</v>
      </c>
      <c r="G3136">
        <v>1029</v>
      </c>
      <c r="H3136" t="s">
        <v>15</v>
      </c>
      <c r="I3136" t="s">
        <v>22</v>
      </c>
      <c r="J3136" t="s">
        <v>292</v>
      </c>
    </row>
    <row r="3137" spans="1:10" x14ac:dyDescent="0.35">
      <c r="A3137" t="s">
        <v>3326</v>
      </c>
      <c r="B3137" s="1">
        <v>46232</v>
      </c>
      <c r="C3137" t="s">
        <v>253</v>
      </c>
      <c r="D3137" t="s">
        <v>29</v>
      </c>
      <c r="E3137" t="s">
        <v>30</v>
      </c>
      <c r="F3137" t="s">
        <v>14</v>
      </c>
      <c r="G3137">
        <v>28.31</v>
      </c>
      <c r="H3137" t="s">
        <v>98</v>
      </c>
      <c r="I3137" t="s">
        <v>47</v>
      </c>
      <c r="J3137" t="s">
        <v>158</v>
      </c>
    </row>
    <row r="3138" spans="1:10" x14ac:dyDescent="0.35">
      <c r="A3138" t="s">
        <v>3327</v>
      </c>
      <c r="B3138" s="1">
        <v>46233</v>
      </c>
      <c r="C3138" t="s">
        <v>58</v>
      </c>
      <c r="D3138" t="s">
        <v>59</v>
      </c>
      <c r="E3138" t="s">
        <v>60</v>
      </c>
      <c r="F3138" t="s">
        <v>14</v>
      </c>
      <c r="G3138">
        <v>204.9</v>
      </c>
      <c r="H3138" t="s">
        <v>15</v>
      </c>
      <c r="I3138" t="s">
        <v>16</v>
      </c>
      <c r="J3138" t="s">
        <v>61</v>
      </c>
    </row>
    <row r="3139" spans="1:10" x14ac:dyDescent="0.35">
      <c r="A3139" t="s">
        <v>3328</v>
      </c>
      <c r="B3139" s="1">
        <v>46233</v>
      </c>
      <c r="C3139" t="s">
        <v>63</v>
      </c>
      <c r="D3139" t="s">
        <v>54</v>
      </c>
      <c r="E3139" t="s">
        <v>64</v>
      </c>
      <c r="F3139" t="s">
        <v>54</v>
      </c>
      <c r="G3139">
        <v>361</v>
      </c>
      <c r="H3139" t="s">
        <v>98</v>
      </c>
      <c r="I3139" t="s">
        <v>16</v>
      </c>
      <c r="J3139" t="s">
        <v>65</v>
      </c>
    </row>
    <row r="3140" spans="1:10" x14ac:dyDescent="0.35">
      <c r="A3140" t="s">
        <v>3329</v>
      </c>
      <c r="B3140" s="1">
        <v>46233</v>
      </c>
      <c r="C3140" t="s">
        <v>345</v>
      </c>
      <c r="D3140" t="s">
        <v>59</v>
      </c>
      <c r="E3140" t="s">
        <v>60</v>
      </c>
      <c r="F3140" t="s">
        <v>14</v>
      </c>
      <c r="G3140">
        <v>91.58</v>
      </c>
      <c r="H3140" t="s">
        <v>98</v>
      </c>
      <c r="I3140" t="s">
        <v>22</v>
      </c>
      <c r="J3140" t="s">
        <v>211</v>
      </c>
    </row>
    <row r="3141" spans="1:10" x14ac:dyDescent="0.35">
      <c r="A3141" t="s">
        <v>3330</v>
      </c>
      <c r="B3141" s="1">
        <v>46233</v>
      </c>
      <c r="C3141" t="s">
        <v>184</v>
      </c>
      <c r="D3141" t="s">
        <v>59</v>
      </c>
      <c r="E3141" t="s">
        <v>185</v>
      </c>
      <c r="F3141" t="s">
        <v>14</v>
      </c>
      <c r="G3141">
        <v>131.41999999999999</v>
      </c>
      <c r="H3141" t="s">
        <v>15</v>
      </c>
      <c r="I3141" t="s">
        <v>16</v>
      </c>
      <c r="J3141" t="s">
        <v>61</v>
      </c>
    </row>
    <row r="3142" spans="1:10" x14ac:dyDescent="0.35">
      <c r="A3142" t="s">
        <v>3331</v>
      </c>
      <c r="B3142" s="1">
        <v>46233</v>
      </c>
      <c r="C3142" t="s">
        <v>153</v>
      </c>
      <c r="D3142" t="s">
        <v>34</v>
      </c>
      <c r="E3142" t="s">
        <v>122</v>
      </c>
      <c r="F3142" t="s">
        <v>14</v>
      </c>
      <c r="G3142">
        <v>90.62</v>
      </c>
      <c r="H3142" t="s">
        <v>21</v>
      </c>
      <c r="I3142" t="s">
        <v>36</v>
      </c>
      <c r="J3142" t="s">
        <v>41</v>
      </c>
    </row>
    <row r="3143" spans="1:10" x14ac:dyDescent="0.35">
      <c r="A3143" t="s">
        <v>3332</v>
      </c>
      <c r="B3143" s="1">
        <v>46233</v>
      </c>
      <c r="C3143" t="s">
        <v>76</v>
      </c>
      <c r="D3143" t="s">
        <v>12</v>
      </c>
      <c r="E3143" t="s">
        <v>13</v>
      </c>
      <c r="F3143" t="s">
        <v>14</v>
      </c>
      <c r="G3143">
        <v>82.49</v>
      </c>
      <c r="H3143" t="s">
        <v>21</v>
      </c>
      <c r="I3143" t="s">
        <v>36</v>
      </c>
      <c r="J3143" t="s">
        <v>77</v>
      </c>
    </row>
    <row r="3144" spans="1:10" x14ac:dyDescent="0.35">
      <c r="A3144" t="s">
        <v>3333</v>
      </c>
      <c r="B3144" s="1">
        <v>46233</v>
      </c>
      <c r="C3144" t="s">
        <v>50</v>
      </c>
      <c r="D3144" t="s">
        <v>12</v>
      </c>
      <c r="E3144" t="s">
        <v>51</v>
      </c>
      <c r="F3144" t="s">
        <v>14</v>
      </c>
      <c r="G3144">
        <v>59.11</v>
      </c>
      <c r="H3144" t="s">
        <v>15</v>
      </c>
      <c r="I3144" t="s">
        <v>22</v>
      </c>
      <c r="J3144" t="s">
        <v>44</v>
      </c>
    </row>
    <row r="3145" spans="1:10" x14ac:dyDescent="0.35">
      <c r="A3145" t="s">
        <v>3334</v>
      </c>
      <c r="B3145" s="1">
        <v>46233</v>
      </c>
      <c r="C3145" t="s">
        <v>160</v>
      </c>
      <c r="D3145" t="s">
        <v>80</v>
      </c>
      <c r="E3145" t="s">
        <v>117</v>
      </c>
      <c r="F3145" t="s">
        <v>14</v>
      </c>
      <c r="G3145">
        <v>215.56</v>
      </c>
      <c r="H3145" t="s">
        <v>98</v>
      </c>
      <c r="I3145" t="s">
        <v>36</v>
      </c>
      <c r="J3145" t="s">
        <v>161</v>
      </c>
    </row>
    <row r="3146" spans="1:10" x14ac:dyDescent="0.35">
      <c r="A3146" t="s">
        <v>3335</v>
      </c>
      <c r="B3146" s="1">
        <v>46233</v>
      </c>
      <c r="C3146" t="s">
        <v>46</v>
      </c>
      <c r="D3146" t="s">
        <v>12</v>
      </c>
      <c r="E3146" t="s">
        <v>13</v>
      </c>
      <c r="F3146" t="s">
        <v>14</v>
      </c>
      <c r="G3146">
        <v>53.33</v>
      </c>
      <c r="H3146" t="s">
        <v>15</v>
      </c>
      <c r="I3146" t="s">
        <v>22</v>
      </c>
      <c r="J3146" t="s">
        <v>48</v>
      </c>
    </row>
    <row r="3147" spans="1:10" x14ac:dyDescent="0.35">
      <c r="A3147" t="s">
        <v>3336</v>
      </c>
      <c r="B3147" s="1">
        <v>46233</v>
      </c>
      <c r="C3147" t="s">
        <v>220</v>
      </c>
      <c r="D3147" t="s">
        <v>59</v>
      </c>
      <c r="E3147" t="s">
        <v>199</v>
      </c>
      <c r="F3147" t="s">
        <v>14</v>
      </c>
      <c r="G3147">
        <v>326.85000000000002</v>
      </c>
      <c r="H3147" t="s">
        <v>21</v>
      </c>
      <c r="I3147" t="s">
        <v>22</v>
      </c>
      <c r="J3147" t="s">
        <v>211</v>
      </c>
    </row>
    <row r="3148" spans="1:10" x14ac:dyDescent="0.35">
      <c r="A3148" t="s">
        <v>3337</v>
      </c>
      <c r="B3148" s="1">
        <v>46234</v>
      </c>
      <c r="C3148" t="s">
        <v>220</v>
      </c>
      <c r="D3148" t="s">
        <v>59</v>
      </c>
      <c r="E3148" t="s">
        <v>199</v>
      </c>
      <c r="F3148" t="s">
        <v>14</v>
      </c>
      <c r="G3148">
        <v>366.5</v>
      </c>
      <c r="H3148" t="s">
        <v>15</v>
      </c>
      <c r="I3148" t="s">
        <v>22</v>
      </c>
      <c r="J3148" t="s">
        <v>211</v>
      </c>
    </row>
    <row r="3149" spans="1:10" x14ac:dyDescent="0.35">
      <c r="A3149" t="s">
        <v>3338</v>
      </c>
      <c r="B3149" s="1">
        <v>46234</v>
      </c>
      <c r="C3149" t="s">
        <v>875</v>
      </c>
      <c r="D3149" t="s">
        <v>69</v>
      </c>
      <c r="E3149" t="s">
        <v>291</v>
      </c>
      <c r="F3149" t="s">
        <v>14</v>
      </c>
      <c r="G3149">
        <v>593.74</v>
      </c>
      <c r="H3149" t="s">
        <v>15</v>
      </c>
      <c r="I3149" t="s">
        <v>47</v>
      </c>
      <c r="J3149" t="s">
        <v>133</v>
      </c>
    </row>
    <row r="3150" spans="1:10" x14ac:dyDescent="0.35">
      <c r="A3150" t="s">
        <v>3339</v>
      </c>
      <c r="B3150" s="1">
        <v>46234</v>
      </c>
      <c r="C3150" t="s">
        <v>229</v>
      </c>
      <c r="D3150" t="s">
        <v>54</v>
      </c>
      <c r="E3150" t="s">
        <v>64</v>
      </c>
      <c r="F3150" t="s">
        <v>54</v>
      </c>
      <c r="G3150">
        <v>252.71</v>
      </c>
      <c r="H3150" t="s">
        <v>15</v>
      </c>
      <c r="I3150" t="s">
        <v>16</v>
      </c>
      <c r="J3150" t="s">
        <v>56</v>
      </c>
    </row>
    <row r="3151" spans="1:10" x14ac:dyDescent="0.35">
      <c r="A3151" t="s">
        <v>3340</v>
      </c>
      <c r="B3151" s="1">
        <v>46234</v>
      </c>
      <c r="C3151" t="s">
        <v>204</v>
      </c>
      <c r="D3151" t="s">
        <v>12</v>
      </c>
      <c r="E3151" t="s">
        <v>51</v>
      </c>
      <c r="F3151" t="s">
        <v>14</v>
      </c>
      <c r="G3151">
        <v>88.82</v>
      </c>
      <c r="H3151" t="s">
        <v>15</v>
      </c>
      <c r="I3151" t="s">
        <v>22</v>
      </c>
      <c r="J3151" t="s">
        <v>23</v>
      </c>
    </row>
    <row r="3152" spans="1:10" x14ac:dyDescent="0.35">
      <c r="A3152" t="s">
        <v>3341</v>
      </c>
      <c r="B3152" s="1">
        <v>46234</v>
      </c>
      <c r="C3152" t="s">
        <v>121</v>
      </c>
      <c r="D3152" t="s">
        <v>34</v>
      </c>
      <c r="E3152" t="s">
        <v>122</v>
      </c>
      <c r="F3152" t="s">
        <v>14</v>
      </c>
      <c r="G3152">
        <v>184.54</v>
      </c>
      <c r="H3152" t="s">
        <v>15</v>
      </c>
      <c r="I3152" t="s">
        <v>22</v>
      </c>
      <c r="J3152" t="s">
        <v>123</v>
      </c>
    </row>
    <row r="3153" spans="1:10" x14ac:dyDescent="0.35">
      <c r="A3153" t="s">
        <v>3342</v>
      </c>
      <c r="B3153" s="1">
        <v>46234</v>
      </c>
      <c r="C3153" t="s">
        <v>198</v>
      </c>
      <c r="D3153" t="s">
        <v>59</v>
      </c>
      <c r="E3153" t="s">
        <v>199</v>
      </c>
      <c r="F3153" t="s">
        <v>14</v>
      </c>
      <c r="G3153">
        <v>80.28</v>
      </c>
      <c r="H3153" t="s">
        <v>15</v>
      </c>
      <c r="I3153" t="s">
        <v>84</v>
      </c>
      <c r="J3153" t="s">
        <v>61</v>
      </c>
    </row>
    <row r="3154" spans="1:10" x14ac:dyDescent="0.35">
      <c r="A3154" t="s">
        <v>3343</v>
      </c>
      <c r="B3154" s="1">
        <v>46235</v>
      </c>
      <c r="C3154" t="s">
        <v>155</v>
      </c>
      <c r="D3154" t="s">
        <v>12</v>
      </c>
      <c r="E3154" t="s">
        <v>51</v>
      </c>
      <c r="F3154" t="s">
        <v>14</v>
      </c>
      <c r="G3154">
        <v>39.630000000000003</v>
      </c>
      <c r="H3154" t="s">
        <v>98</v>
      </c>
      <c r="I3154" t="s">
        <v>36</v>
      </c>
      <c r="J3154" t="s">
        <v>48</v>
      </c>
    </row>
    <row r="3155" spans="1:10" x14ac:dyDescent="0.35">
      <c r="A3155" t="s">
        <v>3344</v>
      </c>
      <c r="B3155" s="1">
        <v>46235</v>
      </c>
      <c r="C3155" t="s">
        <v>150</v>
      </c>
      <c r="D3155" t="s">
        <v>29</v>
      </c>
      <c r="E3155" t="s">
        <v>30</v>
      </c>
      <c r="F3155" t="s">
        <v>14</v>
      </c>
      <c r="G3155">
        <v>52.9</v>
      </c>
      <c r="H3155" t="s">
        <v>15</v>
      </c>
      <c r="I3155" t="s">
        <v>22</v>
      </c>
      <c r="J3155" t="s">
        <v>151</v>
      </c>
    </row>
    <row r="3156" spans="1:10" x14ac:dyDescent="0.35">
      <c r="A3156" t="s">
        <v>3345</v>
      </c>
      <c r="B3156" s="1">
        <v>46235</v>
      </c>
      <c r="C3156" t="s">
        <v>33</v>
      </c>
      <c r="D3156" t="s">
        <v>34</v>
      </c>
      <c r="E3156" t="s">
        <v>35</v>
      </c>
      <c r="F3156" t="s">
        <v>14</v>
      </c>
      <c r="G3156">
        <v>47.02</v>
      </c>
      <c r="H3156" t="s">
        <v>21</v>
      </c>
      <c r="I3156" t="s">
        <v>36</v>
      </c>
      <c r="J3156" t="s">
        <v>37</v>
      </c>
    </row>
    <row r="3157" spans="1:10" x14ac:dyDescent="0.35">
      <c r="A3157" t="s">
        <v>3346</v>
      </c>
      <c r="B3157" s="1">
        <v>46235</v>
      </c>
      <c r="C3157" t="s">
        <v>189</v>
      </c>
      <c r="D3157" t="s">
        <v>34</v>
      </c>
      <c r="E3157" t="s">
        <v>122</v>
      </c>
      <c r="F3157" t="s">
        <v>14</v>
      </c>
      <c r="G3157">
        <v>249.5</v>
      </c>
      <c r="H3157" t="s">
        <v>15</v>
      </c>
      <c r="I3157" t="s">
        <v>47</v>
      </c>
      <c r="J3157" t="s">
        <v>37</v>
      </c>
    </row>
    <row r="3158" spans="1:10" x14ac:dyDescent="0.35">
      <c r="A3158" t="s">
        <v>3347</v>
      </c>
      <c r="B3158" s="1">
        <v>46236</v>
      </c>
      <c r="C3158" t="s">
        <v>206</v>
      </c>
      <c r="D3158" t="s">
        <v>29</v>
      </c>
      <c r="E3158" t="s">
        <v>95</v>
      </c>
      <c r="F3158" t="s">
        <v>14</v>
      </c>
      <c r="G3158">
        <v>15.87</v>
      </c>
      <c r="H3158" t="s">
        <v>15</v>
      </c>
      <c r="I3158" t="s">
        <v>36</v>
      </c>
      <c r="J3158" t="s">
        <v>31</v>
      </c>
    </row>
    <row r="3159" spans="1:10" x14ac:dyDescent="0.35">
      <c r="A3159" t="s">
        <v>3348</v>
      </c>
      <c r="B3159" s="1">
        <v>46236</v>
      </c>
      <c r="C3159" t="s">
        <v>267</v>
      </c>
      <c r="D3159" t="s">
        <v>29</v>
      </c>
      <c r="E3159" t="s">
        <v>30</v>
      </c>
      <c r="F3159" t="s">
        <v>14</v>
      </c>
      <c r="G3159">
        <v>29.04</v>
      </c>
      <c r="H3159" t="s">
        <v>15</v>
      </c>
      <c r="I3159" t="s">
        <v>22</v>
      </c>
      <c r="J3159" t="s">
        <v>96</v>
      </c>
    </row>
    <row r="3160" spans="1:10" x14ac:dyDescent="0.35">
      <c r="A3160" t="s">
        <v>3349</v>
      </c>
      <c r="B3160" s="1">
        <v>46236</v>
      </c>
      <c r="C3160" t="s">
        <v>163</v>
      </c>
      <c r="D3160" t="s">
        <v>80</v>
      </c>
      <c r="E3160" t="s">
        <v>92</v>
      </c>
      <c r="F3160" t="s">
        <v>14</v>
      </c>
      <c r="G3160">
        <v>61.55</v>
      </c>
      <c r="H3160" t="s">
        <v>21</v>
      </c>
      <c r="I3160" t="s">
        <v>36</v>
      </c>
      <c r="J3160" t="s">
        <v>118</v>
      </c>
    </row>
    <row r="3161" spans="1:10" x14ac:dyDescent="0.35">
      <c r="A3161" t="s">
        <v>3350</v>
      </c>
      <c r="B3161" s="1">
        <v>46236</v>
      </c>
      <c r="C3161" t="s">
        <v>168</v>
      </c>
      <c r="D3161" t="s">
        <v>59</v>
      </c>
      <c r="E3161" t="s">
        <v>60</v>
      </c>
      <c r="F3161" t="s">
        <v>14</v>
      </c>
      <c r="G3161">
        <v>599.24</v>
      </c>
      <c r="H3161" t="s">
        <v>98</v>
      </c>
      <c r="I3161" t="s">
        <v>36</v>
      </c>
      <c r="J3161" t="s">
        <v>170</v>
      </c>
    </row>
    <row r="3162" spans="1:10" x14ac:dyDescent="0.35">
      <c r="A3162" t="s">
        <v>3351</v>
      </c>
      <c r="B3162" s="1">
        <v>46236</v>
      </c>
      <c r="C3162" t="s">
        <v>298</v>
      </c>
      <c r="D3162" t="s">
        <v>59</v>
      </c>
      <c r="E3162" t="s">
        <v>185</v>
      </c>
      <c r="F3162" t="s">
        <v>14</v>
      </c>
      <c r="G3162">
        <v>805.5</v>
      </c>
      <c r="H3162" t="s">
        <v>15</v>
      </c>
      <c r="I3162" t="s">
        <v>16</v>
      </c>
      <c r="J3162" t="s">
        <v>170</v>
      </c>
    </row>
    <row r="3163" spans="1:10" x14ac:dyDescent="0.35">
      <c r="A3163" t="s">
        <v>3352</v>
      </c>
      <c r="B3163" s="1">
        <v>46236</v>
      </c>
      <c r="C3163" t="s">
        <v>256</v>
      </c>
      <c r="D3163" t="s">
        <v>34</v>
      </c>
      <c r="E3163" t="s">
        <v>40</v>
      </c>
      <c r="F3163" t="s">
        <v>14</v>
      </c>
      <c r="G3163">
        <v>150.63</v>
      </c>
      <c r="H3163" t="s">
        <v>15</v>
      </c>
      <c r="I3163" t="s">
        <v>16</v>
      </c>
      <c r="J3163" t="s">
        <v>239</v>
      </c>
    </row>
    <row r="3164" spans="1:10" x14ac:dyDescent="0.35">
      <c r="A3164" t="s">
        <v>3353</v>
      </c>
      <c r="B3164" s="1">
        <v>46237</v>
      </c>
      <c r="C3164" t="s">
        <v>33</v>
      </c>
      <c r="D3164" t="s">
        <v>34</v>
      </c>
      <c r="E3164" t="s">
        <v>35</v>
      </c>
      <c r="F3164" t="s">
        <v>14</v>
      </c>
      <c r="G3164">
        <v>101.96</v>
      </c>
      <c r="H3164" t="s">
        <v>98</v>
      </c>
      <c r="I3164" t="s">
        <v>22</v>
      </c>
      <c r="J3164" t="s">
        <v>37</v>
      </c>
    </row>
    <row r="3165" spans="1:10" x14ac:dyDescent="0.35">
      <c r="A3165" t="s">
        <v>3354</v>
      </c>
      <c r="B3165" s="1">
        <v>46237</v>
      </c>
      <c r="C3165" t="s">
        <v>227</v>
      </c>
      <c r="D3165" t="s">
        <v>12</v>
      </c>
      <c r="E3165" t="s">
        <v>51</v>
      </c>
      <c r="F3165" t="s">
        <v>14</v>
      </c>
      <c r="G3165">
        <v>37.020000000000003</v>
      </c>
      <c r="H3165" t="s">
        <v>15</v>
      </c>
      <c r="I3165" t="s">
        <v>22</v>
      </c>
      <c r="J3165" t="s">
        <v>17</v>
      </c>
    </row>
    <row r="3166" spans="1:10" x14ac:dyDescent="0.35">
      <c r="A3166" t="s">
        <v>3355</v>
      </c>
      <c r="B3166" s="1">
        <v>46237</v>
      </c>
      <c r="C3166" t="s">
        <v>445</v>
      </c>
      <c r="D3166" t="s">
        <v>101</v>
      </c>
      <c r="E3166" t="s">
        <v>244</v>
      </c>
      <c r="F3166" t="s">
        <v>14</v>
      </c>
      <c r="G3166">
        <v>59.24</v>
      </c>
      <c r="H3166" t="s">
        <v>15</v>
      </c>
      <c r="I3166" t="s">
        <v>22</v>
      </c>
      <c r="J3166" t="s">
        <v>103</v>
      </c>
    </row>
    <row r="3167" spans="1:10" x14ac:dyDescent="0.35">
      <c r="A3167" t="s">
        <v>3356</v>
      </c>
      <c r="B3167" s="1">
        <v>46237</v>
      </c>
      <c r="C3167" t="s">
        <v>76</v>
      </c>
      <c r="D3167" t="s">
        <v>12</v>
      </c>
      <c r="E3167" t="s">
        <v>13</v>
      </c>
      <c r="F3167" t="s">
        <v>14</v>
      </c>
      <c r="G3167">
        <v>72.709999999999994</v>
      </c>
      <c r="H3167" t="s">
        <v>21</v>
      </c>
      <c r="I3167" t="s">
        <v>22</v>
      </c>
      <c r="J3167" t="s">
        <v>77</v>
      </c>
    </row>
    <row r="3168" spans="1:10" x14ac:dyDescent="0.35">
      <c r="A3168" t="s">
        <v>3357</v>
      </c>
      <c r="B3168" s="1">
        <v>46237</v>
      </c>
      <c r="C3168" t="s">
        <v>229</v>
      </c>
      <c r="D3168" t="s">
        <v>54</v>
      </c>
      <c r="E3168" t="s">
        <v>64</v>
      </c>
      <c r="F3168" t="s">
        <v>54</v>
      </c>
      <c r="G3168">
        <v>308.05</v>
      </c>
      <c r="H3168" t="s">
        <v>15</v>
      </c>
      <c r="I3168" t="s">
        <v>36</v>
      </c>
      <c r="J3168" t="s">
        <v>56</v>
      </c>
    </row>
    <row r="3169" spans="1:10" x14ac:dyDescent="0.35">
      <c r="A3169" t="s">
        <v>3358</v>
      </c>
      <c r="B3169" s="1">
        <v>46237</v>
      </c>
      <c r="C3169" t="s">
        <v>734</v>
      </c>
      <c r="D3169" t="s">
        <v>69</v>
      </c>
      <c r="E3169" t="s">
        <v>291</v>
      </c>
      <c r="F3169" t="s">
        <v>14</v>
      </c>
      <c r="G3169">
        <v>367.88</v>
      </c>
      <c r="H3169" t="s">
        <v>98</v>
      </c>
      <c r="I3169" t="s">
        <v>16</v>
      </c>
      <c r="J3169" t="s">
        <v>71</v>
      </c>
    </row>
    <row r="3170" spans="1:10" x14ac:dyDescent="0.35">
      <c r="A3170" t="s">
        <v>3359</v>
      </c>
      <c r="B3170" s="1">
        <v>46237</v>
      </c>
      <c r="C3170" t="s">
        <v>189</v>
      </c>
      <c r="D3170" t="s">
        <v>34</v>
      </c>
      <c r="E3170" t="s">
        <v>122</v>
      </c>
      <c r="F3170" t="s">
        <v>14</v>
      </c>
      <c r="G3170">
        <v>458.84</v>
      </c>
      <c r="H3170" t="s">
        <v>21</v>
      </c>
      <c r="I3170" t="s">
        <v>22</v>
      </c>
      <c r="J3170" t="s">
        <v>37</v>
      </c>
    </row>
    <row r="3171" spans="1:10" x14ac:dyDescent="0.35">
      <c r="A3171" t="s">
        <v>3360</v>
      </c>
      <c r="B3171" s="1">
        <v>46237</v>
      </c>
      <c r="C3171" t="s">
        <v>189</v>
      </c>
      <c r="D3171" t="s">
        <v>34</v>
      </c>
      <c r="E3171" t="s">
        <v>122</v>
      </c>
      <c r="F3171" t="s">
        <v>14</v>
      </c>
      <c r="G3171">
        <v>182.17</v>
      </c>
      <c r="H3171" t="s">
        <v>15</v>
      </c>
      <c r="I3171" t="s">
        <v>36</v>
      </c>
      <c r="J3171" t="s">
        <v>37</v>
      </c>
    </row>
    <row r="3172" spans="1:10" x14ac:dyDescent="0.35">
      <c r="A3172" t="s">
        <v>3361</v>
      </c>
      <c r="B3172" s="1">
        <v>46237</v>
      </c>
      <c r="C3172" t="s">
        <v>232</v>
      </c>
      <c r="D3172" t="s">
        <v>69</v>
      </c>
      <c r="E3172" t="s">
        <v>233</v>
      </c>
      <c r="F3172" t="s">
        <v>14</v>
      </c>
      <c r="G3172">
        <v>107.81</v>
      </c>
      <c r="H3172" t="s">
        <v>21</v>
      </c>
      <c r="I3172" t="s">
        <v>47</v>
      </c>
      <c r="J3172" t="s">
        <v>71</v>
      </c>
    </row>
    <row r="3173" spans="1:10" x14ac:dyDescent="0.35">
      <c r="A3173" t="s">
        <v>3362</v>
      </c>
      <c r="B3173" s="1">
        <v>46238</v>
      </c>
      <c r="C3173" t="s">
        <v>262</v>
      </c>
      <c r="D3173" t="s">
        <v>101</v>
      </c>
      <c r="E3173" t="s">
        <v>244</v>
      </c>
      <c r="F3173" t="s">
        <v>14</v>
      </c>
      <c r="G3173">
        <v>88.28</v>
      </c>
      <c r="H3173" t="s">
        <v>15</v>
      </c>
      <c r="I3173" t="s">
        <v>16</v>
      </c>
      <c r="J3173" t="s">
        <v>136</v>
      </c>
    </row>
    <row r="3174" spans="1:10" x14ac:dyDescent="0.35">
      <c r="A3174" t="s">
        <v>3363</v>
      </c>
      <c r="B3174" s="1">
        <v>46238</v>
      </c>
      <c r="C3174" t="s">
        <v>163</v>
      </c>
      <c r="D3174" t="s">
        <v>80</v>
      </c>
      <c r="E3174" t="s">
        <v>92</v>
      </c>
      <c r="F3174" t="s">
        <v>14</v>
      </c>
      <c r="G3174">
        <v>93.7</v>
      </c>
      <c r="H3174" t="s">
        <v>15</v>
      </c>
      <c r="I3174" t="s">
        <v>36</v>
      </c>
      <c r="J3174" t="s">
        <v>118</v>
      </c>
    </row>
    <row r="3175" spans="1:10" x14ac:dyDescent="0.35">
      <c r="A3175" t="s">
        <v>3364</v>
      </c>
      <c r="B3175" s="1">
        <v>46238</v>
      </c>
      <c r="C3175" t="s">
        <v>875</v>
      </c>
      <c r="D3175" t="s">
        <v>69</v>
      </c>
      <c r="E3175" t="s">
        <v>291</v>
      </c>
      <c r="F3175" t="s">
        <v>14</v>
      </c>
      <c r="G3175">
        <v>454.3</v>
      </c>
      <c r="H3175" t="s">
        <v>15</v>
      </c>
      <c r="I3175" t="s">
        <v>22</v>
      </c>
      <c r="J3175" t="s">
        <v>133</v>
      </c>
    </row>
    <row r="3176" spans="1:10" x14ac:dyDescent="0.35">
      <c r="A3176" t="s">
        <v>3365</v>
      </c>
      <c r="B3176" s="1">
        <v>46238</v>
      </c>
      <c r="C3176" t="s">
        <v>331</v>
      </c>
      <c r="D3176" t="s">
        <v>29</v>
      </c>
      <c r="E3176" t="s">
        <v>95</v>
      </c>
      <c r="F3176" t="s">
        <v>14</v>
      </c>
      <c r="G3176">
        <v>43.51</v>
      </c>
      <c r="H3176" t="s">
        <v>21</v>
      </c>
      <c r="I3176" t="s">
        <v>22</v>
      </c>
      <c r="J3176" t="s">
        <v>151</v>
      </c>
    </row>
    <row r="3177" spans="1:10" x14ac:dyDescent="0.35">
      <c r="A3177" t="s">
        <v>3366</v>
      </c>
      <c r="B3177" s="1">
        <v>46238</v>
      </c>
      <c r="C3177" t="s">
        <v>308</v>
      </c>
      <c r="D3177" t="s">
        <v>54</v>
      </c>
      <c r="E3177" t="s">
        <v>64</v>
      </c>
      <c r="F3177" t="s">
        <v>54</v>
      </c>
      <c r="G3177">
        <v>349.86</v>
      </c>
      <c r="H3177" t="s">
        <v>15</v>
      </c>
      <c r="I3177" t="s">
        <v>22</v>
      </c>
      <c r="J3177" t="s">
        <v>89</v>
      </c>
    </row>
    <row r="3178" spans="1:10" x14ac:dyDescent="0.35">
      <c r="A3178" t="s">
        <v>3367</v>
      </c>
      <c r="B3178" s="1">
        <v>46238</v>
      </c>
      <c r="C3178" t="s">
        <v>243</v>
      </c>
      <c r="D3178" t="s">
        <v>101</v>
      </c>
      <c r="E3178" t="s">
        <v>244</v>
      </c>
      <c r="F3178" t="s">
        <v>14</v>
      </c>
      <c r="G3178">
        <v>250</v>
      </c>
      <c r="H3178" t="s">
        <v>98</v>
      </c>
      <c r="I3178" t="s">
        <v>84</v>
      </c>
      <c r="J3178" t="s">
        <v>102</v>
      </c>
    </row>
    <row r="3179" spans="1:10" x14ac:dyDescent="0.35">
      <c r="A3179" t="s">
        <v>3368</v>
      </c>
      <c r="B3179" s="1">
        <v>46238</v>
      </c>
      <c r="C3179" t="s">
        <v>140</v>
      </c>
      <c r="D3179" t="s">
        <v>80</v>
      </c>
      <c r="E3179" t="s">
        <v>81</v>
      </c>
      <c r="F3179" t="s">
        <v>14</v>
      </c>
      <c r="G3179">
        <v>74.92</v>
      </c>
      <c r="H3179" t="s">
        <v>21</v>
      </c>
      <c r="I3179" t="s">
        <v>22</v>
      </c>
      <c r="J3179" t="s">
        <v>141</v>
      </c>
    </row>
    <row r="3180" spans="1:10" x14ac:dyDescent="0.35">
      <c r="A3180" t="s">
        <v>3369</v>
      </c>
      <c r="B3180" s="1">
        <v>46238</v>
      </c>
      <c r="C3180" t="s">
        <v>395</v>
      </c>
      <c r="D3180" t="s">
        <v>69</v>
      </c>
      <c r="E3180" t="s">
        <v>291</v>
      </c>
      <c r="F3180" t="s">
        <v>14</v>
      </c>
      <c r="G3180">
        <v>283.60000000000002</v>
      </c>
      <c r="H3180" t="s">
        <v>15</v>
      </c>
      <c r="I3180" t="s">
        <v>47</v>
      </c>
      <c r="J3180" t="s">
        <v>396</v>
      </c>
    </row>
    <row r="3181" spans="1:10" x14ac:dyDescent="0.35">
      <c r="A3181" t="s">
        <v>3370</v>
      </c>
      <c r="B3181" s="1">
        <v>46238</v>
      </c>
      <c r="C3181" t="s">
        <v>227</v>
      </c>
      <c r="D3181" t="s">
        <v>12</v>
      </c>
      <c r="E3181" t="s">
        <v>51</v>
      </c>
      <c r="F3181" t="s">
        <v>14</v>
      </c>
      <c r="G3181">
        <v>43.89</v>
      </c>
      <c r="H3181" t="s">
        <v>21</v>
      </c>
      <c r="I3181" t="s">
        <v>36</v>
      </c>
      <c r="J3181" t="s">
        <v>17</v>
      </c>
    </row>
    <row r="3182" spans="1:10" x14ac:dyDescent="0.35">
      <c r="A3182" t="s">
        <v>3371</v>
      </c>
      <c r="B3182" s="1">
        <v>46238</v>
      </c>
      <c r="C3182" t="s">
        <v>198</v>
      </c>
      <c r="D3182" t="s">
        <v>59</v>
      </c>
      <c r="E3182" t="s">
        <v>199</v>
      </c>
      <c r="F3182" t="s">
        <v>14</v>
      </c>
      <c r="G3182">
        <v>163.1</v>
      </c>
      <c r="H3182" t="s">
        <v>98</v>
      </c>
      <c r="I3182" t="s">
        <v>22</v>
      </c>
      <c r="J3182" t="s">
        <v>61</v>
      </c>
    </row>
    <row r="3183" spans="1:10" x14ac:dyDescent="0.35">
      <c r="A3183" t="s">
        <v>3372</v>
      </c>
      <c r="B3183" s="1">
        <v>46239</v>
      </c>
      <c r="C3183" t="s">
        <v>25</v>
      </c>
      <c r="D3183" t="s">
        <v>12</v>
      </c>
      <c r="E3183" t="s">
        <v>26</v>
      </c>
      <c r="F3183" t="s">
        <v>14</v>
      </c>
      <c r="G3183">
        <v>78.430000000000007</v>
      </c>
      <c r="H3183" t="s">
        <v>21</v>
      </c>
      <c r="I3183" t="s">
        <v>16</v>
      </c>
      <c r="J3183" t="s">
        <v>17</v>
      </c>
    </row>
    <row r="3184" spans="1:10" x14ac:dyDescent="0.35">
      <c r="A3184" t="s">
        <v>3373</v>
      </c>
      <c r="B3184" s="1">
        <v>46239</v>
      </c>
      <c r="C3184" t="s">
        <v>875</v>
      </c>
      <c r="D3184" t="s">
        <v>69</v>
      </c>
      <c r="E3184" t="s">
        <v>291</v>
      </c>
      <c r="F3184" t="s">
        <v>14</v>
      </c>
      <c r="G3184">
        <v>374.51</v>
      </c>
      <c r="H3184" t="s">
        <v>15</v>
      </c>
      <c r="I3184" t="s">
        <v>22</v>
      </c>
      <c r="J3184" t="s">
        <v>133</v>
      </c>
    </row>
    <row r="3185" spans="1:10" x14ac:dyDescent="0.35">
      <c r="A3185" t="s">
        <v>3374</v>
      </c>
      <c r="B3185" s="1">
        <v>46239</v>
      </c>
      <c r="C3185" t="s">
        <v>79</v>
      </c>
      <c r="D3185" t="s">
        <v>80</v>
      </c>
      <c r="E3185" t="s">
        <v>81</v>
      </c>
      <c r="F3185" t="s">
        <v>14</v>
      </c>
      <c r="G3185">
        <v>44.57</v>
      </c>
      <c r="H3185" t="s">
        <v>15</v>
      </c>
      <c r="I3185" t="s">
        <v>36</v>
      </c>
      <c r="J3185" t="s">
        <v>82</v>
      </c>
    </row>
    <row r="3186" spans="1:10" x14ac:dyDescent="0.35">
      <c r="A3186" t="s">
        <v>3375</v>
      </c>
      <c r="B3186" s="1">
        <v>46239</v>
      </c>
      <c r="C3186" t="s">
        <v>464</v>
      </c>
      <c r="D3186" t="s">
        <v>34</v>
      </c>
      <c r="E3186" t="s">
        <v>122</v>
      </c>
      <c r="F3186" t="s">
        <v>14</v>
      </c>
      <c r="G3186">
        <v>147.44999999999999</v>
      </c>
      <c r="H3186" t="s">
        <v>21</v>
      </c>
      <c r="I3186" t="s">
        <v>16</v>
      </c>
      <c r="J3186" t="s">
        <v>239</v>
      </c>
    </row>
    <row r="3187" spans="1:10" x14ac:dyDescent="0.35">
      <c r="A3187" t="s">
        <v>3376</v>
      </c>
      <c r="B3187" s="1">
        <v>46239</v>
      </c>
      <c r="C3187" t="s">
        <v>91</v>
      </c>
      <c r="D3187" t="s">
        <v>80</v>
      </c>
      <c r="E3187" t="s">
        <v>92</v>
      </c>
      <c r="F3187" t="s">
        <v>14</v>
      </c>
      <c r="G3187">
        <v>83.75</v>
      </c>
      <c r="H3187" t="s">
        <v>15</v>
      </c>
      <c r="I3187" t="s">
        <v>36</v>
      </c>
      <c r="J3187" t="s">
        <v>82</v>
      </c>
    </row>
    <row r="3188" spans="1:10" x14ac:dyDescent="0.35">
      <c r="A3188" t="s">
        <v>3377</v>
      </c>
      <c r="B3188" s="1">
        <v>46240</v>
      </c>
      <c r="C3188" t="s">
        <v>58</v>
      </c>
      <c r="D3188" t="s">
        <v>59</v>
      </c>
      <c r="E3188" t="s">
        <v>60</v>
      </c>
      <c r="F3188" t="s">
        <v>14</v>
      </c>
      <c r="G3188">
        <v>376.72</v>
      </c>
      <c r="H3188" t="s">
        <v>15</v>
      </c>
      <c r="I3188" t="s">
        <v>22</v>
      </c>
      <c r="J3188" t="s">
        <v>61</v>
      </c>
    </row>
    <row r="3189" spans="1:10" x14ac:dyDescent="0.35">
      <c r="A3189" t="s">
        <v>3378</v>
      </c>
      <c r="B3189" s="1">
        <v>46240</v>
      </c>
      <c r="C3189" t="s">
        <v>155</v>
      </c>
      <c r="D3189" t="s">
        <v>12</v>
      </c>
      <c r="E3189" t="s">
        <v>51</v>
      </c>
      <c r="F3189" t="s">
        <v>14</v>
      </c>
      <c r="G3189">
        <v>30.3</v>
      </c>
      <c r="H3189" t="s">
        <v>21</v>
      </c>
      <c r="I3189" t="s">
        <v>47</v>
      </c>
      <c r="J3189" t="s">
        <v>48</v>
      </c>
    </row>
    <row r="3190" spans="1:10" x14ac:dyDescent="0.35">
      <c r="A3190" t="s">
        <v>3379</v>
      </c>
      <c r="B3190" s="1">
        <v>46240</v>
      </c>
      <c r="C3190" t="s">
        <v>143</v>
      </c>
      <c r="D3190" t="s">
        <v>54</v>
      </c>
      <c r="E3190" t="s">
        <v>55</v>
      </c>
      <c r="F3190" t="s">
        <v>54</v>
      </c>
      <c r="G3190">
        <v>704.48</v>
      </c>
      <c r="H3190" t="s">
        <v>15</v>
      </c>
      <c r="I3190" t="s">
        <v>22</v>
      </c>
      <c r="J3190" t="s">
        <v>89</v>
      </c>
    </row>
    <row r="3191" spans="1:10" x14ac:dyDescent="0.35">
      <c r="A3191" t="s">
        <v>3380</v>
      </c>
      <c r="B3191" s="1">
        <v>46240</v>
      </c>
      <c r="C3191" t="s">
        <v>267</v>
      </c>
      <c r="D3191" t="s">
        <v>29</v>
      </c>
      <c r="E3191" t="s">
        <v>30</v>
      </c>
      <c r="F3191" t="s">
        <v>14</v>
      </c>
      <c r="G3191">
        <v>18.149999999999999</v>
      </c>
      <c r="H3191" t="s">
        <v>21</v>
      </c>
      <c r="I3191" t="s">
        <v>22</v>
      </c>
      <c r="J3191" t="s">
        <v>96</v>
      </c>
    </row>
    <row r="3192" spans="1:10" x14ac:dyDescent="0.35">
      <c r="A3192" t="s">
        <v>3381</v>
      </c>
      <c r="B3192" s="1">
        <v>46240</v>
      </c>
      <c r="C3192" t="s">
        <v>135</v>
      </c>
      <c r="D3192" t="s">
        <v>101</v>
      </c>
      <c r="E3192" t="s">
        <v>102</v>
      </c>
      <c r="F3192" t="s">
        <v>14</v>
      </c>
      <c r="G3192">
        <v>38.64</v>
      </c>
      <c r="H3192" t="s">
        <v>98</v>
      </c>
      <c r="I3192" t="s">
        <v>22</v>
      </c>
      <c r="J3192" t="s">
        <v>136</v>
      </c>
    </row>
    <row r="3193" spans="1:10" x14ac:dyDescent="0.35">
      <c r="A3193" t="s">
        <v>3382</v>
      </c>
      <c r="B3193" s="1">
        <v>46240</v>
      </c>
      <c r="C3193" t="s">
        <v>76</v>
      </c>
      <c r="D3193" t="s">
        <v>12</v>
      </c>
      <c r="E3193" t="s">
        <v>13</v>
      </c>
      <c r="F3193" t="s">
        <v>14</v>
      </c>
      <c r="G3193">
        <v>12.87</v>
      </c>
      <c r="H3193" t="s">
        <v>21</v>
      </c>
      <c r="I3193" t="s">
        <v>22</v>
      </c>
      <c r="J3193" t="s">
        <v>77</v>
      </c>
    </row>
    <row r="3194" spans="1:10" x14ac:dyDescent="0.35">
      <c r="A3194" t="s">
        <v>3383</v>
      </c>
      <c r="B3194" s="1">
        <v>46240</v>
      </c>
      <c r="C3194" t="s">
        <v>179</v>
      </c>
      <c r="D3194" t="s">
        <v>80</v>
      </c>
      <c r="E3194" t="s">
        <v>117</v>
      </c>
      <c r="F3194" t="s">
        <v>14</v>
      </c>
      <c r="G3194">
        <v>119.34</v>
      </c>
      <c r="H3194" t="s">
        <v>21</v>
      </c>
      <c r="I3194" t="s">
        <v>84</v>
      </c>
      <c r="J3194" t="s">
        <v>180</v>
      </c>
    </row>
    <row r="3195" spans="1:10" x14ac:dyDescent="0.35">
      <c r="A3195" t="s">
        <v>3384</v>
      </c>
      <c r="B3195" s="1">
        <v>46240</v>
      </c>
      <c r="C3195" t="s">
        <v>415</v>
      </c>
      <c r="D3195" t="s">
        <v>12</v>
      </c>
      <c r="E3195" t="s">
        <v>51</v>
      </c>
      <c r="F3195" t="s">
        <v>14</v>
      </c>
      <c r="G3195">
        <v>53.56</v>
      </c>
      <c r="H3195" t="s">
        <v>15</v>
      </c>
      <c r="I3195" t="s">
        <v>47</v>
      </c>
      <c r="J3195" t="s">
        <v>77</v>
      </c>
    </row>
    <row r="3196" spans="1:10" x14ac:dyDescent="0.35">
      <c r="A3196" t="s">
        <v>3385</v>
      </c>
      <c r="B3196" s="1">
        <v>46240</v>
      </c>
      <c r="C3196" t="s">
        <v>198</v>
      </c>
      <c r="D3196" t="s">
        <v>59</v>
      </c>
      <c r="E3196" t="s">
        <v>199</v>
      </c>
      <c r="F3196" t="s">
        <v>14</v>
      </c>
      <c r="G3196">
        <v>94.36</v>
      </c>
      <c r="H3196" t="s">
        <v>21</v>
      </c>
      <c r="I3196" t="s">
        <v>22</v>
      </c>
      <c r="J3196" t="s">
        <v>61</v>
      </c>
    </row>
    <row r="3197" spans="1:10" x14ac:dyDescent="0.35">
      <c r="A3197" t="s">
        <v>3386</v>
      </c>
      <c r="B3197" s="1">
        <v>46241</v>
      </c>
      <c r="C3197" t="s">
        <v>324</v>
      </c>
      <c r="D3197" t="s">
        <v>80</v>
      </c>
      <c r="E3197" t="s">
        <v>92</v>
      </c>
      <c r="F3197" t="s">
        <v>14</v>
      </c>
      <c r="G3197">
        <v>61.15</v>
      </c>
      <c r="H3197" t="s">
        <v>15</v>
      </c>
      <c r="I3197" t="s">
        <v>22</v>
      </c>
      <c r="J3197" t="s">
        <v>161</v>
      </c>
    </row>
    <row r="3198" spans="1:10" x14ac:dyDescent="0.35">
      <c r="A3198" t="s">
        <v>3387</v>
      </c>
      <c r="B3198" s="1">
        <v>46241</v>
      </c>
      <c r="C3198" t="s">
        <v>281</v>
      </c>
      <c r="D3198" t="s">
        <v>34</v>
      </c>
      <c r="E3198" t="s">
        <v>40</v>
      </c>
      <c r="F3198" t="s">
        <v>14</v>
      </c>
      <c r="G3198">
        <v>195.57</v>
      </c>
      <c r="H3198" t="s">
        <v>98</v>
      </c>
      <c r="I3198" t="s">
        <v>16</v>
      </c>
      <c r="J3198" t="s">
        <v>123</v>
      </c>
    </row>
    <row r="3199" spans="1:10" x14ac:dyDescent="0.35">
      <c r="A3199" t="s">
        <v>3388</v>
      </c>
      <c r="B3199" s="1">
        <v>46241</v>
      </c>
      <c r="C3199" t="s">
        <v>206</v>
      </c>
      <c r="D3199" t="s">
        <v>29</v>
      </c>
      <c r="E3199" t="s">
        <v>95</v>
      </c>
      <c r="F3199" t="s">
        <v>14</v>
      </c>
      <c r="G3199">
        <v>25.4</v>
      </c>
      <c r="H3199" t="s">
        <v>15</v>
      </c>
      <c r="I3199" t="s">
        <v>22</v>
      </c>
      <c r="J3199" t="s">
        <v>31</v>
      </c>
    </row>
    <row r="3200" spans="1:10" x14ac:dyDescent="0.35">
      <c r="A3200" t="s">
        <v>3389</v>
      </c>
      <c r="B3200" s="1">
        <v>46241</v>
      </c>
      <c r="C3200" t="s">
        <v>269</v>
      </c>
      <c r="D3200" t="s">
        <v>34</v>
      </c>
      <c r="E3200" t="s">
        <v>35</v>
      </c>
      <c r="F3200" t="s">
        <v>14</v>
      </c>
      <c r="G3200">
        <v>43.77</v>
      </c>
      <c r="H3200" t="s">
        <v>15</v>
      </c>
      <c r="I3200" t="s">
        <v>22</v>
      </c>
      <c r="J3200" t="s">
        <v>123</v>
      </c>
    </row>
    <row r="3201" spans="1:10" x14ac:dyDescent="0.35">
      <c r="A3201" t="s">
        <v>3390</v>
      </c>
      <c r="B3201" s="1">
        <v>46241</v>
      </c>
      <c r="C3201" t="s">
        <v>33</v>
      </c>
      <c r="D3201" t="s">
        <v>34</v>
      </c>
      <c r="E3201" t="s">
        <v>35</v>
      </c>
      <c r="F3201" t="s">
        <v>14</v>
      </c>
      <c r="G3201">
        <v>204.79</v>
      </c>
      <c r="H3201" t="s">
        <v>15</v>
      </c>
      <c r="I3201" t="s">
        <v>22</v>
      </c>
      <c r="J3201" t="s">
        <v>37</v>
      </c>
    </row>
    <row r="3202" spans="1:10" x14ac:dyDescent="0.35">
      <c r="A3202" t="s">
        <v>3391</v>
      </c>
      <c r="B3202" s="1">
        <v>46242</v>
      </c>
      <c r="C3202" t="s">
        <v>824</v>
      </c>
      <c r="D3202" t="s">
        <v>69</v>
      </c>
      <c r="E3202" t="s">
        <v>233</v>
      </c>
      <c r="F3202" t="s">
        <v>14</v>
      </c>
      <c r="G3202">
        <v>449.59</v>
      </c>
      <c r="H3202" t="s">
        <v>15</v>
      </c>
      <c r="I3202" t="s">
        <v>84</v>
      </c>
      <c r="J3202" t="s">
        <v>133</v>
      </c>
    </row>
    <row r="3203" spans="1:10" x14ac:dyDescent="0.35">
      <c r="A3203" t="s">
        <v>3392</v>
      </c>
      <c r="B3203" s="1">
        <v>46242</v>
      </c>
      <c r="C3203" t="s">
        <v>204</v>
      </c>
      <c r="D3203" t="s">
        <v>12</v>
      </c>
      <c r="E3203" t="s">
        <v>51</v>
      </c>
      <c r="F3203" t="s">
        <v>14</v>
      </c>
      <c r="G3203">
        <v>40.81</v>
      </c>
      <c r="H3203" t="s">
        <v>98</v>
      </c>
      <c r="I3203" t="s">
        <v>36</v>
      </c>
      <c r="J3203" t="s">
        <v>23</v>
      </c>
    </row>
    <row r="3204" spans="1:10" x14ac:dyDescent="0.35">
      <c r="A3204" t="s">
        <v>3393</v>
      </c>
      <c r="B3204" s="1">
        <v>46242</v>
      </c>
      <c r="C3204" t="s">
        <v>113</v>
      </c>
      <c r="D3204" t="s">
        <v>34</v>
      </c>
      <c r="E3204" t="s">
        <v>40</v>
      </c>
      <c r="F3204" t="s">
        <v>14</v>
      </c>
      <c r="G3204">
        <v>201.05</v>
      </c>
      <c r="H3204" t="s">
        <v>98</v>
      </c>
      <c r="I3204" t="s">
        <v>36</v>
      </c>
      <c r="J3204" t="s">
        <v>37</v>
      </c>
    </row>
    <row r="3205" spans="1:10" x14ac:dyDescent="0.35">
      <c r="A3205" t="s">
        <v>3394</v>
      </c>
      <c r="B3205" s="1">
        <v>46242</v>
      </c>
      <c r="C3205" t="s">
        <v>163</v>
      </c>
      <c r="D3205" t="s">
        <v>80</v>
      </c>
      <c r="E3205" t="s">
        <v>92</v>
      </c>
      <c r="F3205" t="s">
        <v>14</v>
      </c>
      <c r="G3205">
        <v>62.15</v>
      </c>
      <c r="H3205" t="s">
        <v>21</v>
      </c>
      <c r="I3205" t="s">
        <v>36</v>
      </c>
      <c r="J3205" t="s">
        <v>118</v>
      </c>
    </row>
    <row r="3206" spans="1:10" x14ac:dyDescent="0.35">
      <c r="A3206" t="s">
        <v>3395</v>
      </c>
      <c r="B3206" s="1">
        <v>46242</v>
      </c>
      <c r="C3206" t="s">
        <v>253</v>
      </c>
      <c r="D3206" t="s">
        <v>29</v>
      </c>
      <c r="E3206" t="s">
        <v>30</v>
      </c>
      <c r="F3206" t="s">
        <v>14</v>
      </c>
      <c r="G3206">
        <v>45.51</v>
      </c>
      <c r="H3206" t="s">
        <v>98</v>
      </c>
      <c r="I3206" t="s">
        <v>22</v>
      </c>
      <c r="J3206" t="s">
        <v>158</v>
      </c>
    </row>
    <row r="3207" spans="1:10" x14ac:dyDescent="0.35">
      <c r="A3207" t="s">
        <v>3396</v>
      </c>
      <c r="B3207" s="1">
        <v>46242</v>
      </c>
      <c r="C3207" t="s">
        <v>238</v>
      </c>
      <c r="D3207" t="s">
        <v>34</v>
      </c>
      <c r="E3207" t="s">
        <v>35</v>
      </c>
      <c r="F3207" t="s">
        <v>14</v>
      </c>
      <c r="G3207">
        <v>500</v>
      </c>
      <c r="H3207" t="s">
        <v>15</v>
      </c>
      <c r="I3207" t="s">
        <v>22</v>
      </c>
      <c r="J3207" t="s">
        <v>239</v>
      </c>
    </row>
    <row r="3208" spans="1:10" x14ac:dyDescent="0.35">
      <c r="A3208" t="s">
        <v>3397</v>
      </c>
      <c r="B3208" s="1">
        <v>46242</v>
      </c>
      <c r="C3208" t="s">
        <v>143</v>
      </c>
      <c r="D3208" t="s">
        <v>54</v>
      </c>
      <c r="E3208" t="s">
        <v>55</v>
      </c>
      <c r="F3208" t="s">
        <v>54</v>
      </c>
      <c r="G3208">
        <v>674.39</v>
      </c>
      <c r="H3208" t="s">
        <v>21</v>
      </c>
      <c r="I3208" t="s">
        <v>22</v>
      </c>
      <c r="J3208" t="s">
        <v>89</v>
      </c>
    </row>
    <row r="3209" spans="1:10" x14ac:dyDescent="0.35">
      <c r="A3209" t="s">
        <v>3398</v>
      </c>
      <c r="B3209" s="1">
        <v>46242</v>
      </c>
      <c r="C3209" t="s">
        <v>160</v>
      </c>
      <c r="D3209" t="s">
        <v>80</v>
      </c>
      <c r="E3209" t="s">
        <v>117</v>
      </c>
      <c r="F3209" t="s">
        <v>14</v>
      </c>
      <c r="G3209">
        <v>93.54</v>
      </c>
      <c r="H3209" t="s">
        <v>21</v>
      </c>
      <c r="I3209" t="s">
        <v>22</v>
      </c>
      <c r="J3209" t="s">
        <v>161</v>
      </c>
    </row>
    <row r="3210" spans="1:10" x14ac:dyDescent="0.35">
      <c r="A3210" t="s">
        <v>3399</v>
      </c>
      <c r="B3210" s="1">
        <v>46242</v>
      </c>
      <c r="C3210" t="s">
        <v>259</v>
      </c>
      <c r="D3210" t="s">
        <v>59</v>
      </c>
      <c r="E3210" t="s">
        <v>199</v>
      </c>
      <c r="F3210" t="s">
        <v>14</v>
      </c>
      <c r="G3210">
        <v>364.28</v>
      </c>
      <c r="H3210" t="s">
        <v>15</v>
      </c>
      <c r="I3210" t="s">
        <v>47</v>
      </c>
      <c r="J3210" t="s">
        <v>170</v>
      </c>
    </row>
    <row r="3211" spans="1:10" x14ac:dyDescent="0.35">
      <c r="A3211" t="s">
        <v>3400</v>
      </c>
      <c r="B3211" s="1">
        <v>46242</v>
      </c>
      <c r="C3211" t="s">
        <v>33</v>
      </c>
      <c r="D3211" t="s">
        <v>34</v>
      </c>
      <c r="E3211" t="s">
        <v>35</v>
      </c>
      <c r="F3211" t="s">
        <v>14</v>
      </c>
      <c r="G3211">
        <v>62.81</v>
      </c>
      <c r="H3211" t="s">
        <v>15</v>
      </c>
      <c r="I3211" t="s">
        <v>22</v>
      </c>
      <c r="J3211" t="s">
        <v>37</v>
      </c>
    </row>
    <row r="3212" spans="1:10" x14ac:dyDescent="0.35">
      <c r="A3212" t="s">
        <v>3401</v>
      </c>
      <c r="B3212" s="1">
        <v>46242</v>
      </c>
      <c r="C3212" t="s">
        <v>113</v>
      </c>
      <c r="D3212" t="s">
        <v>34</v>
      </c>
      <c r="E3212" t="s">
        <v>40</v>
      </c>
      <c r="F3212" t="s">
        <v>14</v>
      </c>
      <c r="G3212">
        <v>199.14</v>
      </c>
      <c r="H3212" t="s">
        <v>98</v>
      </c>
      <c r="I3212" t="s">
        <v>47</v>
      </c>
      <c r="J3212" t="s">
        <v>37</v>
      </c>
    </row>
    <row r="3213" spans="1:10" x14ac:dyDescent="0.35">
      <c r="A3213" t="s">
        <v>3402</v>
      </c>
      <c r="B3213" s="1">
        <v>46242</v>
      </c>
      <c r="C3213" t="s">
        <v>68</v>
      </c>
      <c r="D3213" t="s">
        <v>69</v>
      </c>
      <c r="E3213" t="s">
        <v>70</v>
      </c>
      <c r="F3213" t="s">
        <v>14</v>
      </c>
      <c r="G3213">
        <v>395.37</v>
      </c>
      <c r="H3213" t="s">
        <v>15</v>
      </c>
      <c r="I3213" t="s">
        <v>47</v>
      </c>
      <c r="J3213" t="s">
        <v>71</v>
      </c>
    </row>
    <row r="3214" spans="1:10" x14ac:dyDescent="0.35">
      <c r="A3214" t="s">
        <v>3403</v>
      </c>
      <c r="B3214" s="1">
        <v>46243</v>
      </c>
      <c r="C3214" t="s">
        <v>177</v>
      </c>
      <c r="D3214" t="s">
        <v>54</v>
      </c>
      <c r="E3214" t="s">
        <v>74</v>
      </c>
      <c r="F3214" t="s">
        <v>54</v>
      </c>
      <c r="G3214">
        <v>2625.19</v>
      </c>
      <c r="H3214" t="s">
        <v>21</v>
      </c>
      <c r="I3214" t="s">
        <v>36</v>
      </c>
      <c r="J3214" t="s">
        <v>56</v>
      </c>
    </row>
    <row r="3215" spans="1:10" x14ac:dyDescent="0.35">
      <c r="A3215" t="s">
        <v>3404</v>
      </c>
      <c r="B3215" s="1">
        <v>46243</v>
      </c>
      <c r="C3215" t="s">
        <v>88</v>
      </c>
      <c r="D3215" t="s">
        <v>54</v>
      </c>
      <c r="E3215" t="s">
        <v>74</v>
      </c>
      <c r="F3215" t="s">
        <v>54</v>
      </c>
      <c r="G3215">
        <v>2717.28</v>
      </c>
      <c r="H3215" t="s">
        <v>98</v>
      </c>
      <c r="I3215" t="s">
        <v>36</v>
      </c>
      <c r="J3215" t="s">
        <v>89</v>
      </c>
    </row>
    <row r="3216" spans="1:10" x14ac:dyDescent="0.35">
      <c r="A3216" t="s">
        <v>3405</v>
      </c>
      <c r="B3216" s="1">
        <v>46244</v>
      </c>
      <c r="C3216" t="s">
        <v>113</v>
      </c>
      <c r="D3216" t="s">
        <v>34</v>
      </c>
      <c r="E3216" t="s">
        <v>40</v>
      </c>
      <c r="F3216" t="s">
        <v>14</v>
      </c>
      <c r="G3216">
        <v>48.67</v>
      </c>
      <c r="H3216" t="s">
        <v>15</v>
      </c>
      <c r="I3216" t="s">
        <v>22</v>
      </c>
      <c r="J3216" t="s">
        <v>37</v>
      </c>
    </row>
    <row r="3217" spans="1:10" x14ac:dyDescent="0.35">
      <c r="A3217" t="s">
        <v>3406</v>
      </c>
      <c r="B3217" s="1">
        <v>46244</v>
      </c>
      <c r="C3217" t="s">
        <v>73</v>
      </c>
      <c r="D3217" t="s">
        <v>54</v>
      </c>
      <c r="E3217" t="s">
        <v>74</v>
      </c>
      <c r="F3217" t="s">
        <v>54</v>
      </c>
      <c r="G3217">
        <v>2326.3000000000002</v>
      </c>
      <c r="H3217" t="s">
        <v>15</v>
      </c>
      <c r="I3217" t="s">
        <v>36</v>
      </c>
      <c r="J3217" t="s">
        <v>65</v>
      </c>
    </row>
    <row r="3218" spans="1:10" x14ac:dyDescent="0.35">
      <c r="A3218" t="s">
        <v>3407</v>
      </c>
      <c r="B3218" s="1">
        <v>46244</v>
      </c>
      <c r="C3218" t="s">
        <v>11</v>
      </c>
      <c r="D3218" t="s">
        <v>12</v>
      </c>
      <c r="E3218" t="s">
        <v>13</v>
      </c>
      <c r="F3218" t="s">
        <v>14</v>
      </c>
      <c r="G3218">
        <v>85.9</v>
      </c>
      <c r="H3218" t="s">
        <v>15</v>
      </c>
      <c r="I3218" t="s">
        <v>47</v>
      </c>
      <c r="J3218" t="s">
        <v>17</v>
      </c>
    </row>
    <row r="3219" spans="1:10" x14ac:dyDescent="0.35">
      <c r="A3219" t="s">
        <v>3408</v>
      </c>
      <c r="B3219" s="1">
        <v>46244</v>
      </c>
      <c r="C3219" t="s">
        <v>426</v>
      </c>
      <c r="D3219" t="s">
        <v>69</v>
      </c>
      <c r="E3219" t="s">
        <v>70</v>
      </c>
      <c r="F3219" t="s">
        <v>14</v>
      </c>
      <c r="G3219">
        <v>288.47000000000003</v>
      </c>
      <c r="H3219" t="s">
        <v>15</v>
      </c>
      <c r="I3219" t="s">
        <v>47</v>
      </c>
      <c r="J3219" t="s">
        <v>396</v>
      </c>
    </row>
    <row r="3220" spans="1:10" x14ac:dyDescent="0.35">
      <c r="A3220" t="s">
        <v>3409</v>
      </c>
      <c r="B3220" s="1">
        <v>46244</v>
      </c>
      <c r="C3220" t="s">
        <v>135</v>
      </c>
      <c r="D3220" t="s">
        <v>101</v>
      </c>
      <c r="E3220" t="s">
        <v>102</v>
      </c>
      <c r="F3220" t="s">
        <v>14</v>
      </c>
      <c r="G3220">
        <v>29.32</v>
      </c>
      <c r="H3220" t="s">
        <v>15</v>
      </c>
      <c r="I3220" t="s">
        <v>22</v>
      </c>
      <c r="J3220" t="s">
        <v>136</v>
      </c>
    </row>
    <row r="3221" spans="1:10" x14ac:dyDescent="0.35">
      <c r="A3221" t="s">
        <v>3410</v>
      </c>
      <c r="B3221" s="1">
        <v>46245</v>
      </c>
      <c r="C3221" t="s">
        <v>109</v>
      </c>
      <c r="D3221" t="s">
        <v>34</v>
      </c>
      <c r="E3221" t="s">
        <v>35</v>
      </c>
      <c r="F3221" t="s">
        <v>14</v>
      </c>
      <c r="G3221">
        <v>57.32</v>
      </c>
      <c r="H3221" t="s">
        <v>15</v>
      </c>
      <c r="I3221" t="s">
        <v>22</v>
      </c>
      <c r="J3221" t="s">
        <v>41</v>
      </c>
    </row>
    <row r="3222" spans="1:10" x14ac:dyDescent="0.35">
      <c r="A3222" t="s">
        <v>3411</v>
      </c>
      <c r="B3222" s="1">
        <v>46245</v>
      </c>
      <c r="C3222" t="s">
        <v>204</v>
      </c>
      <c r="D3222" t="s">
        <v>12</v>
      </c>
      <c r="E3222" t="s">
        <v>51</v>
      </c>
      <c r="F3222" t="s">
        <v>14</v>
      </c>
      <c r="G3222">
        <v>31.28</v>
      </c>
      <c r="H3222" t="s">
        <v>15</v>
      </c>
      <c r="I3222" t="s">
        <v>47</v>
      </c>
      <c r="J3222" t="s">
        <v>23</v>
      </c>
    </row>
    <row r="3223" spans="1:10" x14ac:dyDescent="0.35">
      <c r="A3223" t="s">
        <v>3412</v>
      </c>
      <c r="B3223" s="1">
        <v>46245</v>
      </c>
      <c r="C3223" t="s">
        <v>229</v>
      </c>
      <c r="D3223" t="s">
        <v>54</v>
      </c>
      <c r="E3223" t="s">
        <v>64</v>
      </c>
      <c r="F3223" t="s">
        <v>54</v>
      </c>
      <c r="G3223">
        <v>314.13</v>
      </c>
      <c r="H3223" t="s">
        <v>15</v>
      </c>
      <c r="I3223" t="s">
        <v>22</v>
      </c>
      <c r="J3223" t="s">
        <v>56</v>
      </c>
    </row>
    <row r="3224" spans="1:10" x14ac:dyDescent="0.35">
      <c r="A3224" t="s">
        <v>3413</v>
      </c>
      <c r="B3224" s="1">
        <v>46245</v>
      </c>
      <c r="C3224" t="s">
        <v>272</v>
      </c>
      <c r="D3224" t="s">
        <v>54</v>
      </c>
      <c r="E3224" t="s">
        <v>55</v>
      </c>
      <c r="F3224" t="s">
        <v>54</v>
      </c>
      <c r="G3224">
        <v>581.74</v>
      </c>
      <c r="H3224" t="s">
        <v>15</v>
      </c>
      <c r="I3224" t="s">
        <v>84</v>
      </c>
      <c r="J3224" t="s">
        <v>65</v>
      </c>
    </row>
    <row r="3225" spans="1:10" x14ac:dyDescent="0.35">
      <c r="A3225" t="s">
        <v>3414</v>
      </c>
      <c r="B3225" s="1">
        <v>46245</v>
      </c>
      <c r="C3225" t="s">
        <v>46</v>
      </c>
      <c r="D3225" t="s">
        <v>12</v>
      </c>
      <c r="E3225" t="s">
        <v>13</v>
      </c>
      <c r="F3225" t="s">
        <v>14</v>
      </c>
      <c r="G3225">
        <v>36.47</v>
      </c>
      <c r="H3225" t="s">
        <v>15</v>
      </c>
      <c r="I3225" t="s">
        <v>47</v>
      </c>
      <c r="J3225" t="s">
        <v>48</v>
      </c>
    </row>
    <row r="3226" spans="1:10" x14ac:dyDescent="0.35">
      <c r="A3226" t="s">
        <v>3415</v>
      </c>
      <c r="B3226" s="1">
        <v>46246</v>
      </c>
      <c r="C3226" t="s">
        <v>272</v>
      </c>
      <c r="D3226" t="s">
        <v>54</v>
      </c>
      <c r="E3226" t="s">
        <v>55</v>
      </c>
      <c r="F3226" t="s">
        <v>54</v>
      </c>
      <c r="G3226">
        <v>699.43</v>
      </c>
      <c r="H3226" t="s">
        <v>21</v>
      </c>
      <c r="I3226" t="s">
        <v>36</v>
      </c>
      <c r="J3226" t="s">
        <v>65</v>
      </c>
    </row>
    <row r="3227" spans="1:10" x14ac:dyDescent="0.35">
      <c r="A3227" t="s">
        <v>3416</v>
      </c>
      <c r="B3227" s="1">
        <v>46246</v>
      </c>
      <c r="C3227" t="s">
        <v>210</v>
      </c>
      <c r="D3227" t="s">
        <v>59</v>
      </c>
      <c r="E3227" t="s">
        <v>185</v>
      </c>
      <c r="F3227" t="s">
        <v>14</v>
      </c>
      <c r="G3227">
        <v>288.64999999999998</v>
      </c>
      <c r="H3227" t="s">
        <v>15</v>
      </c>
      <c r="I3227" t="s">
        <v>22</v>
      </c>
      <c r="J3227" t="s">
        <v>211</v>
      </c>
    </row>
    <row r="3228" spans="1:10" x14ac:dyDescent="0.35">
      <c r="A3228" t="s">
        <v>3417</v>
      </c>
      <c r="B3228" s="1">
        <v>46246</v>
      </c>
      <c r="C3228" t="s">
        <v>229</v>
      </c>
      <c r="D3228" t="s">
        <v>54</v>
      </c>
      <c r="E3228" t="s">
        <v>64</v>
      </c>
      <c r="F3228" t="s">
        <v>54</v>
      </c>
      <c r="G3228">
        <v>277.08</v>
      </c>
      <c r="H3228" t="s">
        <v>15</v>
      </c>
      <c r="I3228" t="s">
        <v>47</v>
      </c>
      <c r="J3228" t="s">
        <v>56</v>
      </c>
    </row>
    <row r="3229" spans="1:10" x14ac:dyDescent="0.35">
      <c r="A3229" t="s">
        <v>3418</v>
      </c>
      <c r="B3229" s="1">
        <v>46246</v>
      </c>
      <c r="C3229" t="s">
        <v>125</v>
      </c>
      <c r="D3229" t="s">
        <v>12</v>
      </c>
      <c r="E3229" t="s">
        <v>13</v>
      </c>
      <c r="F3229" t="s">
        <v>14</v>
      </c>
      <c r="G3229">
        <v>18.510000000000002</v>
      </c>
      <c r="H3229" t="s">
        <v>15</v>
      </c>
      <c r="I3229" t="s">
        <v>47</v>
      </c>
      <c r="J3229" t="s">
        <v>44</v>
      </c>
    </row>
    <row r="3230" spans="1:10" x14ac:dyDescent="0.35">
      <c r="A3230" t="s">
        <v>3419</v>
      </c>
      <c r="B3230" s="1">
        <v>46246</v>
      </c>
      <c r="C3230" t="s">
        <v>113</v>
      </c>
      <c r="D3230" t="s">
        <v>34</v>
      </c>
      <c r="E3230" t="s">
        <v>40</v>
      </c>
      <c r="F3230" t="s">
        <v>14</v>
      </c>
      <c r="G3230">
        <v>123.36</v>
      </c>
      <c r="H3230" t="s">
        <v>21</v>
      </c>
      <c r="I3230" t="s">
        <v>16</v>
      </c>
      <c r="J3230" t="s">
        <v>37</v>
      </c>
    </row>
    <row r="3231" spans="1:10" x14ac:dyDescent="0.35">
      <c r="A3231" t="s">
        <v>3420</v>
      </c>
      <c r="B3231" s="1">
        <v>46246</v>
      </c>
      <c r="C3231" t="s">
        <v>63</v>
      </c>
      <c r="D3231" t="s">
        <v>54</v>
      </c>
      <c r="E3231" t="s">
        <v>64</v>
      </c>
      <c r="F3231" t="s">
        <v>54</v>
      </c>
      <c r="G3231">
        <v>289.97000000000003</v>
      </c>
      <c r="H3231" t="s">
        <v>21</v>
      </c>
      <c r="I3231" t="s">
        <v>47</v>
      </c>
      <c r="J3231" t="s">
        <v>65</v>
      </c>
    </row>
    <row r="3232" spans="1:10" x14ac:dyDescent="0.35">
      <c r="A3232" t="s">
        <v>3421</v>
      </c>
      <c r="B3232" s="1">
        <v>46246</v>
      </c>
      <c r="C3232" t="s">
        <v>198</v>
      </c>
      <c r="D3232" t="s">
        <v>59</v>
      </c>
      <c r="E3232" t="s">
        <v>199</v>
      </c>
      <c r="F3232" t="s">
        <v>14</v>
      </c>
      <c r="G3232">
        <v>181.7</v>
      </c>
      <c r="H3232" t="s">
        <v>15</v>
      </c>
      <c r="I3232" t="s">
        <v>36</v>
      </c>
      <c r="J3232" t="s">
        <v>61</v>
      </c>
    </row>
    <row r="3233" spans="1:10" x14ac:dyDescent="0.35">
      <c r="A3233" t="s">
        <v>3422</v>
      </c>
      <c r="B3233" s="1">
        <v>46246</v>
      </c>
      <c r="C3233" t="s">
        <v>25</v>
      </c>
      <c r="D3233" t="s">
        <v>12</v>
      </c>
      <c r="E3233" t="s">
        <v>26</v>
      </c>
      <c r="F3233" t="s">
        <v>14</v>
      </c>
      <c r="G3233">
        <v>59.5</v>
      </c>
      <c r="H3233" t="s">
        <v>15</v>
      </c>
      <c r="I3233" t="s">
        <v>22</v>
      </c>
      <c r="J3233" t="s">
        <v>17</v>
      </c>
    </row>
    <row r="3234" spans="1:10" x14ac:dyDescent="0.35">
      <c r="A3234" t="s">
        <v>3423</v>
      </c>
      <c r="B3234" s="1">
        <v>46246</v>
      </c>
      <c r="C3234" t="s">
        <v>143</v>
      </c>
      <c r="D3234" t="s">
        <v>54</v>
      </c>
      <c r="E3234" t="s">
        <v>55</v>
      </c>
      <c r="F3234" t="s">
        <v>54</v>
      </c>
      <c r="G3234">
        <v>676.77</v>
      </c>
      <c r="H3234" t="s">
        <v>15</v>
      </c>
      <c r="I3234" t="s">
        <v>47</v>
      </c>
      <c r="J3234" t="s">
        <v>89</v>
      </c>
    </row>
    <row r="3235" spans="1:10" x14ac:dyDescent="0.35">
      <c r="A3235" t="s">
        <v>3424</v>
      </c>
      <c r="B3235" s="1">
        <v>46246</v>
      </c>
      <c r="C3235" t="s">
        <v>272</v>
      </c>
      <c r="D3235" t="s">
        <v>54</v>
      </c>
      <c r="E3235" t="s">
        <v>55</v>
      </c>
      <c r="F3235" t="s">
        <v>54</v>
      </c>
      <c r="G3235">
        <v>780.6</v>
      </c>
      <c r="H3235" t="s">
        <v>21</v>
      </c>
      <c r="I3235" t="s">
        <v>47</v>
      </c>
      <c r="J3235" t="s">
        <v>65</v>
      </c>
    </row>
    <row r="3236" spans="1:10" x14ac:dyDescent="0.35">
      <c r="A3236" t="s">
        <v>3425</v>
      </c>
      <c r="B3236" s="1">
        <v>46247</v>
      </c>
      <c r="C3236" t="s">
        <v>259</v>
      </c>
      <c r="D3236" t="s">
        <v>59</v>
      </c>
      <c r="E3236" t="s">
        <v>199</v>
      </c>
      <c r="F3236" t="s">
        <v>14</v>
      </c>
      <c r="G3236">
        <v>303.54000000000002</v>
      </c>
      <c r="H3236" t="s">
        <v>15</v>
      </c>
      <c r="I3236" t="s">
        <v>47</v>
      </c>
      <c r="J3236" t="s">
        <v>170</v>
      </c>
    </row>
    <row r="3237" spans="1:10" x14ac:dyDescent="0.35">
      <c r="A3237" t="s">
        <v>3426</v>
      </c>
      <c r="B3237" s="1">
        <v>46247</v>
      </c>
      <c r="C3237" t="s">
        <v>39</v>
      </c>
      <c r="D3237" t="s">
        <v>34</v>
      </c>
      <c r="E3237" t="s">
        <v>40</v>
      </c>
      <c r="F3237" t="s">
        <v>14</v>
      </c>
      <c r="G3237">
        <v>136.79</v>
      </c>
      <c r="H3237" t="s">
        <v>21</v>
      </c>
      <c r="I3237" t="s">
        <v>16</v>
      </c>
      <c r="J3237" t="s">
        <v>41</v>
      </c>
    </row>
    <row r="3238" spans="1:10" x14ac:dyDescent="0.35">
      <c r="A3238" t="s">
        <v>3427</v>
      </c>
      <c r="B3238" s="1">
        <v>46247</v>
      </c>
      <c r="C3238" t="s">
        <v>132</v>
      </c>
      <c r="D3238" t="s">
        <v>69</v>
      </c>
      <c r="E3238" t="s">
        <v>70</v>
      </c>
      <c r="F3238" t="s">
        <v>14</v>
      </c>
      <c r="G3238">
        <v>543.03</v>
      </c>
      <c r="H3238" t="s">
        <v>15</v>
      </c>
      <c r="I3238" t="s">
        <v>22</v>
      </c>
      <c r="J3238" t="s">
        <v>133</v>
      </c>
    </row>
    <row r="3239" spans="1:10" x14ac:dyDescent="0.35">
      <c r="A3239" t="s">
        <v>3428</v>
      </c>
      <c r="B3239" s="1">
        <v>46247</v>
      </c>
      <c r="C3239" t="s">
        <v>172</v>
      </c>
      <c r="D3239" t="s">
        <v>101</v>
      </c>
      <c r="E3239" t="s">
        <v>102</v>
      </c>
      <c r="F3239" t="s">
        <v>14</v>
      </c>
      <c r="G3239">
        <v>45.5</v>
      </c>
      <c r="H3239" t="s">
        <v>15</v>
      </c>
      <c r="I3239" t="s">
        <v>22</v>
      </c>
      <c r="J3239" t="s">
        <v>102</v>
      </c>
    </row>
    <row r="3240" spans="1:10" x14ac:dyDescent="0.35">
      <c r="A3240" t="s">
        <v>3429</v>
      </c>
      <c r="B3240" s="1">
        <v>46247</v>
      </c>
      <c r="C3240" t="s">
        <v>262</v>
      </c>
      <c r="D3240" t="s">
        <v>101</v>
      </c>
      <c r="E3240" t="s">
        <v>244</v>
      </c>
      <c r="F3240" t="s">
        <v>14</v>
      </c>
      <c r="G3240">
        <v>122.37</v>
      </c>
      <c r="H3240" t="s">
        <v>21</v>
      </c>
      <c r="I3240" t="s">
        <v>22</v>
      </c>
      <c r="J3240" t="s">
        <v>136</v>
      </c>
    </row>
    <row r="3241" spans="1:10" x14ac:dyDescent="0.35">
      <c r="A3241" t="s">
        <v>3430</v>
      </c>
      <c r="B3241" s="1">
        <v>46247</v>
      </c>
      <c r="C3241" t="s">
        <v>267</v>
      </c>
      <c r="D3241" t="s">
        <v>29</v>
      </c>
      <c r="E3241" t="s">
        <v>30</v>
      </c>
      <c r="F3241" t="s">
        <v>14</v>
      </c>
      <c r="G3241">
        <v>56.81</v>
      </c>
      <c r="H3241" t="s">
        <v>21</v>
      </c>
      <c r="I3241" t="s">
        <v>22</v>
      </c>
      <c r="J3241" t="s">
        <v>96</v>
      </c>
    </row>
    <row r="3242" spans="1:10" x14ac:dyDescent="0.35">
      <c r="A3242" t="s">
        <v>3431</v>
      </c>
      <c r="B3242" s="1">
        <v>46247</v>
      </c>
      <c r="C3242" t="s">
        <v>198</v>
      </c>
      <c r="D3242" t="s">
        <v>59</v>
      </c>
      <c r="E3242" t="s">
        <v>199</v>
      </c>
      <c r="F3242" t="s">
        <v>14</v>
      </c>
      <c r="G3242">
        <v>242.71</v>
      </c>
      <c r="H3242" t="s">
        <v>21</v>
      </c>
      <c r="I3242" t="s">
        <v>36</v>
      </c>
      <c r="J3242" t="s">
        <v>61</v>
      </c>
    </row>
    <row r="3243" spans="1:10" x14ac:dyDescent="0.35">
      <c r="A3243" t="s">
        <v>3432</v>
      </c>
      <c r="B3243" s="1">
        <v>46247</v>
      </c>
      <c r="C3243" t="s">
        <v>138</v>
      </c>
      <c r="D3243" t="s">
        <v>12</v>
      </c>
      <c r="E3243" t="s">
        <v>26</v>
      </c>
      <c r="F3243" t="s">
        <v>14</v>
      </c>
      <c r="G3243">
        <v>18.79</v>
      </c>
      <c r="H3243" t="s">
        <v>15</v>
      </c>
      <c r="I3243" t="s">
        <v>22</v>
      </c>
      <c r="J3243" t="s">
        <v>77</v>
      </c>
    </row>
    <row r="3244" spans="1:10" x14ac:dyDescent="0.35">
      <c r="A3244" t="s">
        <v>3433</v>
      </c>
      <c r="B3244" s="1">
        <v>46247</v>
      </c>
      <c r="C3244" t="s">
        <v>229</v>
      </c>
      <c r="D3244" t="s">
        <v>54</v>
      </c>
      <c r="E3244" t="s">
        <v>64</v>
      </c>
      <c r="F3244" t="s">
        <v>54</v>
      </c>
      <c r="G3244">
        <v>341.63</v>
      </c>
      <c r="H3244" t="s">
        <v>15</v>
      </c>
      <c r="I3244" t="s">
        <v>22</v>
      </c>
      <c r="J3244" t="s">
        <v>56</v>
      </c>
    </row>
    <row r="3245" spans="1:10" x14ac:dyDescent="0.35">
      <c r="A3245" t="s">
        <v>3434</v>
      </c>
      <c r="B3245" s="1">
        <v>46247</v>
      </c>
      <c r="C3245" t="s">
        <v>281</v>
      </c>
      <c r="D3245" t="s">
        <v>34</v>
      </c>
      <c r="E3245" t="s">
        <v>40</v>
      </c>
      <c r="F3245" t="s">
        <v>14</v>
      </c>
      <c r="G3245">
        <v>57.54</v>
      </c>
      <c r="H3245" t="s">
        <v>21</v>
      </c>
      <c r="I3245" t="s">
        <v>36</v>
      </c>
      <c r="J3245" t="s">
        <v>123</v>
      </c>
    </row>
    <row r="3246" spans="1:10" x14ac:dyDescent="0.35">
      <c r="A3246" t="s">
        <v>3435</v>
      </c>
      <c r="B3246" s="1">
        <v>46247</v>
      </c>
      <c r="C3246" t="s">
        <v>232</v>
      </c>
      <c r="D3246" t="s">
        <v>69</v>
      </c>
      <c r="E3246" t="s">
        <v>233</v>
      </c>
      <c r="F3246" t="s">
        <v>14</v>
      </c>
      <c r="G3246">
        <v>657.28</v>
      </c>
      <c r="H3246" t="s">
        <v>15</v>
      </c>
      <c r="I3246" t="s">
        <v>84</v>
      </c>
      <c r="J3246" t="s">
        <v>71</v>
      </c>
    </row>
    <row r="3247" spans="1:10" x14ac:dyDescent="0.35">
      <c r="A3247" t="s">
        <v>3436</v>
      </c>
      <c r="B3247" s="1">
        <v>46248</v>
      </c>
      <c r="C3247" t="s">
        <v>113</v>
      </c>
      <c r="D3247" t="s">
        <v>34</v>
      </c>
      <c r="E3247" t="s">
        <v>40</v>
      </c>
      <c r="F3247" t="s">
        <v>14</v>
      </c>
      <c r="G3247">
        <v>114.21</v>
      </c>
      <c r="H3247" t="s">
        <v>15</v>
      </c>
      <c r="I3247" t="s">
        <v>22</v>
      </c>
      <c r="J3247" t="s">
        <v>37</v>
      </c>
    </row>
    <row r="3248" spans="1:10" x14ac:dyDescent="0.35">
      <c r="A3248" t="s">
        <v>3437</v>
      </c>
      <c r="B3248" s="1">
        <v>46248</v>
      </c>
      <c r="C3248" t="s">
        <v>94</v>
      </c>
      <c r="D3248" t="s">
        <v>29</v>
      </c>
      <c r="E3248" t="s">
        <v>95</v>
      </c>
      <c r="F3248" t="s">
        <v>14</v>
      </c>
      <c r="G3248">
        <v>69.16</v>
      </c>
      <c r="H3248" t="s">
        <v>21</v>
      </c>
      <c r="I3248" t="s">
        <v>22</v>
      </c>
      <c r="J3248" t="s">
        <v>96</v>
      </c>
    </row>
    <row r="3249" spans="1:10" x14ac:dyDescent="0.35">
      <c r="A3249" t="s">
        <v>3438</v>
      </c>
      <c r="B3249" s="1">
        <v>46248</v>
      </c>
      <c r="C3249" t="s">
        <v>28</v>
      </c>
      <c r="D3249" t="s">
        <v>29</v>
      </c>
      <c r="E3249" t="s">
        <v>30</v>
      </c>
      <c r="F3249" t="s">
        <v>14</v>
      </c>
      <c r="G3249">
        <v>30.13</v>
      </c>
      <c r="H3249" t="s">
        <v>15</v>
      </c>
      <c r="I3249" t="s">
        <v>22</v>
      </c>
      <c r="J3249" t="s">
        <v>31</v>
      </c>
    </row>
    <row r="3250" spans="1:10" x14ac:dyDescent="0.35">
      <c r="A3250" t="s">
        <v>3439</v>
      </c>
      <c r="B3250" s="1">
        <v>46249</v>
      </c>
      <c r="C3250" t="s">
        <v>53</v>
      </c>
      <c r="D3250" t="s">
        <v>54</v>
      </c>
      <c r="E3250" t="s">
        <v>55</v>
      </c>
      <c r="F3250" t="s">
        <v>54</v>
      </c>
      <c r="G3250">
        <v>750.51</v>
      </c>
      <c r="H3250" t="s">
        <v>21</v>
      </c>
      <c r="I3250" t="s">
        <v>22</v>
      </c>
      <c r="J3250" t="s">
        <v>56</v>
      </c>
    </row>
    <row r="3251" spans="1:10" x14ac:dyDescent="0.35">
      <c r="A3251" t="s">
        <v>3440</v>
      </c>
      <c r="B3251" s="1">
        <v>46249</v>
      </c>
      <c r="C3251" t="s">
        <v>143</v>
      </c>
      <c r="D3251" t="s">
        <v>54</v>
      </c>
      <c r="E3251" t="s">
        <v>55</v>
      </c>
      <c r="F3251" t="s">
        <v>54</v>
      </c>
      <c r="G3251">
        <v>706.99</v>
      </c>
      <c r="H3251" t="s">
        <v>15</v>
      </c>
      <c r="I3251" t="s">
        <v>47</v>
      </c>
      <c r="J3251" t="s">
        <v>89</v>
      </c>
    </row>
    <row r="3252" spans="1:10" x14ac:dyDescent="0.35">
      <c r="A3252" t="s">
        <v>3441</v>
      </c>
      <c r="B3252" s="1">
        <v>46249</v>
      </c>
      <c r="C3252" t="s">
        <v>143</v>
      </c>
      <c r="D3252" t="s">
        <v>54</v>
      </c>
      <c r="E3252" t="s">
        <v>55</v>
      </c>
      <c r="F3252" t="s">
        <v>54</v>
      </c>
      <c r="G3252">
        <v>661.91</v>
      </c>
      <c r="H3252" t="s">
        <v>15</v>
      </c>
      <c r="I3252" t="s">
        <v>36</v>
      </c>
      <c r="J3252" t="s">
        <v>89</v>
      </c>
    </row>
    <row r="3253" spans="1:10" x14ac:dyDescent="0.35">
      <c r="A3253" t="s">
        <v>3442</v>
      </c>
      <c r="B3253" s="1">
        <v>46249</v>
      </c>
      <c r="C3253" t="s">
        <v>272</v>
      </c>
      <c r="D3253" t="s">
        <v>54</v>
      </c>
      <c r="E3253" t="s">
        <v>55</v>
      </c>
      <c r="F3253" t="s">
        <v>54</v>
      </c>
      <c r="G3253">
        <v>814.55</v>
      </c>
      <c r="H3253" t="s">
        <v>15</v>
      </c>
      <c r="I3253" t="s">
        <v>36</v>
      </c>
      <c r="J3253" t="s">
        <v>65</v>
      </c>
    </row>
    <row r="3254" spans="1:10" x14ac:dyDescent="0.35">
      <c r="A3254" t="s">
        <v>3443</v>
      </c>
      <c r="B3254" s="1">
        <v>46249</v>
      </c>
      <c r="C3254" t="s">
        <v>345</v>
      </c>
      <c r="D3254" t="s">
        <v>59</v>
      </c>
      <c r="E3254" t="s">
        <v>60</v>
      </c>
      <c r="F3254" t="s">
        <v>14</v>
      </c>
      <c r="G3254">
        <v>129.09</v>
      </c>
      <c r="H3254" t="s">
        <v>15</v>
      </c>
      <c r="I3254" t="s">
        <v>47</v>
      </c>
      <c r="J3254" t="s">
        <v>211</v>
      </c>
    </row>
    <row r="3255" spans="1:10" x14ac:dyDescent="0.35">
      <c r="A3255" t="s">
        <v>3444</v>
      </c>
      <c r="B3255" s="1">
        <v>46250</v>
      </c>
      <c r="C3255" t="s">
        <v>272</v>
      </c>
      <c r="D3255" t="s">
        <v>54</v>
      </c>
      <c r="E3255" t="s">
        <v>55</v>
      </c>
      <c r="F3255" t="s">
        <v>54</v>
      </c>
      <c r="G3255">
        <v>779.49</v>
      </c>
      <c r="H3255" t="s">
        <v>21</v>
      </c>
      <c r="I3255" t="s">
        <v>47</v>
      </c>
      <c r="J3255" t="s">
        <v>65</v>
      </c>
    </row>
    <row r="3256" spans="1:10" x14ac:dyDescent="0.35">
      <c r="A3256" t="s">
        <v>3445</v>
      </c>
      <c r="B3256" s="1">
        <v>46250</v>
      </c>
      <c r="C3256" t="s">
        <v>238</v>
      </c>
      <c r="D3256" t="s">
        <v>34</v>
      </c>
      <c r="E3256" t="s">
        <v>35</v>
      </c>
      <c r="F3256" t="s">
        <v>14</v>
      </c>
      <c r="G3256">
        <v>112.28</v>
      </c>
      <c r="H3256" t="s">
        <v>21</v>
      </c>
      <c r="I3256" t="s">
        <v>36</v>
      </c>
      <c r="J3256" t="s">
        <v>239</v>
      </c>
    </row>
    <row r="3257" spans="1:10" x14ac:dyDescent="0.35">
      <c r="A3257" t="s">
        <v>3446</v>
      </c>
      <c r="B3257" s="1">
        <v>46250</v>
      </c>
      <c r="C3257" t="s">
        <v>580</v>
      </c>
      <c r="D3257" t="s">
        <v>80</v>
      </c>
      <c r="E3257" t="s">
        <v>81</v>
      </c>
      <c r="F3257" t="s">
        <v>14</v>
      </c>
      <c r="G3257">
        <v>55.82</v>
      </c>
      <c r="H3257" t="s">
        <v>21</v>
      </c>
      <c r="I3257" t="s">
        <v>22</v>
      </c>
      <c r="J3257" t="s">
        <v>118</v>
      </c>
    </row>
    <row r="3258" spans="1:10" x14ac:dyDescent="0.35">
      <c r="A3258" t="s">
        <v>3447</v>
      </c>
      <c r="B3258" s="1">
        <v>46250</v>
      </c>
      <c r="C3258" t="s">
        <v>11</v>
      </c>
      <c r="D3258" t="s">
        <v>12</v>
      </c>
      <c r="E3258" t="s">
        <v>13</v>
      </c>
      <c r="F3258" t="s">
        <v>14</v>
      </c>
      <c r="G3258">
        <v>32.770000000000003</v>
      </c>
      <c r="H3258" t="s">
        <v>15</v>
      </c>
      <c r="I3258" t="s">
        <v>22</v>
      </c>
      <c r="J3258" t="s">
        <v>17</v>
      </c>
    </row>
    <row r="3259" spans="1:10" x14ac:dyDescent="0.35">
      <c r="A3259" t="s">
        <v>3448</v>
      </c>
      <c r="B3259" s="1">
        <v>46250</v>
      </c>
      <c r="C3259" t="s">
        <v>350</v>
      </c>
      <c r="D3259" t="s">
        <v>29</v>
      </c>
      <c r="E3259" t="s">
        <v>151</v>
      </c>
      <c r="F3259" t="s">
        <v>14</v>
      </c>
      <c r="G3259">
        <v>70.400000000000006</v>
      </c>
      <c r="H3259" t="s">
        <v>21</v>
      </c>
      <c r="I3259" t="s">
        <v>36</v>
      </c>
      <c r="J3259" t="s">
        <v>158</v>
      </c>
    </row>
    <row r="3260" spans="1:10" x14ac:dyDescent="0.35">
      <c r="A3260" t="s">
        <v>3449</v>
      </c>
      <c r="B3260" s="1">
        <v>46250</v>
      </c>
      <c r="C3260" t="s">
        <v>116</v>
      </c>
      <c r="D3260" t="s">
        <v>80</v>
      </c>
      <c r="E3260" t="s">
        <v>117</v>
      </c>
      <c r="F3260" t="s">
        <v>14</v>
      </c>
      <c r="G3260">
        <v>81.14</v>
      </c>
      <c r="H3260" t="s">
        <v>15</v>
      </c>
      <c r="I3260" t="s">
        <v>22</v>
      </c>
      <c r="J3260" t="s">
        <v>118</v>
      </c>
    </row>
    <row r="3261" spans="1:10" x14ac:dyDescent="0.35">
      <c r="A3261" t="s">
        <v>3450</v>
      </c>
      <c r="B3261" s="1">
        <v>46251</v>
      </c>
      <c r="C3261" t="s">
        <v>130</v>
      </c>
      <c r="D3261" t="s">
        <v>12</v>
      </c>
      <c r="E3261" t="s">
        <v>26</v>
      </c>
      <c r="F3261" t="s">
        <v>14</v>
      </c>
      <c r="G3261">
        <v>31.84</v>
      </c>
      <c r="H3261" t="s">
        <v>15</v>
      </c>
      <c r="I3261" t="s">
        <v>47</v>
      </c>
      <c r="J3261" t="s">
        <v>48</v>
      </c>
    </row>
    <row r="3262" spans="1:10" x14ac:dyDescent="0.35">
      <c r="A3262" t="s">
        <v>3451</v>
      </c>
      <c r="B3262" s="1">
        <v>46252</v>
      </c>
      <c r="C3262" t="s">
        <v>19</v>
      </c>
      <c r="D3262" t="s">
        <v>12</v>
      </c>
      <c r="E3262" t="s">
        <v>13</v>
      </c>
      <c r="F3262" t="s">
        <v>14</v>
      </c>
      <c r="G3262">
        <v>11.25</v>
      </c>
      <c r="H3262" t="s">
        <v>21</v>
      </c>
      <c r="I3262" t="s">
        <v>22</v>
      </c>
      <c r="J3262" t="s">
        <v>23</v>
      </c>
    </row>
    <row r="3263" spans="1:10" x14ac:dyDescent="0.35">
      <c r="A3263" t="s">
        <v>3452</v>
      </c>
      <c r="B3263" s="1">
        <v>46252</v>
      </c>
      <c r="C3263" t="s">
        <v>445</v>
      </c>
      <c r="D3263" t="s">
        <v>101</v>
      </c>
      <c r="E3263" t="s">
        <v>244</v>
      </c>
      <c r="F3263" t="s">
        <v>14</v>
      </c>
      <c r="G3263">
        <v>92.13</v>
      </c>
      <c r="H3263" t="s">
        <v>15</v>
      </c>
      <c r="I3263" t="s">
        <v>22</v>
      </c>
      <c r="J3263" t="s">
        <v>103</v>
      </c>
    </row>
    <row r="3264" spans="1:10" x14ac:dyDescent="0.35">
      <c r="A3264" t="s">
        <v>3453</v>
      </c>
      <c r="B3264" s="1">
        <v>46252</v>
      </c>
      <c r="C3264" t="s">
        <v>229</v>
      </c>
      <c r="D3264" t="s">
        <v>54</v>
      </c>
      <c r="E3264" t="s">
        <v>64</v>
      </c>
      <c r="F3264" t="s">
        <v>54</v>
      </c>
      <c r="G3264">
        <v>435.96</v>
      </c>
      <c r="H3264" t="s">
        <v>15</v>
      </c>
      <c r="I3264" t="s">
        <v>22</v>
      </c>
      <c r="J3264" t="s">
        <v>56</v>
      </c>
    </row>
    <row r="3265" spans="1:10" x14ac:dyDescent="0.35">
      <c r="A3265" t="s">
        <v>3454</v>
      </c>
      <c r="B3265" s="1">
        <v>46252</v>
      </c>
      <c r="C3265" t="s">
        <v>53</v>
      </c>
      <c r="D3265" t="s">
        <v>54</v>
      </c>
      <c r="E3265" t="s">
        <v>55</v>
      </c>
      <c r="F3265" t="s">
        <v>54</v>
      </c>
      <c r="G3265">
        <v>772.98</v>
      </c>
      <c r="H3265" t="s">
        <v>21</v>
      </c>
      <c r="I3265" t="s">
        <v>47</v>
      </c>
      <c r="J3265" t="s">
        <v>56</v>
      </c>
    </row>
    <row r="3266" spans="1:10" x14ac:dyDescent="0.35">
      <c r="A3266" t="s">
        <v>3455</v>
      </c>
      <c r="B3266" s="1">
        <v>46252</v>
      </c>
      <c r="C3266" t="s">
        <v>53</v>
      </c>
      <c r="D3266" t="s">
        <v>54</v>
      </c>
      <c r="E3266" t="s">
        <v>55</v>
      </c>
      <c r="F3266" t="s">
        <v>54</v>
      </c>
      <c r="G3266">
        <v>705.36</v>
      </c>
      <c r="H3266" t="s">
        <v>98</v>
      </c>
      <c r="I3266" t="s">
        <v>22</v>
      </c>
      <c r="J3266" t="s">
        <v>56</v>
      </c>
    </row>
    <row r="3267" spans="1:10" x14ac:dyDescent="0.35">
      <c r="A3267" t="s">
        <v>3456</v>
      </c>
      <c r="B3267" s="1">
        <v>46252</v>
      </c>
      <c r="C3267" t="s">
        <v>172</v>
      </c>
      <c r="D3267" t="s">
        <v>101</v>
      </c>
      <c r="E3267" t="s">
        <v>102</v>
      </c>
      <c r="F3267" t="s">
        <v>14</v>
      </c>
      <c r="G3267">
        <v>110.33</v>
      </c>
      <c r="H3267" t="s">
        <v>15</v>
      </c>
      <c r="I3267" t="s">
        <v>36</v>
      </c>
      <c r="J3267" t="s">
        <v>102</v>
      </c>
    </row>
    <row r="3268" spans="1:10" x14ac:dyDescent="0.35">
      <c r="A3268" t="s">
        <v>3457</v>
      </c>
      <c r="B3268" s="1">
        <v>46252</v>
      </c>
      <c r="C3268" t="s">
        <v>296</v>
      </c>
      <c r="D3268" t="s">
        <v>101</v>
      </c>
      <c r="E3268" t="s">
        <v>136</v>
      </c>
      <c r="F3268" t="s">
        <v>14</v>
      </c>
      <c r="G3268">
        <v>78.08</v>
      </c>
      <c r="H3268" t="s">
        <v>15</v>
      </c>
      <c r="I3268" t="s">
        <v>36</v>
      </c>
      <c r="J3268" t="s">
        <v>136</v>
      </c>
    </row>
    <row r="3269" spans="1:10" x14ac:dyDescent="0.35">
      <c r="A3269" t="s">
        <v>3458</v>
      </c>
      <c r="B3269" s="1">
        <v>46252</v>
      </c>
      <c r="C3269" t="s">
        <v>73</v>
      </c>
      <c r="D3269" t="s">
        <v>54</v>
      </c>
      <c r="E3269" t="s">
        <v>74</v>
      </c>
      <c r="F3269" t="s">
        <v>54</v>
      </c>
      <c r="G3269">
        <v>2400.73</v>
      </c>
      <c r="H3269" t="s">
        <v>15</v>
      </c>
      <c r="I3269" t="s">
        <v>22</v>
      </c>
      <c r="J3269" t="s">
        <v>65</v>
      </c>
    </row>
    <row r="3270" spans="1:10" x14ac:dyDescent="0.35">
      <c r="A3270" t="s">
        <v>3459</v>
      </c>
      <c r="B3270" s="1">
        <v>46252</v>
      </c>
      <c r="C3270" t="s">
        <v>395</v>
      </c>
      <c r="D3270" t="s">
        <v>69</v>
      </c>
      <c r="E3270" t="s">
        <v>291</v>
      </c>
      <c r="F3270" t="s">
        <v>14</v>
      </c>
      <c r="G3270">
        <v>74.38</v>
      </c>
      <c r="H3270" t="s">
        <v>15</v>
      </c>
      <c r="I3270" t="s">
        <v>47</v>
      </c>
      <c r="J3270" t="s">
        <v>396</v>
      </c>
    </row>
    <row r="3271" spans="1:10" x14ac:dyDescent="0.35">
      <c r="A3271" t="s">
        <v>3460</v>
      </c>
      <c r="B3271" s="1">
        <v>46253</v>
      </c>
      <c r="C3271" t="s">
        <v>464</v>
      </c>
      <c r="D3271" t="s">
        <v>34</v>
      </c>
      <c r="E3271" t="s">
        <v>122</v>
      </c>
      <c r="F3271" t="s">
        <v>14</v>
      </c>
      <c r="G3271">
        <v>196.02</v>
      </c>
      <c r="H3271" t="s">
        <v>15</v>
      </c>
      <c r="I3271" t="s">
        <v>22</v>
      </c>
      <c r="J3271" t="s">
        <v>239</v>
      </c>
    </row>
    <row r="3272" spans="1:10" x14ac:dyDescent="0.35">
      <c r="A3272" t="s">
        <v>3461</v>
      </c>
      <c r="B3272" s="1">
        <v>46253</v>
      </c>
      <c r="C3272" t="s">
        <v>130</v>
      </c>
      <c r="D3272" t="s">
        <v>12</v>
      </c>
      <c r="E3272" t="s">
        <v>26</v>
      </c>
      <c r="F3272" t="s">
        <v>14</v>
      </c>
      <c r="G3272">
        <v>31.21</v>
      </c>
      <c r="H3272" t="s">
        <v>15</v>
      </c>
      <c r="I3272" t="s">
        <v>22</v>
      </c>
      <c r="J3272" t="s">
        <v>48</v>
      </c>
    </row>
    <row r="3273" spans="1:10" x14ac:dyDescent="0.35">
      <c r="A3273" t="s">
        <v>3462</v>
      </c>
      <c r="B3273" s="1">
        <v>46253</v>
      </c>
      <c r="C3273" t="s">
        <v>168</v>
      </c>
      <c r="D3273" t="s">
        <v>59</v>
      </c>
      <c r="E3273" t="s">
        <v>60</v>
      </c>
      <c r="F3273" t="s">
        <v>14</v>
      </c>
      <c r="G3273">
        <v>224.14</v>
      </c>
      <c r="H3273" t="s">
        <v>21</v>
      </c>
      <c r="I3273" t="s">
        <v>22</v>
      </c>
      <c r="J3273" t="s">
        <v>170</v>
      </c>
    </row>
    <row r="3274" spans="1:10" x14ac:dyDescent="0.35">
      <c r="A3274" t="s">
        <v>3463</v>
      </c>
      <c r="B3274" s="1">
        <v>46253</v>
      </c>
      <c r="C3274" t="s">
        <v>39</v>
      </c>
      <c r="D3274" t="s">
        <v>34</v>
      </c>
      <c r="E3274" t="s">
        <v>40</v>
      </c>
      <c r="F3274" t="s">
        <v>14</v>
      </c>
      <c r="G3274">
        <v>75.19</v>
      </c>
      <c r="H3274" t="s">
        <v>21</v>
      </c>
      <c r="I3274" t="s">
        <v>22</v>
      </c>
      <c r="J3274" t="s">
        <v>41</v>
      </c>
    </row>
    <row r="3275" spans="1:10" x14ac:dyDescent="0.35">
      <c r="A3275" t="s">
        <v>3464</v>
      </c>
      <c r="B3275" s="1">
        <v>46254</v>
      </c>
      <c r="C3275" t="s">
        <v>229</v>
      </c>
      <c r="D3275" t="s">
        <v>54</v>
      </c>
      <c r="E3275" t="s">
        <v>64</v>
      </c>
      <c r="F3275" t="s">
        <v>54</v>
      </c>
      <c r="G3275">
        <v>358.17</v>
      </c>
      <c r="H3275" t="s">
        <v>21</v>
      </c>
      <c r="I3275" t="s">
        <v>36</v>
      </c>
      <c r="J3275" t="s">
        <v>56</v>
      </c>
    </row>
    <row r="3276" spans="1:10" x14ac:dyDescent="0.35">
      <c r="A3276" t="s">
        <v>3465</v>
      </c>
      <c r="B3276" s="1">
        <v>46254</v>
      </c>
      <c r="C3276" t="s">
        <v>220</v>
      </c>
      <c r="D3276" t="s">
        <v>59</v>
      </c>
      <c r="E3276" t="s">
        <v>199</v>
      </c>
      <c r="F3276" t="s">
        <v>14</v>
      </c>
      <c r="G3276">
        <v>309.85000000000002</v>
      </c>
      <c r="H3276" t="s">
        <v>15</v>
      </c>
      <c r="I3276" t="s">
        <v>36</v>
      </c>
      <c r="J3276" t="s">
        <v>211</v>
      </c>
    </row>
    <row r="3277" spans="1:10" x14ac:dyDescent="0.35">
      <c r="A3277" t="s">
        <v>3466</v>
      </c>
      <c r="B3277" s="1">
        <v>46254</v>
      </c>
      <c r="C3277" t="s">
        <v>88</v>
      </c>
      <c r="D3277" t="s">
        <v>54</v>
      </c>
      <c r="E3277" t="s">
        <v>74</v>
      </c>
      <c r="F3277" t="s">
        <v>54</v>
      </c>
      <c r="G3277">
        <v>2693.83</v>
      </c>
      <c r="H3277" t="s">
        <v>98</v>
      </c>
      <c r="I3277" t="s">
        <v>47</v>
      </c>
      <c r="J3277" t="s">
        <v>89</v>
      </c>
    </row>
    <row r="3278" spans="1:10" x14ac:dyDescent="0.35">
      <c r="A3278" t="s">
        <v>3467</v>
      </c>
      <c r="B3278" s="1">
        <v>46254</v>
      </c>
      <c r="C3278" t="s">
        <v>130</v>
      </c>
      <c r="D3278" t="s">
        <v>12</v>
      </c>
      <c r="E3278" t="s">
        <v>26</v>
      </c>
      <c r="F3278" t="s">
        <v>14</v>
      </c>
      <c r="G3278">
        <v>12.18</v>
      </c>
      <c r="H3278" t="s">
        <v>98</v>
      </c>
      <c r="I3278" t="s">
        <v>16</v>
      </c>
      <c r="J3278" t="s">
        <v>48</v>
      </c>
    </row>
    <row r="3279" spans="1:10" x14ac:dyDescent="0.35">
      <c r="A3279" t="s">
        <v>3468</v>
      </c>
      <c r="B3279" s="1">
        <v>46254</v>
      </c>
      <c r="C3279" t="s">
        <v>395</v>
      </c>
      <c r="D3279" t="s">
        <v>69</v>
      </c>
      <c r="E3279" t="s">
        <v>291</v>
      </c>
      <c r="F3279" t="s">
        <v>14</v>
      </c>
      <c r="G3279">
        <v>253.28</v>
      </c>
      <c r="H3279" t="s">
        <v>98</v>
      </c>
      <c r="I3279" t="s">
        <v>36</v>
      </c>
      <c r="J3279" t="s">
        <v>396</v>
      </c>
    </row>
    <row r="3280" spans="1:10" x14ac:dyDescent="0.35">
      <c r="A3280" t="s">
        <v>3469</v>
      </c>
      <c r="B3280" s="1">
        <v>46255</v>
      </c>
      <c r="C3280" t="s">
        <v>215</v>
      </c>
      <c r="D3280" t="s">
        <v>80</v>
      </c>
      <c r="E3280" t="s">
        <v>117</v>
      </c>
      <c r="F3280" t="s">
        <v>14</v>
      </c>
      <c r="G3280">
        <v>120.59</v>
      </c>
      <c r="H3280" t="s">
        <v>15</v>
      </c>
      <c r="I3280" t="s">
        <v>22</v>
      </c>
      <c r="J3280" t="s">
        <v>141</v>
      </c>
    </row>
    <row r="3281" spans="1:10" x14ac:dyDescent="0.35">
      <c r="A3281" t="s">
        <v>3470</v>
      </c>
      <c r="B3281" s="1">
        <v>46255</v>
      </c>
      <c r="C3281" t="s">
        <v>210</v>
      </c>
      <c r="D3281" t="s">
        <v>59</v>
      </c>
      <c r="E3281" t="s">
        <v>185</v>
      </c>
      <c r="F3281" t="s">
        <v>14</v>
      </c>
      <c r="G3281">
        <v>250.33</v>
      </c>
      <c r="H3281" t="s">
        <v>21</v>
      </c>
      <c r="I3281" t="s">
        <v>22</v>
      </c>
      <c r="J3281" t="s">
        <v>211</v>
      </c>
    </row>
    <row r="3282" spans="1:10" x14ac:dyDescent="0.35">
      <c r="A3282" t="s">
        <v>3471</v>
      </c>
      <c r="B3282" s="1">
        <v>46255</v>
      </c>
      <c r="C3282" t="s">
        <v>253</v>
      </c>
      <c r="D3282" t="s">
        <v>29</v>
      </c>
      <c r="E3282" t="s">
        <v>30</v>
      </c>
      <c r="F3282" t="s">
        <v>14</v>
      </c>
      <c r="G3282">
        <v>24.35</v>
      </c>
      <c r="H3282" t="s">
        <v>21</v>
      </c>
      <c r="I3282" t="s">
        <v>47</v>
      </c>
      <c r="J3282" t="s">
        <v>158</v>
      </c>
    </row>
    <row r="3283" spans="1:10" x14ac:dyDescent="0.35">
      <c r="A3283" t="s">
        <v>3472</v>
      </c>
      <c r="B3283" s="1">
        <v>46255</v>
      </c>
      <c r="C3283" t="s">
        <v>143</v>
      </c>
      <c r="D3283" t="s">
        <v>54</v>
      </c>
      <c r="E3283" t="s">
        <v>55</v>
      </c>
      <c r="F3283" t="s">
        <v>54</v>
      </c>
      <c r="G3283">
        <v>615.01</v>
      </c>
      <c r="H3283" t="s">
        <v>15</v>
      </c>
      <c r="I3283" t="s">
        <v>22</v>
      </c>
      <c r="J3283" t="s">
        <v>89</v>
      </c>
    </row>
    <row r="3284" spans="1:10" x14ac:dyDescent="0.35">
      <c r="A3284" t="s">
        <v>3473</v>
      </c>
      <c r="B3284" s="1">
        <v>46256</v>
      </c>
      <c r="C3284" t="s">
        <v>130</v>
      </c>
      <c r="D3284" t="s">
        <v>12</v>
      </c>
      <c r="E3284" t="s">
        <v>26</v>
      </c>
      <c r="F3284" t="s">
        <v>14</v>
      </c>
      <c r="G3284">
        <v>33.32</v>
      </c>
      <c r="H3284" t="s">
        <v>15</v>
      </c>
      <c r="I3284" t="s">
        <v>22</v>
      </c>
      <c r="J3284" t="s">
        <v>48</v>
      </c>
    </row>
    <row r="3285" spans="1:10" x14ac:dyDescent="0.35">
      <c r="A3285" t="s">
        <v>3474</v>
      </c>
      <c r="B3285" s="1">
        <v>46256</v>
      </c>
      <c r="C3285" t="s">
        <v>281</v>
      </c>
      <c r="D3285" t="s">
        <v>34</v>
      </c>
      <c r="E3285" t="s">
        <v>40</v>
      </c>
      <c r="F3285" t="s">
        <v>14</v>
      </c>
      <c r="G3285">
        <v>165.51</v>
      </c>
      <c r="H3285" t="s">
        <v>15</v>
      </c>
      <c r="I3285" t="s">
        <v>36</v>
      </c>
      <c r="J3285" t="s">
        <v>123</v>
      </c>
    </row>
    <row r="3286" spans="1:10" x14ac:dyDescent="0.35">
      <c r="A3286" t="s">
        <v>3475</v>
      </c>
      <c r="B3286" s="1">
        <v>46256</v>
      </c>
      <c r="C3286" t="s">
        <v>215</v>
      </c>
      <c r="D3286" t="s">
        <v>80</v>
      </c>
      <c r="E3286" t="s">
        <v>117</v>
      </c>
      <c r="F3286" t="s">
        <v>14</v>
      </c>
      <c r="G3286">
        <v>123.89</v>
      </c>
      <c r="H3286" t="s">
        <v>21</v>
      </c>
      <c r="I3286" t="s">
        <v>22</v>
      </c>
      <c r="J3286" t="s">
        <v>141</v>
      </c>
    </row>
    <row r="3287" spans="1:10" x14ac:dyDescent="0.35">
      <c r="A3287" t="s">
        <v>3476</v>
      </c>
      <c r="B3287" s="1">
        <v>46256</v>
      </c>
      <c r="C3287" t="s">
        <v>79</v>
      </c>
      <c r="D3287" t="s">
        <v>80</v>
      </c>
      <c r="E3287" t="s">
        <v>81</v>
      </c>
      <c r="F3287" t="s">
        <v>14</v>
      </c>
      <c r="G3287">
        <v>41.71</v>
      </c>
      <c r="H3287" t="s">
        <v>15</v>
      </c>
      <c r="I3287" t="s">
        <v>36</v>
      </c>
      <c r="J3287" t="s">
        <v>82</v>
      </c>
    </row>
    <row r="3288" spans="1:10" x14ac:dyDescent="0.35">
      <c r="A3288" t="s">
        <v>3477</v>
      </c>
      <c r="B3288" s="1">
        <v>46256</v>
      </c>
      <c r="C3288" t="s">
        <v>28</v>
      </c>
      <c r="D3288" t="s">
        <v>29</v>
      </c>
      <c r="E3288" t="s">
        <v>30</v>
      </c>
      <c r="F3288" t="s">
        <v>14</v>
      </c>
      <c r="G3288">
        <v>41.44</v>
      </c>
      <c r="H3288" t="s">
        <v>21</v>
      </c>
      <c r="I3288" t="s">
        <v>22</v>
      </c>
      <c r="J3288" t="s">
        <v>31</v>
      </c>
    </row>
    <row r="3289" spans="1:10" x14ac:dyDescent="0.35">
      <c r="A3289" t="s">
        <v>3478</v>
      </c>
      <c r="B3289" s="1">
        <v>46256</v>
      </c>
      <c r="C3289" t="s">
        <v>198</v>
      </c>
      <c r="D3289" t="s">
        <v>59</v>
      </c>
      <c r="E3289" t="s">
        <v>199</v>
      </c>
      <c r="F3289" t="s">
        <v>14</v>
      </c>
      <c r="G3289">
        <v>912.25</v>
      </c>
      <c r="H3289" t="s">
        <v>15</v>
      </c>
      <c r="I3289" t="s">
        <v>36</v>
      </c>
      <c r="J3289" t="s">
        <v>61</v>
      </c>
    </row>
    <row r="3290" spans="1:10" x14ac:dyDescent="0.35">
      <c r="A3290" t="s">
        <v>3479</v>
      </c>
      <c r="B3290" s="1">
        <v>46257</v>
      </c>
      <c r="C3290" t="s">
        <v>256</v>
      </c>
      <c r="D3290" t="s">
        <v>34</v>
      </c>
      <c r="E3290" t="s">
        <v>40</v>
      </c>
      <c r="F3290" t="s">
        <v>14</v>
      </c>
      <c r="G3290">
        <v>272.10000000000002</v>
      </c>
      <c r="H3290" t="s">
        <v>15</v>
      </c>
      <c r="I3290" t="s">
        <v>47</v>
      </c>
      <c r="J3290" t="s">
        <v>239</v>
      </c>
    </row>
    <row r="3291" spans="1:10" x14ac:dyDescent="0.35">
      <c r="A3291" t="s">
        <v>3480</v>
      </c>
      <c r="B3291" s="1">
        <v>46257</v>
      </c>
      <c r="C3291" t="s">
        <v>53</v>
      </c>
      <c r="D3291" t="s">
        <v>54</v>
      </c>
      <c r="E3291" t="s">
        <v>55</v>
      </c>
      <c r="F3291" t="s">
        <v>54</v>
      </c>
      <c r="G3291">
        <v>641.83000000000004</v>
      </c>
      <c r="H3291" t="s">
        <v>15</v>
      </c>
      <c r="I3291" t="s">
        <v>22</v>
      </c>
      <c r="J3291" t="s">
        <v>56</v>
      </c>
    </row>
    <row r="3292" spans="1:10" x14ac:dyDescent="0.35">
      <c r="A3292" t="s">
        <v>3481</v>
      </c>
      <c r="B3292" s="1">
        <v>46257</v>
      </c>
      <c r="C3292" t="s">
        <v>76</v>
      </c>
      <c r="D3292" t="s">
        <v>12</v>
      </c>
      <c r="E3292" t="s">
        <v>13</v>
      </c>
      <c r="F3292" t="s">
        <v>14</v>
      </c>
      <c r="G3292">
        <v>52.36</v>
      </c>
      <c r="H3292" t="s">
        <v>15</v>
      </c>
      <c r="I3292" t="s">
        <v>22</v>
      </c>
      <c r="J3292" t="s">
        <v>77</v>
      </c>
    </row>
    <row r="3293" spans="1:10" x14ac:dyDescent="0.35">
      <c r="A3293" t="s">
        <v>3482</v>
      </c>
      <c r="B3293" s="1">
        <v>46257</v>
      </c>
      <c r="C3293" t="s">
        <v>376</v>
      </c>
      <c r="D3293" t="s">
        <v>80</v>
      </c>
      <c r="E3293" t="s">
        <v>117</v>
      </c>
      <c r="F3293" t="s">
        <v>14</v>
      </c>
      <c r="G3293">
        <v>68.08</v>
      </c>
      <c r="H3293" t="s">
        <v>15</v>
      </c>
      <c r="I3293" t="s">
        <v>22</v>
      </c>
      <c r="J3293" t="s">
        <v>82</v>
      </c>
    </row>
    <row r="3294" spans="1:10" x14ac:dyDescent="0.35">
      <c r="A3294" t="s">
        <v>3483</v>
      </c>
      <c r="B3294" s="1">
        <v>46257</v>
      </c>
      <c r="C3294" t="s">
        <v>94</v>
      </c>
      <c r="D3294" t="s">
        <v>29</v>
      </c>
      <c r="E3294" t="s">
        <v>95</v>
      </c>
      <c r="F3294" t="s">
        <v>14</v>
      </c>
      <c r="G3294">
        <v>12.61</v>
      </c>
      <c r="H3294" t="s">
        <v>21</v>
      </c>
      <c r="I3294" t="s">
        <v>36</v>
      </c>
      <c r="J3294" t="s">
        <v>96</v>
      </c>
    </row>
    <row r="3295" spans="1:10" x14ac:dyDescent="0.35">
      <c r="A3295" t="s">
        <v>3484</v>
      </c>
      <c r="B3295" s="1">
        <v>46257</v>
      </c>
      <c r="C3295" t="s">
        <v>143</v>
      </c>
      <c r="D3295" t="s">
        <v>54</v>
      </c>
      <c r="E3295" t="s">
        <v>55</v>
      </c>
      <c r="F3295" t="s">
        <v>54</v>
      </c>
      <c r="G3295">
        <v>705.52</v>
      </c>
      <c r="H3295" t="s">
        <v>21</v>
      </c>
      <c r="I3295" t="s">
        <v>47</v>
      </c>
      <c r="J3295" t="s">
        <v>89</v>
      </c>
    </row>
    <row r="3296" spans="1:10" x14ac:dyDescent="0.35">
      <c r="A3296" t="s">
        <v>3485</v>
      </c>
      <c r="B3296" s="1">
        <v>46257</v>
      </c>
      <c r="C3296" t="s">
        <v>175</v>
      </c>
      <c r="D3296" t="s">
        <v>80</v>
      </c>
      <c r="E3296" t="s">
        <v>92</v>
      </c>
      <c r="F3296" t="s">
        <v>14</v>
      </c>
      <c r="G3296">
        <v>22.99</v>
      </c>
      <c r="H3296" t="s">
        <v>21</v>
      </c>
      <c r="I3296" t="s">
        <v>22</v>
      </c>
      <c r="J3296" t="s">
        <v>141</v>
      </c>
    </row>
    <row r="3297" spans="1:10" x14ac:dyDescent="0.35">
      <c r="A3297" t="s">
        <v>3486</v>
      </c>
      <c r="B3297" s="1">
        <v>46257</v>
      </c>
      <c r="C3297" t="s">
        <v>63</v>
      </c>
      <c r="D3297" t="s">
        <v>54</v>
      </c>
      <c r="E3297" t="s">
        <v>64</v>
      </c>
      <c r="F3297" t="s">
        <v>54</v>
      </c>
      <c r="G3297">
        <v>386.46</v>
      </c>
      <c r="H3297" t="s">
        <v>21</v>
      </c>
      <c r="I3297" t="s">
        <v>36</v>
      </c>
      <c r="J3297" t="s">
        <v>65</v>
      </c>
    </row>
    <row r="3298" spans="1:10" x14ac:dyDescent="0.35">
      <c r="A3298" t="s">
        <v>3487</v>
      </c>
      <c r="B3298" s="1">
        <v>46257</v>
      </c>
      <c r="C3298" t="s">
        <v>111</v>
      </c>
      <c r="D3298" t="s">
        <v>12</v>
      </c>
      <c r="E3298" t="s">
        <v>26</v>
      </c>
      <c r="F3298" t="s">
        <v>14</v>
      </c>
      <c r="G3298">
        <v>32.700000000000003</v>
      </c>
      <c r="H3298" t="s">
        <v>21</v>
      </c>
      <c r="I3298" t="s">
        <v>16</v>
      </c>
      <c r="J3298" t="s">
        <v>23</v>
      </c>
    </row>
    <row r="3299" spans="1:10" x14ac:dyDescent="0.35">
      <c r="A3299" t="s">
        <v>3488</v>
      </c>
      <c r="B3299" s="1">
        <v>46258</v>
      </c>
      <c r="C3299" t="s">
        <v>111</v>
      </c>
      <c r="D3299" t="s">
        <v>12</v>
      </c>
      <c r="E3299" t="s">
        <v>26</v>
      </c>
      <c r="F3299" t="s">
        <v>14</v>
      </c>
      <c r="G3299">
        <v>102.97</v>
      </c>
      <c r="H3299" t="s">
        <v>15</v>
      </c>
      <c r="I3299" t="s">
        <v>36</v>
      </c>
      <c r="J3299" t="s">
        <v>23</v>
      </c>
    </row>
    <row r="3300" spans="1:10" x14ac:dyDescent="0.35">
      <c r="A3300" t="s">
        <v>3489</v>
      </c>
      <c r="B3300" s="1">
        <v>46258</v>
      </c>
      <c r="C3300" t="s">
        <v>194</v>
      </c>
      <c r="D3300" t="s">
        <v>101</v>
      </c>
      <c r="E3300" t="s">
        <v>136</v>
      </c>
      <c r="F3300" t="s">
        <v>14</v>
      </c>
      <c r="G3300">
        <v>47.26</v>
      </c>
      <c r="H3300" t="s">
        <v>98</v>
      </c>
      <c r="I3300" t="s">
        <v>47</v>
      </c>
      <c r="J3300" t="s">
        <v>103</v>
      </c>
    </row>
    <row r="3301" spans="1:10" x14ac:dyDescent="0.35">
      <c r="A3301" t="s">
        <v>3490</v>
      </c>
      <c r="B3301" s="1">
        <v>46258</v>
      </c>
      <c r="C3301" t="s">
        <v>253</v>
      </c>
      <c r="D3301" t="s">
        <v>29</v>
      </c>
      <c r="E3301" t="s">
        <v>30</v>
      </c>
      <c r="F3301" t="s">
        <v>14</v>
      </c>
      <c r="G3301">
        <v>71.45</v>
      </c>
      <c r="H3301" t="s">
        <v>98</v>
      </c>
      <c r="I3301" t="s">
        <v>22</v>
      </c>
      <c r="J3301" t="s">
        <v>158</v>
      </c>
    </row>
    <row r="3302" spans="1:10" x14ac:dyDescent="0.35">
      <c r="A3302" t="s">
        <v>3491</v>
      </c>
      <c r="B3302" s="1">
        <v>46258</v>
      </c>
      <c r="C3302" t="s">
        <v>111</v>
      </c>
      <c r="D3302" t="s">
        <v>12</v>
      </c>
      <c r="E3302" t="s">
        <v>26</v>
      </c>
      <c r="F3302" t="s">
        <v>14</v>
      </c>
      <c r="G3302">
        <v>48</v>
      </c>
      <c r="H3302" t="s">
        <v>98</v>
      </c>
      <c r="I3302" t="s">
        <v>22</v>
      </c>
      <c r="J3302" t="s">
        <v>23</v>
      </c>
    </row>
    <row r="3303" spans="1:10" x14ac:dyDescent="0.35">
      <c r="A3303" t="s">
        <v>3492</v>
      </c>
      <c r="B3303" s="1">
        <v>46258</v>
      </c>
      <c r="C3303" t="s">
        <v>331</v>
      </c>
      <c r="D3303" t="s">
        <v>29</v>
      </c>
      <c r="E3303" t="s">
        <v>95</v>
      </c>
      <c r="F3303" t="s">
        <v>14</v>
      </c>
      <c r="G3303">
        <v>23.92</v>
      </c>
      <c r="H3303" t="s">
        <v>15</v>
      </c>
      <c r="I3303" t="s">
        <v>36</v>
      </c>
      <c r="J3303" t="s">
        <v>151</v>
      </c>
    </row>
    <row r="3304" spans="1:10" x14ac:dyDescent="0.35">
      <c r="A3304" t="s">
        <v>3493</v>
      </c>
      <c r="B3304" s="1">
        <v>46258</v>
      </c>
      <c r="C3304" t="s">
        <v>155</v>
      </c>
      <c r="D3304" t="s">
        <v>12</v>
      </c>
      <c r="E3304" t="s">
        <v>51</v>
      </c>
      <c r="F3304" t="s">
        <v>14</v>
      </c>
      <c r="G3304">
        <v>39.25</v>
      </c>
      <c r="H3304" t="s">
        <v>15</v>
      </c>
      <c r="I3304" t="s">
        <v>22</v>
      </c>
      <c r="J3304" t="s">
        <v>48</v>
      </c>
    </row>
    <row r="3305" spans="1:10" x14ac:dyDescent="0.35">
      <c r="A3305" t="s">
        <v>3494</v>
      </c>
      <c r="B3305" s="1">
        <v>46258</v>
      </c>
      <c r="C3305" t="s">
        <v>253</v>
      </c>
      <c r="D3305" t="s">
        <v>29</v>
      </c>
      <c r="E3305" t="s">
        <v>30</v>
      </c>
      <c r="F3305" t="s">
        <v>14</v>
      </c>
      <c r="G3305">
        <v>11.45</v>
      </c>
      <c r="H3305" t="s">
        <v>21</v>
      </c>
      <c r="I3305" t="s">
        <v>47</v>
      </c>
      <c r="J3305" t="s">
        <v>158</v>
      </c>
    </row>
    <row r="3306" spans="1:10" x14ac:dyDescent="0.35">
      <c r="A3306" t="s">
        <v>3495</v>
      </c>
      <c r="B3306" s="1">
        <v>46258</v>
      </c>
      <c r="C3306" t="s">
        <v>210</v>
      </c>
      <c r="D3306" t="s">
        <v>59</v>
      </c>
      <c r="E3306" t="s">
        <v>185</v>
      </c>
      <c r="F3306" t="s">
        <v>14</v>
      </c>
      <c r="G3306">
        <v>199.97</v>
      </c>
      <c r="H3306" t="s">
        <v>98</v>
      </c>
      <c r="I3306" t="s">
        <v>47</v>
      </c>
      <c r="J3306" t="s">
        <v>211</v>
      </c>
    </row>
    <row r="3307" spans="1:10" x14ac:dyDescent="0.35">
      <c r="A3307" t="s">
        <v>3496</v>
      </c>
      <c r="B3307" s="1">
        <v>46258</v>
      </c>
      <c r="C3307" t="s">
        <v>177</v>
      </c>
      <c r="D3307" t="s">
        <v>54</v>
      </c>
      <c r="E3307" t="s">
        <v>74</v>
      </c>
      <c r="F3307" t="s">
        <v>54</v>
      </c>
      <c r="G3307">
        <v>2897.12</v>
      </c>
      <c r="H3307" t="s">
        <v>15</v>
      </c>
      <c r="I3307" t="s">
        <v>22</v>
      </c>
      <c r="J3307" t="s">
        <v>56</v>
      </c>
    </row>
    <row r="3308" spans="1:10" x14ac:dyDescent="0.35">
      <c r="A3308" t="s">
        <v>3497</v>
      </c>
      <c r="B3308" s="1">
        <v>46259</v>
      </c>
      <c r="C3308" t="s">
        <v>25</v>
      </c>
      <c r="D3308" t="s">
        <v>12</v>
      </c>
      <c r="E3308" t="s">
        <v>26</v>
      </c>
      <c r="F3308" t="s">
        <v>14</v>
      </c>
      <c r="G3308">
        <v>112.22</v>
      </c>
      <c r="H3308" t="s">
        <v>15</v>
      </c>
      <c r="I3308" t="s">
        <v>16</v>
      </c>
      <c r="J3308" t="s">
        <v>17</v>
      </c>
    </row>
    <row r="3309" spans="1:10" x14ac:dyDescent="0.35">
      <c r="A3309" t="s">
        <v>3498</v>
      </c>
      <c r="B3309" s="1">
        <v>46259</v>
      </c>
      <c r="C3309" t="s">
        <v>121</v>
      </c>
      <c r="D3309" t="s">
        <v>34</v>
      </c>
      <c r="E3309" t="s">
        <v>122</v>
      </c>
      <c r="F3309" t="s">
        <v>14</v>
      </c>
      <c r="G3309">
        <v>181.89</v>
      </c>
      <c r="H3309" t="s">
        <v>21</v>
      </c>
      <c r="I3309" t="s">
        <v>47</v>
      </c>
      <c r="J3309" t="s">
        <v>123</v>
      </c>
    </row>
    <row r="3310" spans="1:10" x14ac:dyDescent="0.35">
      <c r="A3310" t="s">
        <v>3499</v>
      </c>
      <c r="B3310" s="1">
        <v>46259</v>
      </c>
      <c r="C3310" t="s">
        <v>415</v>
      </c>
      <c r="D3310" t="s">
        <v>12</v>
      </c>
      <c r="E3310" t="s">
        <v>51</v>
      </c>
      <c r="F3310" t="s">
        <v>14</v>
      </c>
      <c r="G3310">
        <v>14.13</v>
      </c>
      <c r="H3310" t="s">
        <v>15</v>
      </c>
      <c r="I3310" t="s">
        <v>36</v>
      </c>
      <c r="J3310" t="s">
        <v>77</v>
      </c>
    </row>
    <row r="3311" spans="1:10" x14ac:dyDescent="0.35">
      <c r="A3311" t="s">
        <v>3500</v>
      </c>
      <c r="B3311" s="1">
        <v>46259</v>
      </c>
      <c r="C3311" t="s">
        <v>281</v>
      </c>
      <c r="D3311" t="s">
        <v>34</v>
      </c>
      <c r="E3311" t="s">
        <v>40</v>
      </c>
      <c r="F3311" t="s">
        <v>14</v>
      </c>
      <c r="G3311">
        <v>167.72</v>
      </c>
      <c r="H3311" t="s">
        <v>15</v>
      </c>
      <c r="I3311" t="s">
        <v>22</v>
      </c>
      <c r="J3311" t="s">
        <v>123</v>
      </c>
    </row>
    <row r="3312" spans="1:10" x14ac:dyDescent="0.35">
      <c r="A3312" t="s">
        <v>3501</v>
      </c>
      <c r="B3312" s="1">
        <v>46259</v>
      </c>
      <c r="C3312" t="s">
        <v>248</v>
      </c>
      <c r="D3312" t="s">
        <v>80</v>
      </c>
      <c r="E3312" t="s">
        <v>81</v>
      </c>
      <c r="F3312" t="s">
        <v>14</v>
      </c>
      <c r="G3312">
        <v>65.81</v>
      </c>
      <c r="H3312" t="s">
        <v>21</v>
      </c>
      <c r="I3312" t="s">
        <v>36</v>
      </c>
      <c r="J3312" t="s">
        <v>161</v>
      </c>
    </row>
    <row r="3313" spans="1:10" x14ac:dyDescent="0.35">
      <c r="A3313" t="s">
        <v>3502</v>
      </c>
      <c r="B3313" s="1">
        <v>46259</v>
      </c>
      <c r="C3313" t="s">
        <v>256</v>
      </c>
      <c r="D3313" t="s">
        <v>34</v>
      </c>
      <c r="E3313" t="s">
        <v>40</v>
      </c>
      <c r="F3313" t="s">
        <v>14</v>
      </c>
      <c r="G3313">
        <v>229.72</v>
      </c>
      <c r="H3313" t="s">
        <v>15</v>
      </c>
      <c r="I3313" t="s">
        <v>36</v>
      </c>
      <c r="J3313" t="s">
        <v>239</v>
      </c>
    </row>
    <row r="3314" spans="1:10" x14ac:dyDescent="0.35">
      <c r="A3314" t="s">
        <v>3503</v>
      </c>
      <c r="B3314" s="1">
        <v>46259</v>
      </c>
      <c r="C3314" t="s">
        <v>298</v>
      </c>
      <c r="D3314" t="s">
        <v>59</v>
      </c>
      <c r="E3314" t="s">
        <v>185</v>
      </c>
      <c r="F3314" t="s">
        <v>14</v>
      </c>
      <c r="G3314">
        <v>127.4</v>
      </c>
      <c r="H3314" t="s">
        <v>15</v>
      </c>
      <c r="I3314" t="s">
        <v>22</v>
      </c>
      <c r="J3314" t="s">
        <v>170</v>
      </c>
    </row>
    <row r="3315" spans="1:10" x14ac:dyDescent="0.35">
      <c r="A3315" t="s">
        <v>3504</v>
      </c>
      <c r="B3315" s="1">
        <v>46259</v>
      </c>
      <c r="C3315" t="s">
        <v>63</v>
      </c>
      <c r="D3315" t="s">
        <v>54</v>
      </c>
      <c r="E3315" t="s">
        <v>64</v>
      </c>
      <c r="F3315" t="s">
        <v>54</v>
      </c>
      <c r="G3315">
        <v>332.91</v>
      </c>
      <c r="H3315" t="s">
        <v>15</v>
      </c>
      <c r="I3315" t="s">
        <v>84</v>
      </c>
      <c r="J3315" t="s">
        <v>65</v>
      </c>
    </row>
    <row r="3316" spans="1:10" x14ac:dyDescent="0.35">
      <c r="A3316" t="s">
        <v>3505</v>
      </c>
      <c r="B3316" s="1">
        <v>46260</v>
      </c>
      <c r="C3316" t="s">
        <v>33</v>
      </c>
      <c r="D3316" t="s">
        <v>34</v>
      </c>
      <c r="E3316" t="s">
        <v>35</v>
      </c>
      <c r="F3316" t="s">
        <v>14</v>
      </c>
      <c r="G3316">
        <v>48.2</v>
      </c>
      <c r="H3316" t="s">
        <v>15</v>
      </c>
      <c r="I3316" t="s">
        <v>22</v>
      </c>
      <c r="J3316" t="s">
        <v>37</v>
      </c>
    </row>
    <row r="3317" spans="1:10" x14ac:dyDescent="0.35">
      <c r="A3317" t="s">
        <v>3506</v>
      </c>
      <c r="B3317" s="1">
        <v>46260</v>
      </c>
      <c r="C3317" t="s">
        <v>177</v>
      </c>
      <c r="D3317" t="s">
        <v>54</v>
      </c>
      <c r="E3317" t="s">
        <v>74</v>
      </c>
      <c r="F3317" t="s">
        <v>54</v>
      </c>
      <c r="G3317">
        <v>2685.13</v>
      </c>
      <c r="H3317" t="s">
        <v>21</v>
      </c>
      <c r="I3317" t="s">
        <v>36</v>
      </c>
      <c r="J3317" t="s">
        <v>56</v>
      </c>
    </row>
    <row r="3318" spans="1:10" x14ac:dyDescent="0.35">
      <c r="A3318" t="s">
        <v>3507</v>
      </c>
      <c r="B3318" s="1">
        <v>46260</v>
      </c>
      <c r="C3318" t="s">
        <v>1491</v>
      </c>
      <c r="D3318" t="s">
        <v>69</v>
      </c>
      <c r="E3318" t="s">
        <v>233</v>
      </c>
      <c r="F3318" t="s">
        <v>14</v>
      </c>
      <c r="G3318">
        <v>386.29</v>
      </c>
      <c r="H3318" t="s">
        <v>21</v>
      </c>
      <c r="I3318" t="s">
        <v>22</v>
      </c>
      <c r="J3318" t="s">
        <v>396</v>
      </c>
    </row>
    <row r="3319" spans="1:10" x14ac:dyDescent="0.35">
      <c r="A3319" t="s">
        <v>3508</v>
      </c>
      <c r="B3319" s="1">
        <v>46260</v>
      </c>
      <c r="C3319" t="s">
        <v>33</v>
      </c>
      <c r="D3319" t="s">
        <v>34</v>
      </c>
      <c r="E3319" t="s">
        <v>35</v>
      </c>
      <c r="F3319" t="s">
        <v>14</v>
      </c>
      <c r="G3319">
        <v>112.01</v>
      </c>
      <c r="H3319" t="s">
        <v>15</v>
      </c>
      <c r="I3319" t="s">
        <v>36</v>
      </c>
      <c r="J3319" t="s">
        <v>37</v>
      </c>
    </row>
    <row r="3320" spans="1:10" x14ac:dyDescent="0.35">
      <c r="A3320" t="s">
        <v>3509</v>
      </c>
      <c r="B3320" s="1">
        <v>46260</v>
      </c>
      <c r="C3320" t="s">
        <v>267</v>
      </c>
      <c r="D3320" t="s">
        <v>29</v>
      </c>
      <c r="E3320" t="s">
        <v>30</v>
      </c>
      <c r="F3320" t="s">
        <v>14</v>
      </c>
      <c r="G3320">
        <v>27.67</v>
      </c>
      <c r="H3320" t="s">
        <v>15</v>
      </c>
      <c r="I3320" t="s">
        <v>22</v>
      </c>
      <c r="J3320" t="s">
        <v>96</v>
      </c>
    </row>
    <row r="3321" spans="1:10" x14ac:dyDescent="0.35">
      <c r="A3321" t="s">
        <v>3510</v>
      </c>
      <c r="B3321" s="1">
        <v>46261</v>
      </c>
      <c r="C3321" t="s">
        <v>143</v>
      </c>
      <c r="D3321" t="s">
        <v>54</v>
      </c>
      <c r="E3321" t="s">
        <v>55</v>
      </c>
      <c r="F3321" t="s">
        <v>54</v>
      </c>
      <c r="G3321">
        <v>644.22</v>
      </c>
      <c r="H3321" t="s">
        <v>21</v>
      </c>
      <c r="I3321" t="s">
        <v>22</v>
      </c>
      <c r="J3321" t="s">
        <v>89</v>
      </c>
    </row>
    <row r="3322" spans="1:10" x14ac:dyDescent="0.35">
      <c r="A3322" t="s">
        <v>3511</v>
      </c>
      <c r="B3322" s="1">
        <v>46261</v>
      </c>
      <c r="C3322" t="s">
        <v>215</v>
      </c>
      <c r="D3322" t="s">
        <v>80</v>
      </c>
      <c r="E3322" t="s">
        <v>117</v>
      </c>
      <c r="F3322" t="s">
        <v>14</v>
      </c>
      <c r="G3322">
        <v>118.35</v>
      </c>
      <c r="H3322" t="s">
        <v>98</v>
      </c>
      <c r="I3322" t="s">
        <v>36</v>
      </c>
      <c r="J3322" t="s">
        <v>141</v>
      </c>
    </row>
    <row r="3323" spans="1:10" x14ac:dyDescent="0.35">
      <c r="A3323" t="s">
        <v>3512</v>
      </c>
      <c r="B3323" s="1">
        <v>46261</v>
      </c>
      <c r="C3323" t="s">
        <v>19</v>
      </c>
      <c r="D3323" t="s">
        <v>12</v>
      </c>
      <c r="E3323" t="s">
        <v>13</v>
      </c>
      <c r="F3323" t="s">
        <v>14</v>
      </c>
      <c r="G3323">
        <v>29.59</v>
      </c>
      <c r="H3323" t="s">
        <v>98</v>
      </c>
      <c r="I3323" t="s">
        <v>22</v>
      </c>
      <c r="J3323" t="s">
        <v>23</v>
      </c>
    </row>
    <row r="3324" spans="1:10" x14ac:dyDescent="0.35">
      <c r="A3324" t="s">
        <v>3513</v>
      </c>
      <c r="B3324" s="1">
        <v>46261</v>
      </c>
      <c r="C3324" t="s">
        <v>177</v>
      </c>
      <c r="D3324" t="s">
        <v>54</v>
      </c>
      <c r="E3324" t="s">
        <v>74</v>
      </c>
      <c r="F3324" t="s">
        <v>54</v>
      </c>
      <c r="G3324">
        <v>2474.2800000000002</v>
      </c>
      <c r="H3324" t="s">
        <v>15</v>
      </c>
      <c r="I3324" t="s">
        <v>22</v>
      </c>
      <c r="J3324" t="s">
        <v>56</v>
      </c>
    </row>
    <row r="3325" spans="1:10" x14ac:dyDescent="0.35">
      <c r="A3325" t="s">
        <v>3514</v>
      </c>
      <c r="B3325" s="1">
        <v>46261</v>
      </c>
      <c r="C3325" t="s">
        <v>734</v>
      </c>
      <c r="D3325" t="s">
        <v>69</v>
      </c>
      <c r="E3325" t="s">
        <v>291</v>
      </c>
      <c r="F3325" t="s">
        <v>14</v>
      </c>
      <c r="G3325">
        <v>997.69</v>
      </c>
      <c r="H3325" t="s">
        <v>15</v>
      </c>
      <c r="I3325" t="s">
        <v>36</v>
      </c>
      <c r="J3325" t="s">
        <v>71</v>
      </c>
    </row>
    <row r="3326" spans="1:10" x14ac:dyDescent="0.35">
      <c r="A3326" t="s">
        <v>3515</v>
      </c>
      <c r="B3326" s="1">
        <v>46261</v>
      </c>
      <c r="C3326" t="s">
        <v>53</v>
      </c>
      <c r="D3326" t="s">
        <v>54</v>
      </c>
      <c r="E3326" t="s">
        <v>55</v>
      </c>
      <c r="F3326" t="s">
        <v>54</v>
      </c>
      <c r="G3326">
        <v>696.35</v>
      </c>
      <c r="H3326" t="s">
        <v>15</v>
      </c>
      <c r="I3326" t="s">
        <v>22</v>
      </c>
      <c r="J3326" t="s">
        <v>56</v>
      </c>
    </row>
    <row r="3327" spans="1:10" x14ac:dyDescent="0.35">
      <c r="A3327" t="s">
        <v>3516</v>
      </c>
      <c r="B3327" s="1">
        <v>46261</v>
      </c>
      <c r="C3327" t="s">
        <v>248</v>
      </c>
      <c r="D3327" t="s">
        <v>80</v>
      </c>
      <c r="E3327" t="s">
        <v>81</v>
      </c>
      <c r="F3327" t="s">
        <v>14</v>
      </c>
      <c r="G3327">
        <v>28.76</v>
      </c>
      <c r="H3327" t="s">
        <v>15</v>
      </c>
      <c r="I3327" t="s">
        <v>84</v>
      </c>
      <c r="J3327" t="s">
        <v>161</v>
      </c>
    </row>
    <row r="3328" spans="1:10" x14ac:dyDescent="0.35">
      <c r="A3328" t="s">
        <v>3517</v>
      </c>
      <c r="B3328" s="1">
        <v>46262</v>
      </c>
      <c r="C3328" t="s">
        <v>256</v>
      </c>
      <c r="D3328" t="s">
        <v>34</v>
      </c>
      <c r="E3328" t="s">
        <v>40</v>
      </c>
      <c r="F3328" t="s">
        <v>14</v>
      </c>
      <c r="G3328">
        <v>141.49</v>
      </c>
      <c r="H3328" t="s">
        <v>15</v>
      </c>
      <c r="I3328" t="s">
        <v>47</v>
      </c>
      <c r="J3328" t="s">
        <v>239</v>
      </c>
    </row>
    <row r="3329" spans="1:10" x14ac:dyDescent="0.35">
      <c r="A3329" t="s">
        <v>3518</v>
      </c>
      <c r="B3329" s="1">
        <v>46262</v>
      </c>
      <c r="C3329" t="s">
        <v>155</v>
      </c>
      <c r="D3329" t="s">
        <v>12</v>
      </c>
      <c r="E3329" t="s">
        <v>51</v>
      </c>
      <c r="F3329" t="s">
        <v>14</v>
      </c>
      <c r="G3329">
        <v>95.02</v>
      </c>
      <c r="H3329" t="s">
        <v>98</v>
      </c>
      <c r="I3329" t="s">
        <v>47</v>
      </c>
      <c r="J3329" t="s">
        <v>48</v>
      </c>
    </row>
    <row r="3330" spans="1:10" x14ac:dyDescent="0.35">
      <c r="A3330" t="s">
        <v>3519</v>
      </c>
      <c r="B3330" s="1">
        <v>46262</v>
      </c>
      <c r="C3330" t="s">
        <v>572</v>
      </c>
      <c r="D3330" t="s">
        <v>69</v>
      </c>
      <c r="E3330" t="s">
        <v>233</v>
      </c>
      <c r="F3330" t="s">
        <v>14</v>
      </c>
      <c r="G3330">
        <v>458.67</v>
      </c>
      <c r="H3330" t="s">
        <v>15</v>
      </c>
      <c r="I3330" t="s">
        <v>22</v>
      </c>
      <c r="J3330" t="s">
        <v>292</v>
      </c>
    </row>
    <row r="3331" spans="1:10" x14ac:dyDescent="0.35">
      <c r="A3331" t="s">
        <v>3520</v>
      </c>
      <c r="B3331" s="1">
        <v>46262</v>
      </c>
      <c r="C3331" t="s">
        <v>251</v>
      </c>
      <c r="D3331" t="s">
        <v>29</v>
      </c>
      <c r="E3331" t="s">
        <v>151</v>
      </c>
      <c r="F3331" t="s">
        <v>14</v>
      </c>
      <c r="G3331">
        <v>59.51</v>
      </c>
      <c r="H3331" t="s">
        <v>15</v>
      </c>
      <c r="I3331" t="s">
        <v>16</v>
      </c>
      <c r="J3331" t="s">
        <v>31</v>
      </c>
    </row>
    <row r="3332" spans="1:10" x14ac:dyDescent="0.35">
      <c r="A3332" t="s">
        <v>3521</v>
      </c>
      <c r="B3332" s="1">
        <v>46263</v>
      </c>
      <c r="C3332" t="s">
        <v>28</v>
      </c>
      <c r="D3332" t="s">
        <v>29</v>
      </c>
      <c r="E3332" t="s">
        <v>30</v>
      </c>
      <c r="F3332" t="s">
        <v>14</v>
      </c>
      <c r="G3332">
        <v>13.74</v>
      </c>
      <c r="H3332" t="s">
        <v>15</v>
      </c>
      <c r="I3332" t="s">
        <v>36</v>
      </c>
      <c r="J3332" t="s">
        <v>31</v>
      </c>
    </row>
    <row r="3333" spans="1:10" x14ac:dyDescent="0.35">
      <c r="A3333" t="s">
        <v>3522</v>
      </c>
      <c r="B3333" s="1">
        <v>46263</v>
      </c>
      <c r="C3333" t="s">
        <v>168</v>
      </c>
      <c r="D3333" t="s">
        <v>59</v>
      </c>
      <c r="E3333" t="s">
        <v>60</v>
      </c>
      <c r="F3333" t="s">
        <v>14</v>
      </c>
      <c r="G3333">
        <v>328.9</v>
      </c>
      <c r="H3333" t="s">
        <v>21</v>
      </c>
      <c r="I3333" t="s">
        <v>22</v>
      </c>
      <c r="J3333" t="s">
        <v>170</v>
      </c>
    </row>
    <row r="3334" spans="1:10" x14ac:dyDescent="0.35">
      <c r="A3334" t="s">
        <v>3523</v>
      </c>
      <c r="B3334" s="1">
        <v>46263</v>
      </c>
      <c r="C3334" t="s">
        <v>298</v>
      </c>
      <c r="D3334" t="s">
        <v>59</v>
      </c>
      <c r="E3334" t="s">
        <v>185</v>
      </c>
      <c r="F3334" t="s">
        <v>14</v>
      </c>
      <c r="G3334">
        <v>383.16</v>
      </c>
      <c r="H3334" t="s">
        <v>21</v>
      </c>
      <c r="I3334" t="s">
        <v>47</v>
      </c>
      <c r="J3334" t="s">
        <v>170</v>
      </c>
    </row>
    <row r="3335" spans="1:10" x14ac:dyDescent="0.35">
      <c r="A3335" t="s">
        <v>3524</v>
      </c>
      <c r="B3335" s="1">
        <v>46263</v>
      </c>
      <c r="C3335" t="s">
        <v>238</v>
      </c>
      <c r="D3335" t="s">
        <v>34</v>
      </c>
      <c r="E3335" t="s">
        <v>35</v>
      </c>
      <c r="F3335" t="s">
        <v>14</v>
      </c>
      <c r="G3335">
        <v>318.88</v>
      </c>
      <c r="H3335" t="s">
        <v>15</v>
      </c>
      <c r="I3335" t="s">
        <v>36</v>
      </c>
      <c r="J3335" t="s">
        <v>239</v>
      </c>
    </row>
    <row r="3336" spans="1:10" x14ac:dyDescent="0.35">
      <c r="A3336" t="s">
        <v>3525</v>
      </c>
      <c r="B3336" s="1">
        <v>46263</v>
      </c>
      <c r="C3336" t="s">
        <v>243</v>
      </c>
      <c r="D3336" t="s">
        <v>101</v>
      </c>
      <c r="E3336" t="s">
        <v>244</v>
      </c>
      <c r="F3336" t="s">
        <v>14</v>
      </c>
      <c r="G3336">
        <v>42.1</v>
      </c>
      <c r="H3336" t="s">
        <v>15</v>
      </c>
      <c r="I3336" t="s">
        <v>36</v>
      </c>
      <c r="J3336" t="s">
        <v>102</v>
      </c>
    </row>
    <row r="3337" spans="1:10" x14ac:dyDescent="0.35">
      <c r="A3337" t="s">
        <v>3526</v>
      </c>
      <c r="B3337" s="1">
        <v>46263</v>
      </c>
      <c r="C3337" t="s">
        <v>143</v>
      </c>
      <c r="D3337" t="s">
        <v>54</v>
      </c>
      <c r="E3337" t="s">
        <v>55</v>
      </c>
      <c r="F3337" t="s">
        <v>54</v>
      </c>
      <c r="G3337">
        <v>700.29</v>
      </c>
      <c r="H3337" t="s">
        <v>15</v>
      </c>
      <c r="I3337" t="s">
        <v>16</v>
      </c>
      <c r="J3337" t="s">
        <v>89</v>
      </c>
    </row>
    <row r="3338" spans="1:10" x14ac:dyDescent="0.35">
      <c r="A3338" t="s">
        <v>3527</v>
      </c>
      <c r="B3338" s="1">
        <v>46263</v>
      </c>
      <c r="C3338" t="s">
        <v>153</v>
      </c>
      <c r="D3338" t="s">
        <v>34</v>
      </c>
      <c r="E3338" t="s">
        <v>122</v>
      </c>
      <c r="F3338" t="s">
        <v>14</v>
      </c>
      <c r="G3338">
        <v>83.64</v>
      </c>
      <c r="H3338" t="s">
        <v>15</v>
      </c>
      <c r="I3338" t="s">
        <v>22</v>
      </c>
      <c r="J3338" t="s">
        <v>41</v>
      </c>
    </row>
    <row r="3339" spans="1:10" x14ac:dyDescent="0.35">
      <c r="A3339" t="s">
        <v>3528</v>
      </c>
      <c r="B3339" s="1">
        <v>46264</v>
      </c>
      <c r="C3339" t="s">
        <v>125</v>
      </c>
      <c r="D3339" t="s">
        <v>12</v>
      </c>
      <c r="E3339" t="s">
        <v>13</v>
      </c>
      <c r="F3339" t="s">
        <v>14</v>
      </c>
      <c r="G3339">
        <v>21.35</v>
      </c>
      <c r="H3339" t="s">
        <v>21</v>
      </c>
      <c r="I3339" t="s">
        <v>22</v>
      </c>
      <c r="J3339" t="s">
        <v>44</v>
      </c>
    </row>
    <row r="3340" spans="1:10" x14ac:dyDescent="0.35">
      <c r="A3340" t="s">
        <v>3529</v>
      </c>
      <c r="B3340" s="1">
        <v>46264</v>
      </c>
      <c r="C3340" t="s">
        <v>415</v>
      </c>
      <c r="D3340" t="s">
        <v>12</v>
      </c>
      <c r="E3340" t="s">
        <v>51</v>
      </c>
      <c r="F3340" t="s">
        <v>14</v>
      </c>
      <c r="G3340">
        <v>15.49</v>
      </c>
      <c r="H3340" t="s">
        <v>15</v>
      </c>
      <c r="I3340" t="s">
        <v>36</v>
      </c>
      <c r="J3340" t="s">
        <v>77</v>
      </c>
    </row>
    <row r="3341" spans="1:10" x14ac:dyDescent="0.35">
      <c r="A3341" t="s">
        <v>3530</v>
      </c>
      <c r="B3341" s="1">
        <v>46264</v>
      </c>
      <c r="C3341" t="s">
        <v>308</v>
      </c>
      <c r="D3341" t="s">
        <v>54</v>
      </c>
      <c r="E3341" t="s">
        <v>64</v>
      </c>
      <c r="F3341" t="s">
        <v>54</v>
      </c>
      <c r="G3341">
        <v>331.52</v>
      </c>
      <c r="H3341" t="s">
        <v>15</v>
      </c>
      <c r="I3341" t="s">
        <v>36</v>
      </c>
      <c r="J3341" t="s">
        <v>89</v>
      </c>
    </row>
    <row r="3342" spans="1:10" x14ac:dyDescent="0.35">
      <c r="A3342" t="s">
        <v>3531</v>
      </c>
      <c r="B3342" s="1">
        <v>46264</v>
      </c>
      <c r="C3342" t="s">
        <v>259</v>
      </c>
      <c r="D3342" t="s">
        <v>59</v>
      </c>
      <c r="E3342" t="s">
        <v>199</v>
      </c>
      <c r="F3342" t="s">
        <v>14</v>
      </c>
      <c r="G3342">
        <v>127.55</v>
      </c>
      <c r="H3342" t="s">
        <v>98</v>
      </c>
      <c r="I3342" t="s">
        <v>16</v>
      </c>
      <c r="J3342" t="s">
        <v>170</v>
      </c>
    </row>
    <row r="3343" spans="1:10" x14ac:dyDescent="0.35">
      <c r="A3343" t="s">
        <v>3532</v>
      </c>
      <c r="B3343" s="1">
        <v>46265</v>
      </c>
      <c r="C3343" t="s">
        <v>33</v>
      </c>
      <c r="D3343" t="s">
        <v>34</v>
      </c>
      <c r="E3343" t="s">
        <v>35</v>
      </c>
      <c r="F3343" t="s">
        <v>14</v>
      </c>
      <c r="G3343">
        <v>195.92</v>
      </c>
      <c r="H3343" t="s">
        <v>15</v>
      </c>
      <c r="I3343" t="s">
        <v>47</v>
      </c>
      <c r="J3343" t="s">
        <v>37</v>
      </c>
    </row>
    <row r="3344" spans="1:10" x14ac:dyDescent="0.35">
      <c r="A3344" t="s">
        <v>3533</v>
      </c>
      <c r="B3344" s="1">
        <v>46265</v>
      </c>
      <c r="C3344" t="s">
        <v>206</v>
      </c>
      <c r="D3344" t="s">
        <v>29</v>
      </c>
      <c r="E3344" t="s">
        <v>95</v>
      </c>
      <c r="F3344" t="s">
        <v>14</v>
      </c>
      <c r="G3344">
        <v>73.53</v>
      </c>
      <c r="H3344" t="s">
        <v>15</v>
      </c>
      <c r="I3344" t="s">
        <v>36</v>
      </c>
      <c r="J3344" t="s">
        <v>31</v>
      </c>
    </row>
    <row r="3345" spans="1:10" x14ac:dyDescent="0.35">
      <c r="A3345" t="s">
        <v>3534</v>
      </c>
      <c r="B3345" s="1">
        <v>46265</v>
      </c>
      <c r="C3345" t="s">
        <v>88</v>
      </c>
      <c r="D3345" t="s">
        <v>54</v>
      </c>
      <c r="E3345" t="s">
        <v>74</v>
      </c>
      <c r="F3345" t="s">
        <v>54</v>
      </c>
      <c r="G3345">
        <v>2263.9499999999998</v>
      </c>
      <c r="H3345" t="s">
        <v>15</v>
      </c>
      <c r="I3345" t="s">
        <v>36</v>
      </c>
      <c r="J3345" t="s">
        <v>89</v>
      </c>
    </row>
    <row r="3346" spans="1:10" x14ac:dyDescent="0.35">
      <c r="A3346" t="s">
        <v>3535</v>
      </c>
      <c r="B3346" s="1">
        <v>46265</v>
      </c>
      <c r="C3346" t="s">
        <v>63</v>
      </c>
      <c r="D3346" t="s">
        <v>54</v>
      </c>
      <c r="E3346" t="s">
        <v>64</v>
      </c>
      <c r="F3346" t="s">
        <v>54</v>
      </c>
      <c r="G3346">
        <v>384.95</v>
      </c>
      <c r="H3346" t="s">
        <v>15</v>
      </c>
      <c r="I3346" t="s">
        <v>47</v>
      </c>
      <c r="J3346" t="s">
        <v>65</v>
      </c>
    </row>
    <row r="3347" spans="1:10" x14ac:dyDescent="0.35">
      <c r="A3347" t="s">
        <v>3536</v>
      </c>
      <c r="B3347" s="1">
        <v>46265</v>
      </c>
      <c r="C3347" t="s">
        <v>572</v>
      </c>
      <c r="D3347" t="s">
        <v>69</v>
      </c>
      <c r="E3347" t="s">
        <v>233</v>
      </c>
      <c r="F3347" t="s">
        <v>14</v>
      </c>
      <c r="G3347">
        <v>211.09</v>
      </c>
      <c r="H3347" t="s">
        <v>15</v>
      </c>
      <c r="I3347" t="s">
        <v>22</v>
      </c>
      <c r="J3347" t="s">
        <v>292</v>
      </c>
    </row>
    <row r="3348" spans="1:10" x14ac:dyDescent="0.35">
      <c r="A3348" t="s">
        <v>3537</v>
      </c>
      <c r="B3348" s="1">
        <v>46266</v>
      </c>
      <c r="C3348" t="s">
        <v>184</v>
      </c>
      <c r="D3348" t="s">
        <v>59</v>
      </c>
      <c r="E3348" t="s">
        <v>185</v>
      </c>
      <c r="F3348" t="s">
        <v>14</v>
      </c>
      <c r="G3348">
        <v>550.85</v>
      </c>
      <c r="H3348" t="s">
        <v>15</v>
      </c>
      <c r="I3348" t="s">
        <v>36</v>
      </c>
      <c r="J3348" t="s">
        <v>61</v>
      </c>
    </row>
    <row r="3349" spans="1:10" x14ac:dyDescent="0.35">
      <c r="A3349" t="s">
        <v>3538</v>
      </c>
      <c r="B3349" s="1">
        <v>46266</v>
      </c>
      <c r="C3349" t="s">
        <v>204</v>
      </c>
      <c r="D3349" t="s">
        <v>12</v>
      </c>
      <c r="E3349" t="s">
        <v>51</v>
      </c>
      <c r="F3349" t="s">
        <v>14</v>
      </c>
      <c r="G3349">
        <v>7.5</v>
      </c>
      <c r="H3349" t="s">
        <v>15</v>
      </c>
      <c r="I3349" t="s">
        <v>16</v>
      </c>
      <c r="J3349" t="s">
        <v>23</v>
      </c>
    </row>
    <row r="3350" spans="1:10" x14ac:dyDescent="0.35">
      <c r="A3350" t="s">
        <v>3539</v>
      </c>
      <c r="B3350" s="1">
        <v>46266</v>
      </c>
      <c r="C3350" t="s">
        <v>39</v>
      </c>
      <c r="D3350" t="s">
        <v>34</v>
      </c>
      <c r="E3350" t="s">
        <v>40</v>
      </c>
      <c r="F3350" t="s">
        <v>14</v>
      </c>
      <c r="G3350">
        <v>293.74</v>
      </c>
      <c r="H3350" t="s">
        <v>98</v>
      </c>
      <c r="I3350" t="s">
        <v>22</v>
      </c>
      <c r="J3350" t="s">
        <v>41</v>
      </c>
    </row>
    <row r="3351" spans="1:10" x14ac:dyDescent="0.35">
      <c r="A3351" t="s">
        <v>3540</v>
      </c>
      <c r="B3351" s="1">
        <v>46266</v>
      </c>
      <c r="C3351" t="s">
        <v>177</v>
      </c>
      <c r="D3351" t="s">
        <v>54</v>
      </c>
      <c r="E3351" t="s">
        <v>74</v>
      </c>
      <c r="F3351" t="s">
        <v>54</v>
      </c>
      <c r="G3351">
        <v>2422.48</v>
      </c>
      <c r="H3351" t="s">
        <v>21</v>
      </c>
      <c r="I3351" t="s">
        <v>22</v>
      </c>
      <c r="J3351" t="s">
        <v>56</v>
      </c>
    </row>
    <row r="3352" spans="1:10" x14ac:dyDescent="0.35">
      <c r="A3352" t="s">
        <v>3541</v>
      </c>
      <c r="B3352" s="1">
        <v>46266</v>
      </c>
      <c r="C3352" t="s">
        <v>215</v>
      </c>
      <c r="D3352" t="s">
        <v>80</v>
      </c>
      <c r="E3352" t="s">
        <v>117</v>
      </c>
      <c r="F3352" t="s">
        <v>14</v>
      </c>
      <c r="G3352">
        <v>112.29</v>
      </c>
      <c r="H3352" t="s">
        <v>15</v>
      </c>
      <c r="I3352" t="s">
        <v>22</v>
      </c>
      <c r="J3352" t="s">
        <v>141</v>
      </c>
    </row>
    <row r="3353" spans="1:10" x14ac:dyDescent="0.35">
      <c r="A3353" t="s">
        <v>3542</v>
      </c>
      <c r="B3353" s="1">
        <v>46266</v>
      </c>
      <c r="C3353" t="s">
        <v>347</v>
      </c>
      <c r="D3353" t="s">
        <v>29</v>
      </c>
      <c r="E3353" t="s">
        <v>151</v>
      </c>
      <c r="F3353" t="s">
        <v>14</v>
      </c>
      <c r="G3353">
        <v>78.3</v>
      </c>
      <c r="H3353" t="s">
        <v>15</v>
      </c>
      <c r="I3353" t="s">
        <v>36</v>
      </c>
      <c r="J3353" t="s">
        <v>96</v>
      </c>
    </row>
    <row r="3354" spans="1:10" x14ac:dyDescent="0.35">
      <c r="A3354" t="s">
        <v>3543</v>
      </c>
      <c r="B3354" s="1">
        <v>46267</v>
      </c>
      <c r="C3354" t="s">
        <v>11</v>
      </c>
      <c r="D3354" t="s">
        <v>12</v>
      </c>
      <c r="E3354" t="s">
        <v>13</v>
      </c>
      <c r="F3354" t="s">
        <v>14</v>
      </c>
      <c r="G3354">
        <v>87.18</v>
      </c>
      <c r="H3354" t="s">
        <v>15</v>
      </c>
      <c r="I3354" t="s">
        <v>22</v>
      </c>
      <c r="J3354" t="s">
        <v>17</v>
      </c>
    </row>
    <row r="3355" spans="1:10" x14ac:dyDescent="0.35">
      <c r="A3355" t="s">
        <v>3544</v>
      </c>
      <c r="B3355" s="1">
        <v>46267</v>
      </c>
      <c r="C3355" t="s">
        <v>157</v>
      </c>
      <c r="D3355" t="s">
        <v>29</v>
      </c>
      <c r="E3355" t="s">
        <v>95</v>
      </c>
      <c r="F3355" t="s">
        <v>14</v>
      </c>
      <c r="G3355">
        <v>62.43</v>
      </c>
      <c r="H3355" t="s">
        <v>21</v>
      </c>
      <c r="I3355" t="s">
        <v>36</v>
      </c>
      <c r="J3355" t="s">
        <v>158</v>
      </c>
    </row>
    <row r="3356" spans="1:10" x14ac:dyDescent="0.35">
      <c r="A3356" t="s">
        <v>3545</v>
      </c>
      <c r="B3356" s="1">
        <v>46267</v>
      </c>
      <c r="C3356" t="s">
        <v>210</v>
      </c>
      <c r="D3356" t="s">
        <v>59</v>
      </c>
      <c r="E3356" t="s">
        <v>185</v>
      </c>
      <c r="F3356" t="s">
        <v>14</v>
      </c>
      <c r="G3356">
        <v>320.02999999999997</v>
      </c>
      <c r="H3356" t="s">
        <v>15</v>
      </c>
      <c r="I3356" t="s">
        <v>22</v>
      </c>
      <c r="J3356" t="s">
        <v>211</v>
      </c>
    </row>
    <row r="3357" spans="1:10" x14ac:dyDescent="0.35">
      <c r="A3357" t="s">
        <v>3546</v>
      </c>
      <c r="B3357" s="1">
        <v>46268</v>
      </c>
      <c r="C3357" t="s">
        <v>157</v>
      </c>
      <c r="D3357" t="s">
        <v>29</v>
      </c>
      <c r="E3357" t="s">
        <v>95</v>
      </c>
      <c r="F3357" t="s">
        <v>14</v>
      </c>
      <c r="G3357">
        <v>13.4</v>
      </c>
      <c r="H3357" t="s">
        <v>15</v>
      </c>
      <c r="I3357" t="s">
        <v>47</v>
      </c>
      <c r="J3357" t="s">
        <v>158</v>
      </c>
    </row>
    <row r="3358" spans="1:10" x14ac:dyDescent="0.35">
      <c r="A3358" t="s">
        <v>3547</v>
      </c>
      <c r="B3358" s="1">
        <v>46268</v>
      </c>
      <c r="C3358" t="s">
        <v>184</v>
      </c>
      <c r="D3358" t="s">
        <v>59</v>
      </c>
      <c r="E3358" t="s">
        <v>185</v>
      </c>
      <c r="F3358" t="s">
        <v>14</v>
      </c>
      <c r="G3358">
        <v>242.43</v>
      </c>
      <c r="H3358" t="s">
        <v>21</v>
      </c>
      <c r="I3358" t="s">
        <v>36</v>
      </c>
      <c r="J3358" t="s">
        <v>61</v>
      </c>
    </row>
    <row r="3359" spans="1:10" x14ac:dyDescent="0.35">
      <c r="A3359" t="s">
        <v>3548</v>
      </c>
      <c r="B3359" s="1">
        <v>46268</v>
      </c>
      <c r="C3359" t="s">
        <v>198</v>
      </c>
      <c r="D3359" t="s">
        <v>59</v>
      </c>
      <c r="E3359" t="s">
        <v>199</v>
      </c>
      <c r="F3359" t="s">
        <v>14</v>
      </c>
      <c r="G3359">
        <v>950</v>
      </c>
      <c r="H3359" t="s">
        <v>21</v>
      </c>
      <c r="I3359" t="s">
        <v>47</v>
      </c>
      <c r="J3359" t="s">
        <v>61</v>
      </c>
    </row>
    <row r="3360" spans="1:10" x14ac:dyDescent="0.35">
      <c r="A3360" t="s">
        <v>3549</v>
      </c>
      <c r="B3360" s="1">
        <v>46268</v>
      </c>
      <c r="C3360" t="s">
        <v>262</v>
      </c>
      <c r="D3360" t="s">
        <v>101</v>
      </c>
      <c r="E3360" t="s">
        <v>244</v>
      </c>
      <c r="F3360" t="s">
        <v>14</v>
      </c>
      <c r="G3360">
        <v>226.55</v>
      </c>
      <c r="H3360" t="s">
        <v>15</v>
      </c>
      <c r="I3360" t="s">
        <v>36</v>
      </c>
      <c r="J3360" t="s">
        <v>136</v>
      </c>
    </row>
    <row r="3361" spans="1:10" x14ac:dyDescent="0.35">
      <c r="A3361" t="s">
        <v>3550</v>
      </c>
      <c r="B3361" s="1">
        <v>46269</v>
      </c>
      <c r="C3361" t="s">
        <v>53</v>
      </c>
      <c r="D3361" t="s">
        <v>54</v>
      </c>
      <c r="E3361" t="s">
        <v>55</v>
      </c>
      <c r="F3361" t="s">
        <v>54</v>
      </c>
      <c r="G3361">
        <v>682.48</v>
      </c>
      <c r="H3361" t="s">
        <v>21</v>
      </c>
      <c r="I3361" t="s">
        <v>22</v>
      </c>
      <c r="J3361" t="s">
        <v>56</v>
      </c>
    </row>
    <row r="3362" spans="1:10" x14ac:dyDescent="0.35">
      <c r="A3362" t="s">
        <v>3551</v>
      </c>
      <c r="B3362" s="1">
        <v>46269</v>
      </c>
      <c r="C3362" t="s">
        <v>157</v>
      </c>
      <c r="D3362" t="s">
        <v>29</v>
      </c>
      <c r="E3362" t="s">
        <v>95</v>
      </c>
      <c r="F3362" t="s">
        <v>14</v>
      </c>
      <c r="G3362">
        <v>91.06</v>
      </c>
      <c r="H3362" t="s">
        <v>15</v>
      </c>
      <c r="I3362" t="s">
        <v>36</v>
      </c>
      <c r="J3362" t="s">
        <v>158</v>
      </c>
    </row>
    <row r="3363" spans="1:10" x14ac:dyDescent="0.35">
      <c r="A3363" t="s">
        <v>3552</v>
      </c>
      <c r="B3363" s="1">
        <v>46269</v>
      </c>
      <c r="C3363" t="s">
        <v>130</v>
      </c>
      <c r="D3363" t="s">
        <v>12</v>
      </c>
      <c r="E3363" t="s">
        <v>26</v>
      </c>
      <c r="F3363" t="s">
        <v>14</v>
      </c>
      <c r="G3363">
        <v>19.98</v>
      </c>
      <c r="H3363" t="s">
        <v>15</v>
      </c>
      <c r="I3363" t="s">
        <v>22</v>
      </c>
      <c r="J3363" t="s">
        <v>48</v>
      </c>
    </row>
    <row r="3364" spans="1:10" x14ac:dyDescent="0.35">
      <c r="A3364" t="s">
        <v>3553</v>
      </c>
      <c r="B3364" s="1">
        <v>46269</v>
      </c>
      <c r="C3364" t="s">
        <v>11</v>
      </c>
      <c r="D3364" t="s">
        <v>12</v>
      </c>
      <c r="E3364" t="s">
        <v>13</v>
      </c>
      <c r="F3364" t="s">
        <v>14</v>
      </c>
      <c r="G3364">
        <v>29.31</v>
      </c>
      <c r="H3364" t="s">
        <v>21</v>
      </c>
      <c r="I3364" t="s">
        <v>36</v>
      </c>
      <c r="J3364" t="s">
        <v>17</v>
      </c>
    </row>
    <row r="3365" spans="1:10" x14ac:dyDescent="0.35">
      <c r="A3365" t="s">
        <v>3554</v>
      </c>
      <c r="B3365" s="1">
        <v>46270</v>
      </c>
      <c r="C3365" t="s">
        <v>140</v>
      </c>
      <c r="D3365" t="s">
        <v>80</v>
      </c>
      <c r="E3365" t="s">
        <v>81</v>
      </c>
      <c r="F3365" t="s">
        <v>14</v>
      </c>
      <c r="G3365">
        <v>35.71</v>
      </c>
      <c r="H3365" t="s">
        <v>21</v>
      </c>
      <c r="I3365" t="s">
        <v>36</v>
      </c>
      <c r="J3365" t="s">
        <v>141</v>
      </c>
    </row>
    <row r="3366" spans="1:10" x14ac:dyDescent="0.35">
      <c r="A3366" t="s">
        <v>3555</v>
      </c>
      <c r="B3366" s="1">
        <v>46270</v>
      </c>
      <c r="C3366" t="s">
        <v>194</v>
      </c>
      <c r="D3366" t="s">
        <v>101</v>
      </c>
      <c r="E3366" t="s">
        <v>136</v>
      </c>
      <c r="F3366" t="s">
        <v>14</v>
      </c>
      <c r="G3366">
        <v>156.55000000000001</v>
      </c>
      <c r="H3366" t="s">
        <v>98</v>
      </c>
      <c r="I3366" t="s">
        <v>36</v>
      </c>
      <c r="J3366" t="s">
        <v>103</v>
      </c>
    </row>
    <row r="3367" spans="1:10" x14ac:dyDescent="0.35">
      <c r="A3367" t="s">
        <v>3556</v>
      </c>
      <c r="B3367" s="1">
        <v>46270</v>
      </c>
      <c r="C3367" t="s">
        <v>140</v>
      </c>
      <c r="D3367" t="s">
        <v>80</v>
      </c>
      <c r="E3367" t="s">
        <v>81</v>
      </c>
      <c r="F3367" t="s">
        <v>14</v>
      </c>
      <c r="G3367">
        <v>110.86</v>
      </c>
      <c r="H3367" t="s">
        <v>15</v>
      </c>
      <c r="I3367" t="s">
        <v>22</v>
      </c>
      <c r="J3367" t="s">
        <v>141</v>
      </c>
    </row>
    <row r="3368" spans="1:10" x14ac:dyDescent="0.35">
      <c r="A3368" t="s">
        <v>3557</v>
      </c>
      <c r="B3368" s="1">
        <v>46270</v>
      </c>
      <c r="C3368" t="s">
        <v>331</v>
      </c>
      <c r="D3368" t="s">
        <v>29</v>
      </c>
      <c r="E3368" t="s">
        <v>95</v>
      </c>
      <c r="F3368" t="s">
        <v>14</v>
      </c>
      <c r="G3368">
        <v>77.56</v>
      </c>
      <c r="H3368" t="s">
        <v>15</v>
      </c>
      <c r="I3368" t="s">
        <v>36</v>
      </c>
      <c r="J3368" t="s">
        <v>151</v>
      </c>
    </row>
    <row r="3369" spans="1:10" x14ac:dyDescent="0.35">
      <c r="A3369" t="s">
        <v>3558</v>
      </c>
      <c r="B3369" s="1">
        <v>46270</v>
      </c>
      <c r="C3369" t="s">
        <v>177</v>
      </c>
      <c r="D3369" t="s">
        <v>54</v>
      </c>
      <c r="E3369" t="s">
        <v>74</v>
      </c>
      <c r="F3369" t="s">
        <v>54</v>
      </c>
      <c r="G3369">
        <v>2792.55</v>
      </c>
      <c r="H3369" t="s">
        <v>98</v>
      </c>
      <c r="I3369" t="s">
        <v>22</v>
      </c>
      <c r="J3369" t="s">
        <v>56</v>
      </c>
    </row>
    <row r="3370" spans="1:10" x14ac:dyDescent="0.35">
      <c r="A3370" t="s">
        <v>3559</v>
      </c>
      <c r="B3370" s="1">
        <v>46271</v>
      </c>
      <c r="C3370" t="s">
        <v>58</v>
      </c>
      <c r="D3370" t="s">
        <v>59</v>
      </c>
      <c r="E3370" t="s">
        <v>60</v>
      </c>
      <c r="F3370" t="s">
        <v>14</v>
      </c>
      <c r="G3370">
        <v>259.7</v>
      </c>
      <c r="H3370" t="s">
        <v>15</v>
      </c>
      <c r="I3370" t="s">
        <v>22</v>
      </c>
      <c r="J3370" t="s">
        <v>61</v>
      </c>
    </row>
    <row r="3371" spans="1:10" x14ac:dyDescent="0.35">
      <c r="A3371" t="s">
        <v>3560</v>
      </c>
      <c r="B3371" s="1">
        <v>46271</v>
      </c>
      <c r="C3371" t="s">
        <v>143</v>
      </c>
      <c r="D3371" t="s">
        <v>54</v>
      </c>
      <c r="E3371" t="s">
        <v>55</v>
      </c>
      <c r="F3371" t="s">
        <v>54</v>
      </c>
      <c r="G3371">
        <v>653.24</v>
      </c>
      <c r="H3371" t="s">
        <v>15</v>
      </c>
      <c r="I3371" t="s">
        <v>22</v>
      </c>
      <c r="J3371" t="s">
        <v>89</v>
      </c>
    </row>
    <row r="3372" spans="1:10" x14ac:dyDescent="0.35">
      <c r="A3372" t="s">
        <v>3561</v>
      </c>
      <c r="B3372" s="1">
        <v>46271</v>
      </c>
      <c r="C3372" t="s">
        <v>143</v>
      </c>
      <c r="D3372" t="s">
        <v>54</v>
      </c>
      <c r="E3372" t="s">
        <v>55</v>
      </c>
      <c r="F3372" t="s">
        <v>54</v>
      </c>
      <c r="G3372">
        <v>663.83</v>
      </c>
      <c r="H3372" t="s">
        <v>15</v>
      </c>
      <c r="I3372" t="s">
        <v>84</v>
      </c>
      <c r="J3372" t="s">
        <v>89</v>
      </c>
    </row>
    <row r="3373" spans="1:10" x14ac:dyDescent="0.35">
      <c r="A3373" t="s">
        <v>3562</v>
      </c>
      <c r="B3373" s="1">
        <v>46271</v>
      </c>
      <c r="C3373" t="s">
        <v>210</v>
      </c>
      <c r="D3373" t="s">
        <v>59</v>
      </c>
      <c r="E3373" t="s">
        <v>185</v>
      </c>
      <c r="F3373" t="s">
        <v>14</v>
      </c>
      <c r="G3373">
        <v>89.09</v>
      </c>
      <c r="H3373" t="s">
        <v>21</v>
      </c>
      <c r="I3373" t="s">
        <v>22</v>
      </c>
      <c r="J3373" t="s">
        <v>211</v>
      </c>
    </row>
    <row r="3374" spans="1:10" x14ac:dyDescent="0.35">
      <c r="A3374" t="s">
        <v>3563</v>
      </c>
      <c r="B3374" s="1">
        <v>46271</v>
      </c>
      <c r="C3374" t="s">
        <v>345</v>
      </c>
      <c r="D3374" t="s">
        <v>59</v>
      </c>
      <c r="E3374" t="s">
        <v>60</v>
      </c>
      <c r="F3374" t="s">
        <v>14</v>
      </c>
      <c r="G3374">
        <v>274.3</v>
      </c>
      <c r="H3374" t="s">
        <v>15</v>
      </c>
      <c r="I3374" t="s">
        <v>22</v>
      </c>
      <c r="J3374" t="s">
        <v>211</v>
      </c>
    </row>
    <row r="3375" spans="1:10" x14ac:dyDescent="0.35">
      <c r="A3375" t="s">
        <v>3564</v>
      </c>
      <c r="B3375" s="1">
        <v>46271</v>
      </c>
      <c r="C3375" t="s">
        <v>111</v>
      </c>
      <c r="D3375" t="s">
        <v>12</v>
      </c>
      <c r="E3375" t="s">
        <v>26</v>
      </c>
      <c r="F3375" t="s">
        <v>14</v>
      </c>
      <c r="G3375">
        <v>176.98</v>
      </c>
      <c r="H3375" t="s">
        <v>21</v>
      </c>
      <c r="I3375" t="s">
        <v>36</v>
      </c>
      <c r="J3375" t="s">
        <v>23</v>
      </c>
    </row>
    <row r="3376" spans="1:10" x14ac:dyDescent="0.35">
      <c r="A3376" t="s">
        <v>3565</v>
      </c>
      <c r="B3376" s="1">
        <v>46271</v>
      </c>
      <c r="C3376" t="s">
        <v>415</v>
      </c>
      <c r="D3376" t="s">
        <v>12</v>
      </c>
      <c r="E3376" t="s">
        <v>51</v>
      </c>
      <c r="F3376" t="s">
        <v>14</v>
      </c>
      <c r="G3376">
        <v>25.49</v>
      </c>
      <c r="H3376" t="s">
        <v>15</v>
      </c>
      <c r="I3376" t="s">
        <v>22</v>
      </c>
      <c r="J3376" t="s">
        <v>77</v>
      </c>
    </row>
    <row r="3377" spans="1:10" x14ac:dyDescent="0.35">
      <c r="A3377" t="s">
        <v>3566</v>
      </c>
      <c r="B3377" s="1">
        <v>46271</v>
      </c>
      <c r="C3377" t="s">
        <v>109</v>
      </c>
      <c r="D3377" t="s">
        <v>34</v>
      </c>
      <c r="E3377" t="s">
        <v>35</v>
      </c>
      <c r="F3377" t="s">
        <v>14</v>
      </c>
      <c r="G3377">
        <v>87.43</v>
      </c>
      <c r="H3377" t="s">
        <v>15</v>
      </c>
      <c r="I3377" t="s">
        <v>47</v>
      </c>
      <c r="J3377" t="s">
        <v>41</v>
      </c>
    </row>
    <row r="3378" spans="1:10" x14ac:dyDescent="0.35">
      <c r="A3378" t="s">
        <v>3567</v>
      </c>
      <c r="B3378" s="1">
        <v>46272</v>
      </c>
      <c r="C3378" t="s">
        <v>189</v>
      </c>
      <c r="D3378" t="s">
        <v>34</v>
      </c>
      <c r="E3378" t="s">
        <v>122</v>
      </c>
      <c r="F3378" t="s">
        <v>14</v>
      </c>
      <c r="G3378">
        <v>107.76</v>
      </c>
      <c r="H3378" t="s">
        <v>21</v>
      </c>
      <c r="I3378" t="s">
        <v>16</v>
      </c>
      <c r="J3378" t="s">
        <v>37</v>
      </c>
    </row>
    <row r="3379" spans="1:10" x14ac:dyDescent="0.35">
      <c r="A3379" t="s">
        <v>3568</v>
      </c>
      <c r="B3379" s="1">
        <v>46272</v>
      </c>
      <c r="C3379" t="s">
        <v>464</v>
      </c>
      <c r="D3379" t="s">
        <v>34</v>
      </c>
      <c r="E3379" t="s">
        <v>122</v>
      </c>
      <c r="F3379" t="s">
        <v>14</v>
      </c>
      <c r="G3379">
        <v>296.01</v>
      </c>
      <c r="H3379" t="s">
        <v>21</v>
      </c>
      <c r="I3379" t="s">
        <v>22</v>
      </c>
      <c r="J3379" t="s">
        <v>239</v>
      </c>
    </row>
    <row r="3380" spans="1:10" x14ac:dyDescent="0.35">
      <c r="A3380" t="s">
        <v>3569</v>
      </c>
      <c r="B3380" s="1">
        <v>46272</v>
      </c>
      <c r="C3380" t="s">
        <v>168</v>
      </c>
      <c r="D3380" t="s">
        <v>59</v>
      </c>
      <c r="E3380" t="s">
        <v>60</v>
      </c>
      <c r="F3380" t="s">
        <v>14</v>
      </c>
      <c r="G3380">
        <v>196.39</v>
      </c>
      <c r="H3380" t="s">
        <v>98</v>
      </c>
      <c r="I3380" t="s">
        <v>84</v>
      </c>
      <c r="J3380" t="s">
        <v>170</v>
      </c>
    </row>
    <row r="3381" spans="1:10" x14ac:dyDescent="0.35">
      <c r="A3381" t="s">
        <v>3570</v>
      </c>
      <c r="B3381" s="1">
        <v>46272</v>
      </c>
      <c r="C3381" t="s">
        <v>113</v>
      </c>
      <c r="D3381" t="s">
        <v>34</v>
      </c>
      <c r="E3381" t="s">
        <v>40</v>
      </c>
      <c r="F3381" t="s">
        <v>14</v>
      </c>
      <c r="G3381">
        <v>47.28</v>
      </c>
      <c r="H3381" t="s">
        <v>21</v>
      </c>
      <c r="I3381" t="s">
        <v>22</v>
      </c>
      <c r="J3381" t="s">
        <v>37</v>
      </c>
    </row>
    <row r="3382" spans="1:10" x14ac:dyDescent="0.35">
      <c r="A3382" t="s">
        <v>3571</v>
      </c>
      <c r="B3382" s="1">
        <v>46272</v>
      </c>
      <c r="C3382" t="s">
        <v>281</v>
      </c>
      <c r="D3382" t="s">
        <v>34</v>
      </c>
      <c r="E3382" t="s">
        <v>40</v>
      </c>
      <c r="F3382" t="s">
        <v>14</v>
      </c>
      <c r="G3382">
        <v>79.23</v>
      </c>
      <c r="H3382" t="s">
        <v>21</v>
      </c>
      <c r="I3382" t="s">
        <v>47</v>
      </c>
      <c r="J3382" t="s">
        <v>123</v>
      </c>
    </row>
    <row r="3383" spans="1:10" x14ac:dyDescent="0.35">
      <c r="A3383" t="s">
        <v>3572</v>
      </c>
      <c r="B3383" s="1">
        <v>46272</v>
      </c>
      <c r="C3383" t="s">
        <v>130</v>
      </c>
      <c r="D3383" t="s">
        <v>12</v>
      </c>
      <c r="E3383" t="s">
        <v>26</v>
      </c>
      <c r="F3383" t="s">
        <v>14</v>
      </c>
      <c r="G3383">
        <v>51.08</v>
      </c>
      <c r="H3383" t="s">
        <v>15</v>
      </c>
      <c r="I3383" t="s">
        <v>22</v>
      </c>
      <c r="J3383" t="s">
        <v>48</v>
      </c>
    </row>
    <row r="3384" spans="1:10" x14ac:dyDescent="0.35">
      <c r="A3384" t="s">
        <v>3573</v>
      </c>
      <c r="B3384" s="1">
        <v>46273</v>
      </c>
      <c r="C3384" t="s">
        <v>1491</v>
      </c>
      <c r="D3384" t="s">
        <v>69</v>
      </c>
      <c r="E3384" t="s">
        <v>233</v>
      </c>
      <c r="F3384" t="s">
        <v>14</v>
      </c>
      <c r="G3384">
        <v>511.74</v>
      </c>
      <c r="H3384" t="s">
        <v>21</v>
      </c>
      <c r="I3384" t="s">
        <v>84</v>
      </c>
      <c r="J3384" t="s">
        <v>396</v>
      </c>
    </row>
    <row r="3385" spans="1:10" x14ac:dyDescent="0.35">
      <c r="A3385" t="s">
        <v>3574</v>
      </c>
      <c r="B3385" s="1">
        <v>46273</v>
      </c>
      <c r="C3385" t="s">
        <v>76</v>
      </c>
      <c r="D3385" t="s">
        <v>12</v>
      </c>
      <c r="E3385" t="s">
        <v>13</v>
      </c>
      <c r="F3385" t="s">
        <v>14</v>
      </c>
      <c r="G3385">
        <v>48.17</v>
      </c>
      <c r="H3385" t="s">
        <v>15</v>
      </c>
      <c r="I3385" t="s">
        <v>22</v>
      </c>
      <c r="J3385" t="s">
        <v>77</v>
      </c>
    </row>
    <row r="3386" spans="1:10" x14ac:dyDescent="0.35">
      <c r="A3386" t="s">
        <v>3575</v>
      </c>
      <c r="B3386" s="1">
        <v>46273</v>
      </c>
      <c r="C3386" t="s">
        <v>345</v>
      </c>
      <c r="D3386" t="s">
        <v>59</v>
      </c>
      <c r="E3386" t="s">
        <v>60</v>
      </c>
      <c r="F3386" t="s">
        <v>14</v>
      </c>
      <c r="G3386">
        <v>715.69</v>
      </c>
      <c r="H3386" t="s">
        <v>15</v>
      </c>
      <c r="I3386" t="s">
        <v>22</v>
      </c>
      <c r="J3386" t="s">
        <v>211</v>
      </c>
    </row>
    <row r="3387" spans="1:10" x14ac:dyDescent="0.35">
      <c r="A3387" t="s">
        <v>3576</v>
      </c>
      <c r="B3387" s="1">
        <v>46273</v>
      </c>
      <c r="C3387" t="s">
        <v>11</v>
      </c>
      <c r="D3387" t="s">
        <v>12</v>
      </c>
      <c r="E3387" t="s">
        <v>13</v>
      </c>
      <c r="F3387" t="s">
        <v>14</v>
      </c>
      <c r="G3387">
        <v>15.34</v>
      </c>
      <c r="H3387" t="s">
        <v>15</v>
      </c>
      <c r="I3387" t="s">
        <v>36</v>
      </c>
      <c r="J3387" t="s">
        <v>17</v>
      </c>
    </row>
    <row r="3388" spans="1:10" x14ac:dyDescent="0.35">
      <c r="A3388" t="s">
        <v>3577</v>
      </c>
      <c r="B3388" s="1">
        <v>46273</v>
      </c>
      <c r="C3388" t="s">
        <v>464</v>
      </c>
      <c r="D3388" t="s">
        <v>34</v>
      </c>
      <c r="E3388" t="s">
        <v>122</v>
      </c>
      <c r="F3388" t="s">
        <v>14</v>
      </c>
      <c r="G3388">
        <v>92.37</v>
      </c>
      <c r="H3388" t="s">
        <v>15</v>
      </c>
      <c r="I3388" t="s">
        <v>22</v>
      </c>
      <c r="J3388" t="s">
        <v>239</v>
      </c>
    </row>
    <row r="3389" spans="1:10" x14ac:dyDescent="0.35">
      <c r="A3389" t="s">
        <v>3578</v>
      </c>
      <c r="B3389" s="1">
        <v>46274</v>
      </c>
      <c r="C3389" t="s">
        <v>153</v>
      </c>
      <c r="D3389" t="s">
        <v>34</v>
      </c>
      <c r="E3389" t="s">
        <v>122</v>
      </c>
      <c r="F3389" t="s">
        <v>14</v>
      </c>
      <c r="G3389">
        <v>58.2</v>
      </c>
      <c r="H3389" t="s">
        <v>21</v>
      </c>
      <c r="I3389" t="s">
        <v>36</v>
      </c>
      <c r="J3389" t="s">
        <v>41</v>
      </c>
    </row>
    <row r="3390" spans="1:10" x14ac:dyDescent="0.35">
      <c r="A3390" t="s">
        <v>3579</v>
      </c>
      <c r="B3390" s="1">
        <v>46274</v>
      </c>
      <c r="C3390" t="s">
        <v>63</v>
      </c>
      <c r="D3390" t="s">
        <v>54</v>
      </c>
      <c r="E3390" t="s">
        <v>64</v>
      </c>
      <c r="F3390" t="s">
        <v>54</v>
      </c>
      <c r="G3390">
        <v>327.08</v>
      </c>
      <c r="H3390" t="s">
        <v>15</v>
      </c>
      <c r="I3390" t="s">
        <v>22</v>
      </c>
      <c r="J3390" t="s">
        <v>65</v>
      </c>
    </row>
    <row r="3391" spans="1:10" x14ac:dyDescent="0.35">
      <c r="A3391" t="s">
        <v>3580</v>
      </c>
      <c r="B3391" s="1">
        <v>46275</v>
      </c>
      <c r="C3391" t="s">
        <v>184</v>
      </c>
      <c r="D3391" t="s">
        <v>59</v>
      </c>
      <c r="E3391" t="s">
        <v>185</v>
      </c>
      <c r="F3391" t="s">
        <v>14</v>
      </c>
      <c r="G3391">
        <v>155.44</v>
      </c>
      <c r="H3391" t="s">
        <v>15</v>
      </c>
      <c r="I3391" t="s">
        <v>22</v>
      </c>
      <c r="J3391" t="s">
        <v>61</v>
      </c>
    </row>
    <row r="3392" spans="1:10" x14ac:dyDescent="0.35">
      <c r="A3392" t="s">
        <v>3581</v>
      </c>
      <c r="B3392" s="1">
        <v>46275</v>
      </c>
      <c r="C3392" t="s">
        <v>269</v>
      </c>
      <c r="D3392" t="s">
        <v>34</v>
      </c>
      <c r="E3392" t="s">
        <v>35</v>
      </c>
      <c r="F3392" t="s">
        <v>14</v>
      </c>
      <c r="G3392">
        <v>122.97</v>
      </c>
      <c r="H3392" t="s">
        <v>15</v>
      </c>
      <c r="I3392" t="s">
        <v>36</v>
      </c>
      <c r="J3392" t="s">
        <v>123</v>
      </c>
    </row>
    <row r="3393" spans="1:10" x14ac:dyDescent="0.35">
      <c r="A3393" t="s">
        <v>3582</v>
      </c>
      <c r="B3393" s="1">
        <v>46275</v>
      </c>
      <c r="C3393" t="s">
        <v>138</v>
      </c>
      <c r="D3393" t="s">
        <v>12</v>
      </c>
      <c r="E3393" t="s">
        <v>26</v>
      </c>
      <c r="F3393" t="s">
        <v>14</v>
      </c>
      <c r="G3393">
        <v>55.47</v>
      </c>
      <c r="H3393" t="s">
        <v>15</v>
      </c>
      <c r="I3393" t="s">
        <v>36</v>
      </c>
      <c r="J3393" t="s">
        <v>77</v>
      </c>
    </row>
    <row r="3394" spans="1:10" x14ac:dyDescent="0.35">
      <c r="A3394" t="s">
        <v>3583</v>
      </c>
      <c r="B3394" s="1">
        <v>46275</v>
      </c>
      <c r="C3394" t="s">
        <v>88</v>
      </c>
      <c r="D3394" t="s">
        <v>54</v>
      </c>
      <c r="E3394" t="s">
        <v>74</v>
      </c>
      <c r="F3394" t="s">
        <v>54</v>
      </c>
      <c r="G3394">
        <v>2793</v>
      </c>
      <c r="H3394" t="s">
        <v>15</v>
      </c>
      <c r="I3394" t="s">
        <v>16</v>
      </c>
      <c r="J3394" t="s">
        <v>89</v>
      </c>
    </row>
    <row r="3395" spans="1:10" x14ac:dyDescent="0.35">
      <c r="A3395" t="s">
        <v>3584</v>
      </c>
      <c r="B3395" s="1">
        <v>46276</v>
      </c>
      <c r="C3395" t="s">
        <v>153</v>
      </c>
      <c r="D3395" t="s">
        <v>34</v>
      </c>
      <c r="E3395" t="s">
        <v>122</v>
      </c>
      <c r="F3395" t="s">
        <v>14</v>
      </c>
      <c r="G3395">
        <v>192.41</v>
      </c>
      <c r="H3395" t="s">
        <v>15</v>
      </c>
      <c r="I3395" t="s">
        <v>16</v>
      </c>
      <c r="J3395" t="s">
        <v>41</v>
      </c>
    </row>
    <row r="3396" spans="1:10" x14ac:dyDescent="0.35">
      <c r="A3396" t="s">
        <v>3585</v>
      </c>
      <c r="B3396" s="1">
        <v>46276</v>
      </c>
      <c r="C3396" t="s">
        <v>189</v>
      </c>
      <c r="D3396" t="s">
        <v>34</v>
      </c>
      <c r="E3396" t="s">
        <v>122</v>
      </c>
      <c r="F3396" t="s">
        <v>14</v>
      </c>
      <c r="G3396">
        <v>148.26</v>
      </c>
      <c r="H3396" t="s">
        <v>15</v>
      </c>
      <c r="I3396" t="s">
        <v>84</v>
      </c>
      <c r="J3396" t="s">
        <v>37</v>
      </c>
    </row>
    <row r="3397" spans="1:10" x14ac:dyDescent="0.35">
      <c r="A3397" t="s">
        <v>3586</v>
      </c>
      <c r="B3397" s="1">
        <v>46276</v>
      </c>
      <c r="C3397" t="s">
        <v>217</v>
      </c>
      <c r="D3397" t="s">
        <v>80</v>
      </c>
      <c r="E3397" t="s">
        <v>81</v>
      </c>
      <c r="F3397" t="s">
        <v>14</v>
      </c>
      <c r="G3397">
        <v>22.55</v>
      </c>
      <c r="H3397" t="s">
        <v>98</v>
      </c>
      <c r="I3397" t="s">
        <v>16</v>
      </c>
      <c r="J3397" t="s">
        <v>180</v>
      </c>
    </row>
    <row r="3398" spans="1:10" x14ac:dyDescent="0.35">
      <c r="A3398" t="s">
        <v>3587</v>
      </c>
      <c r="B3398" s="1">
        <v>46277</v>
      </c>
      <c r="C3398" t="s">
        <v>33</v>
      </c>
      <c r="D3398" t="s">
        <v>34</v>
      </c>
      <c r="E3398" t="s">
        <v>35</v>
      </c>
      <c r="F3398" t="s">
        <v>14</v>
      </c>
      <c r="G3398">
        <v>197.18</v>
      </c>
      <c r="H3398" t="s">
        <v>15</v>
      </c>
      <c r="I3398" t="s">
        <v>22</v>
      </c>
      <c r="J3398" t="s">
        <v>37</v>
      </c>
    </row>
    <row r="3399" spans="1:10" x14ac:dyDescent="0.35">
      <c r="A3399" t="s">
        <v>3588</v>
      </c>
      <c r="B3399" s="1">
        <v>46278</v>
      </c>
      <c r="C3399" t="s">
        <v>296</v>
      </c>
      <c r="D3399" t="s">
        <v>101</v>
      </c>
      <c r="E3399" t="s">
        <v>136</v>
      </c>
      <c r="F3399" t="s">
        <v>14</v>
      </c>
      <c r="G3399">
        <v>219.8</v>
      </c>
      <c r="H3399" t="s">
        <v>21</v>
      </c>
      <c r="I3399" t="s">
        <v>22</v>
      </c>
      <c r="J3399" t="s">
        <v>136</v>
      </c>
    </row>
    <row r="3400" spans="1:10" x14ac:dyDescent="0.35">
      <c r="A3400" t="s">
        <v>3589</v>
      </c>
      <c r="B3400" s="1">
        <v>46278</v>
      </c>
      <c r="C3400" t="s">
        <v>198</v>
      </c>
      <c r="D3400" t="s">
        <v>59</v>
      </c>
      <c r="E3400" t="s">
        <v>199</v>
      </c>
      <c r="F3400" t="s">
        <v>14</v>
      </c>
      <c r="G3400">
        <v>179.87</v>
      </c>
      <c r="H3400" t="s">
        <v>15</v>
      </c>
      <c r="I3400" t="s">
        <v>16</v>
      </c>
      <c r="J3400" t="s">
        <v>61</v>
      </c>
    </row>
    <row r="3401" spans="1:10" x14ac:dyDescent="0.35">
      <c r="A3401" t="s">
        <v>3590</v>
      </c>
      <c r="B3401" s="1">
        <v>46278</v>
      </c>
      <c r="C3401" t="s">
        <v>272</v>
      </c>
      <c r="D3401" t="s">
        <v>54</v>
      </c>
      <c r="E3401" t="s">
        <v>55</v>
      </c>
      <c r="F3401" t="s">
        <v>54</v>
      </c>
      <c r="G3401">
        <v>733.65</v>
      </c>
      <c r="H3401" t="s">
        <v>21</v>
      </c>
      <c r="I3401" t="s">
        <v>47</v>
      </c>
      <c r="J3401" t="s">
        <v>65</v>
      </c>
    </row>
    <row r="3402" spans="1:10" x14ac:dyDescent="0.35">
      <c r="A3402" t="s">
        <v>3591</v>
      </c>
      <c r="B3402" s="1">
        <v>46278</v>
      </c>
      <c r="C3402" t="s">
        <v>135</v>
      </c>
      <c r="D3402" t="s">
        <v>101</v>
      </c>
      <c r="E3402" t="s">
        <v>102</v>
      </c>
      <c r="F3402" t="s">
        <v>14</v>
      </c>
      <c r="G3402">
        <v>104.15</v>
      </c>
      <c r="H3402" t="s">
        <v>21</v>
      </c>
      <c r="I3402" t="s">
        <v>36</v>
      </c>
      <c r="J3402" t="s">
        <v>136</v>
      </c>
    </row>
    <row r="3403" spans="1:10" x14ac:dyDescent="0.35">
      <c r="A3403" t="s">
        <v>3592</v>
      </c>
      <c r="B3403" s="1">
        <v>46279</v>
      </c>
      <c r="C3403" t="s">
        <v>28</v>
      </c>
      <c r="D3403" t="s">
        <v>29</v>
      </c>
      <c r="E3403" t="s">
        <v>30</v>
      </c>
      <c r="F3403" t="s">
        <v>14</v>
      </c>
      <c r="G3403">
        <v>10.02</v>
      </c>
      <c r="H3403" t="s">
        <v>21</v>
      </c>
      <c r="I3403" t="s">
        <v>36</v>
      </c>
      <c r="J3403" t="s">
        <v>31</v>
      </c>
    </row>
    <row r="3404" spans="1:10" x14ac:dyDescent="0.35">
      <c r="A3404" t="s">
        <v>3593</v>
      </c>
      <c r="B3404" s="1">
        <v>46279</v>
      </c>
      <c r="C3404" t="s">
        <v>345</v>
      </c>
      <c r="D3404" t="s">
        <v>59</v>
      </c>
      <c r="E3404" t="s">
        <v>60</v>
      </c>
      <c r="F3404" t="s">
        <v>14</v>
      </c>
      <c r="G3404">
        <v>160.03</v>
      </c>
      <c r="H3404" t="s">
        <v>98</v>
      </c>
      <c r="I3404" t="s">
        <v>36</v>
      </c>
      <c r="J3404" t="s">
        <v>211</v>
      </c>
    </row>
    <row r="3405" spans="1:10" x14ac:dyDescent="0.35">
      <c r="A3405" t="s">
        <v>3594</v>
      </c>
      <c r="B3405" s="1">
        <v>46279</v>
      </c>
      <c r="C3405" t="s">
        <v>308</v>
      </c>
      <c r="D3405" t="s">
        <v>54</v>
      </c>
      <c r="E3405" t="s">
        <v>64</v>
      </c>
      <c r="F3405" t="s">
        <v>54</v>
      </c>
      <c r="G3405">
        <v>317.73</v>
      </c>
      <c r="H3405" t="s">
        <v>98</v>
      </c>
      <c r="I3405" t="s">
        <v>84</v>
      </c>
      <c r="J3405" t="s">
        <v>89</v>
      </c>
    </row>
    <row r="3406" spans="1:10" x14ac:dyDescent="0.35">
      <c r="A3406" t="s">
        <v>3595</v>
      </c>
      <c r="B3406" s="1">
        <v>46279</v>
      </c>
      <c r="C3406" t="s">
        <v>543</v>
      </c>
      <c r="D3406" t="s">
        <v>69</v>
      </c>
      <c r="E3406" t="s">
        <v>70</v>
      </c>
      <c r="F3406" t="s">
        <v>14</v>
      </c>
      <c r="G3406">
        <v>711.12</v>
      </c>
      <c r="H3406" t="s">
        <v>15</v>
      </c>
      <c r="I3406" t="s">
        <v>22</v>
      </c>
      <c r="J3406" t="s">
        <v>292</v>
      </c>
    </row>
    <row r="3407" spans="1:10" x14ac:dyDescent="0.35">
      <c r="A3407" t="s">
        <v>3596</v>
      </c>
      <c r="B3407" s="1">
        <v>46280</v>
      </c>
      <c r="C3407" t="s">
        <v>121</v>
      </c>
      <c r="D3407" t="s">
        <v>34</v>
      </c>
      <c r="E3407" t="s">
        <v>122</v>
      </c>
      <c r="F3407" t="s">
        <v>14</v>
      </c>
      <c r="G3407">
        <v>175.91</v>
      </c>
      <c r="H3407" t="s">
        <v>15</v>
      </c>
      <c r="I3407" t="s">
        <v>36</v>
      </c>
      <c r="J3407" t="s">
        <v>123</v>
      </c>
    </row>
    <row r="3408" spans="1:10" x14ac:dyDescent="0.35">
      <c r="A3408" t="s">
        <v>3597</v>
      </c>
      <c r="B3408" s="1">
        <v>46280</v>
      </c>
      <c r="C3408" t="s">
        <v>58</v>
      </c>
      <c r="D3408" t="s">
        <v>59</v>
      </c>
      <c r="E3408" t="s">
        <v>60</v>
      </c>
      <c r="F3408" t="s">
        <v>14</v>
      </c>
      <c r="G3408">
        <v>534.34</v>
      </c>
      <c r="H3408" t="s">
        <v>21</v>
      </c>
      <c r="I3408" t="s">
        <v>36</v>
      </c>
      <c r="J3408" t="s">
        <v>61</v>
      </c>
    </row>
    <row r="3409" spans="1:10" x14ac:dyDescent="0.35">
      <c r="A3409" t="s">
        <v>3598</v>
      </c>
      <c r="B3409" s="1">
        <v>46280</v>
      </c>
      <c r="C3409" t="s">
        <v>272</v>
      </c>
      <c r="D3409" t="s">
        <v>54</v>
      </c>
      <c r="E3409" t="s">
        <v>55</v>
      </c>
      <c r="F3409" t="s">
        <v>54</v>
      </c>
      <c r="G3409">
        <v>736.43</v>
      </c>
      <c r="H3409" t="s">
        <v>15</v>
      </c>
      <c r="I3409" t="s">
        <v>22</v>
      </c>
      <c r="J3409" t="s">
        <v>65</v>
      </c>
    </row>
    <row r="3410" spans="1:10" x14ac:dyDescent="0.35">
      <c r="A3410" t="s">
        <v>3599</v>
      </c>
      <c r="B3410" s="1">
        <v>46280</v>
      </c>
      <c r="C3410" t="s">
        <v>198</v>
      </c>
      <c r="D3410" t="s">
        <v>59</v>
      </c>
      <c r="E3410" t="s">
        <v>199</v>
      </c>
      <c r="F3410" t="s">
        <v>14</v>
      </c>
      <c r="G3410">
        <v>449.22</v>
      </c>
      <c r="H3410" t="s">
        <v>15</v>
      </c>
      <c r="I3410" t="s">
        <v>47</v>
      </c>
      <c r="J3410" t="s">
        <v>61</v>
      </c>
    </row>
    <row r="3411" spans="1:10" x14ac:dyDescent="0.35">
      <c r="A3411" t="s">
        <v>3600</v>
      </c>
      <c r="B3411" s="1">
        <v>46280</v>
      </c>
      <c r="C3411" t="s">
        <v>125</v>
      </c>
      <c r="D3411" t="s">
        <v>12</v>
      </c>
      <c r="E3411" t="s">
        <v>13</v>
      </c>
      <c r="F3411" t="s">
        <v>14</v>
      </c>
      <c r="G3411">
        <v>62.46</v>
      </c>
      <c r="H3411" t="s">
        <v>15</v>
      </c>
      <c r="I3411" t="s">
        <v>22</v>
      </c>
      <c r="J3411" t="s">
        <v>44</v>
      </c>
    </row>
    <row r="3412" spans="1:10" x14ac:dyDescent="0.35">
      <c r="A3412" t="s">
        <v>3601</v>
      </c>
      <c r="B3412" s="1">
        <v>46280</v>
      </c>
      <c r="C3412" t="s">
        <v>198</v>
      </c>
      <c r="D3412" t="s">
        <v>59</v>
      </c>
      <c r="E3412" t="s">
        <v>199</v>
      </c>
      <c r="F3412" t="s">
        <v>14</v>
      </c>
      <c r="G3412">
        <v>91.12</v>
      </c>
      <c r="H3412" t="s">
        <v>15</v>
      </c>
      <c r="I3412" t="s">
        <v>36</v>
      </c>
      <c r="J3412" t="s">
        <v>61</v>
      </c>
    </row>
    <row r="3413" spans="1:10" x14ac:dyDescent="0.35">
      <c r="A3413" t="s">
        <v>3602</v>
      </c>
      <c r="B3413" s="1">
        <v>46281</v>
      </c>
      <c r="C3413" t="s">
        <v>88</v>
      </c>
      <c r="D3413" t="s">
        <v>54</v>
      </c>
      <c r="E3413" t="s">
        <v>74</v>
      </c>
      <c r="F3413" t="s">
        <v>54</v>
      </c>
      <c r="G3413">
        <v>2525</v>
      </c>
      <c r="H3413" t="s">
        <v>15</v>
      </c>
      <c r="I3413" t="s">
        <v>16</v>
      </c>
      <c r="J3413" t="s">
        <v>89</v>
      </c>
    </row>
    <row r="3414" spans="1:10" x14ac:dyDescent="0.35">
      <c r="A3414" t="s">
        <v>3603</v>
      </c>
      <c r="B3414" s="1">
        <v>46281</v>
      </c>
      <c r="C3414" t="s">
        <v>350</v>
      </c>
      <c r="D3414" t="s">
        <v>29</v>
      </c>
      <c r="E3414" t="s">
        <v>151</v>
      </c>
      <c r="F3414" t="s">
        <v>14</v>
      </c>
      <c r="G3414">
        <v>21.37</v>
      </c>
      <c r="H3414" t="s">
        <v>15</v>
      </c>
      <c r="I3414" t="s">
        <v>16</v>
      </c>
      <c r="J3414" t="s">
        <v>158</v>
      </c>
    </row>
    <row r="3415" spans="1:10" x14ac:dyDescent="0.35">
      <c r="A3415" t="s">
        <v>3604</v>
      </c>
      <c r="B3415" s="1">
        <v>46281</v>
      </c>
      <c r="C3415" t="s">
        <v>220</v>
      </c>
      <c r="D3415" t="s">
        <v>59</v>
      </c>
      <c r="E3415" t="s">
        <v>199</v>
      </c>
      <c r="F3415" t="s">
        <v>14</v>
      </c>
      <c r="G3415">
        <v>182.24</v>
      </c>
      <c r="H3415" t="s">
        <v>15</v>
      </c>
      <c r="I3415" t="s">
        <v>47</v>
      </c>
      <c r="J3415" t="s">
        <v>211</v>
      </c>
    </row>
    <row r="3416" spans="1:10" x14ac:dyDescent="0.35">
      <c r="A3416" t="s">
        <v>3605</v>
      </c>
      <c r="B3416" s="1">
        <v>46281</v>
      </c>
      <c r="C3416" t="s">
        <v>272</v>
      </c>
      <c r="D3416" t="s">
        <v>54</v>
      </c>
      <c r="E3416" t="s">
        <v>55</v>
      </c>
      <c r="F3416" t="s">
        <v>54</v>
      </c>
      <c r="G3416">
        <v>660.69</v>
      </c>
      <c r="H3416" t="s">
        <v>15</v>
      </c>
      <c r="I3416" t="s">
        <v>84</v>
      </c>
      <c r="J3416" t="s">
        <v>65</v>
      </c>
    </row>
    <row r="3417" spans="1:10" x14ac:dyDescent="0.35">
      <c r="A3417" t="s">
        <v>3606</v>
      </c>
      <c r="B3417" s="1">
        <v>46281</v>
      </c>
      <c r="C3417" t="s">
        <v>256</v>
      </c>
      <c r="D3417" t="s">
        <v>34</v>
      </c>
      <c r="E3417" t="s">
        <v>40</v>
      </c>
      <c r="F3417" t="s">
        <v>14</v>
      </c>
      <c r="G3417">
        <v>197.57</v>
      </c>
      <c r="H3417" t="s">
        <v>21</v>
      </c>
      <c r="I3417" t="s">
        <v>22</v>
      </c>
      <c r="J3417" t="s">
        <v>239</v>
      </c>
    </row>
    <row r="3418" spans="1:10" x14ac:dyDescent="0.35">
      <c r="A3418" t="s">
        <v>3607</v>
      </c>
      <c r="B3418" s="1">
        <v>46281</v>
      </c>
      <c r="C3418" t="s">
        <v>220</v>
      </c>
      <c r="D3418" t="s">
        <v>59</v>
      </c>
      <c r="E3418" t="s">
        <v>199</v>
      </c>
      <c r="F3418" t="s">
        <v>14</v>
      </c>
      <c r="G3418">
        <v>417.24</v>
      </c>
      <c r="H3418" t="s">
        <v>98</v>
      </c>
      <c r="I3418" t="s">
        <v>22</v>
      </c>
      <c r="J3418" t="s">
        <v>211</v>
      </c>
    </row>
    <row r="3419" spans="1:10" x14ac:dyDescent="0.35">
      <c r="A3419" t="s">
        <v>3608</v>
      </c>
      <c r="B3419" s="1">
        <v>46281</v>
      </c>
      <c r="C3419" t="s">
        <v>395</v>
      </c>
      <c r="D3419" t="s">
        <v>69</v>
      </c>
      <c r="E3419" t="s">
        <v>291</v>
      </c>
      <c r="F3419" t="s">
        <v>14</v>
      </c>
      <c r="G3419">
        <v>714.04</v>
      </c>
      <c r="H3419" t="s">
        <v>15</v>
      </c>
      <c r="I3419" t="s">
        <v>47</v>
      </c>
      <c r="J3419" t="s">
        <v>396</v>
      </c>
    </row>
    <row r="3420" spans="1:10" x14ac:dyDescent="0.35">
      <c r="A3420" t="s">
        <v>3609</v>
      </c>
      <c r="B3420" s="1">
        <v>46281</v>
      </c>
      <c r="C3420" t="s">
        <v>308</v>
      </c>
      <c r="D3420" t="s">
        <v>54</v>
      </c>
      <c r="E3420" t="s">
        <v>64</v>
      </c>
      <c r="F3420" t="s">
        <v>54</v>
      </c>
      <c r="G3420">
        <v>361.57</v>
      </c>
      <c r="H3420" t="s">
        <v>15</v>
      </c>
      <c r="I3420" t="s">
        <v>16</v>
      </c>
      <c r="J3420" t="s">
        <v>89</v>
      </c>
    </row>
    <row r="3421" spans="1:10" x14ac:dyDescent="0.35">
      <c r="A3421" t="s">
        <v>3610</v>
      </c>
      <c r="B3421" s="1">
        <v>46281</v>
      </c>
      <c r="C3421" t="s">
        <v>256</v>
      </c>
      <c r="D3421" t="s">
        <v>34</v>
      </c>
      <c r="E3421" t="s">
        <v>40</v>
      </c>
      <c r="F3421" t="s">
        <v>14</v>
      </c>
      <c r="G3421">
        <v>87.81</v>
      </c>
      <c r="H3421" t="s">
        <v>21</v>
      </c>
      <c r="I3421" t="s">
        <v>47</v>
      </c>
      <c r="J3421" t="s">
        <v>239</v>
      </c>
    </row>
    <row r="3422" spans="1:10" x14ac:dyDescent="0.35">
      <c r="A3422" t="s">
        <v>3611</v>
      </c>
      <c r="B3422" s="1">
        <v>46281</v>
      </c>
      <c r="C3422" t="s">
        <v>281</v>
      </c>
      <c r="D3422" t="s">
        <v>34</v>
      </c>
      <c r="E3422" t="s">
        <v>40</v>
      </c>
      <c r="F3422" t="s">
        <v>14</v>
      </c>
      <c r="G3422">
        <v>43.3</v>
      </c>
      <c r="H3422" t="s">
        <v>15</v>
      </c>
      <c r="I3422" t="s">
        <v>84</v>
      </c>
      <c r="J3422" t="s">
        <v>123</v>
      </c>
    </row>
    <row r="3423" spans="1:10" x14ac:dyDescent="0.35">
      <c r="A3423" t="s">
        <v>3612</v>
      </c>
      <c r="B3423" s="1">
        <v>46281</v>
      </c>
      <c r="C3423" t="s">
        <v>177</v>
      </c>
      <c r="D3423" t="s">
        <v>54</v>
      </c>
      <c r="E3423" t="s">
        <v>74</v>
      </c>
      <c r="F3423" t="s">
        <v>54</v>
      </c>
      <c r="G3423">
        <v>2331.54</v>
      </c>
      <c r="H3423" t="s">
        <v>15</v>
      </c>
      <c r="I3423" t="s">
        <v>22</v>
      </c>
      <c r="J3423" t="s">
        <v>56</v>
      </c>
    </row>
    <row r="3424" spans="1:10" x14ac:dyDescent="0.35">
      <c r="A3424" t="s">
        <v>3613</v>
      </c>
      <c r="B3424" s="1">
        <v>46281</v>
      </c>
      <c r="C3424" t="s">
        <v>324</v>
      </c>
      <c r="D3424" t="s">
        <v>80</v>
      </c>
      <c r="E3424" t="s">
        <v>92</v>
      </c>
      <c r="F3424" t="s">
        <v>14</v>
      </c>
      <c r="G3424">
        <v>83.65</v>
      </c>
      <c r="H3424" t="s">
        <v>15</v>
      </c>
      <c r="I3424" t="s">
        <v>36</v>
      </c>
      <c r="J3424" t="s">
        <v>161</v>
      </c>
    </row>
    <row r="3425" spans="1:10" x14ac:dyDescent="0.35">
      <c r="A3425" t="s">
        <v>3614</v>
      </c>
      <c r="B3425" s="1">
        <v>46281</v>
      </c>
      <c r="C3425" t="s">
        <v>25</v>
      </c>
      <c r="D3425" t="s">
        <v>12</v>
      </c>
      <c r="E3425" t="s">
        <v>26</v>
      </c>
      <c r="F3425" t="s">
        <v>14</v>
      </c>
      <c r="G3425">
        <v>63.14</v>
      </c>
      <c r="H3425" t="s">
        <v>15</v>
      </c>
      <c r="I3425" t="s">
        <v>22</v>
      </c>
      <c r="J3425" t="s">
        <v>17</v>
      </c>
    </row>
    <row r="3426" spans="1:10" x14ac:dyDescent="0.35">
      <c r="A3426" t="s">
        <v>3615</v>
      </c>
      <c r="B3426" s="1">
        <v>46282</v>
      </c>
      <c r="C3426" t="s">
        <v>189</v>
      </c>
      <c r="D3426" t="s">
        <v>34</v>
      </c>
      <c r="E3426" t="s">
        <v>122</v>
      </c>
      <c r="F3426" t="s">
        <v>14</v>
      </c>
      <c r="G3426">
        <v>59.09</v>
      </c>
      <c r="H3426" t="s">
        <v>15</v>
      </c>
      <c r="I3426" t="s">
        <v>36</v>
      </c>
      <c r="J3426" t="s">
        <v>37</v>
      </c>
    </row>
    <row r="3427" spans="1:10" x14ac:dyDescent="0.35">
      <c r="A3427" t="s">
        <v>3616</v>
      </c>
      <c r="B3427" s="1">
        <v>46282</v>
      </c>
      <c r="C3427" t="s">
        <v>53</v>
      </c>
      <c r="D3427" t="s">
        <v>54</v>
      </c>
      <c r="E3427" t="s">
        <v>55</v>
      </c>
      <c r="F3427" t="s">
        <v>54</v>
      </c>
      <c r="G3427">
        <v>832.14</v>
      </c>
      <c r="H3427" t="s">
        <v>15</v>
      </c>
      <c r="I3427" t="s">
        <v>16</v>
      </c>
      <c r="J3427" t="s">
        <v>56</v>
      </c>
    </row>
    <row r="3428" spans="1:10" x14ac:dyDescent="0.35">
      <c r="A3428" t="s">
        <v>3617</v>
      </c>
      <c r="B3428" s="1">
        <v>46282</v>
      </c>
      <c r="C3428" t="s">
        <v>73</v>
      </c>
      <c r="D3428" t="s">
        <v>54</v>
      </c>
      <c r="E3428" t="s">
        <v>74</v>
      </c>
      <c r="F3428" t="s">
        <v>54</v>
      </c>
      <c r="G3428">
        <v>2157.91</v>
      </c>
      <c r="H3428" t="s">
        <v>15</v>
      </c>
      <c r="I3428" t="s">
        <v>22</v>
      </c>
      <c r="J3428" t="s">
        <v>65</v>
      </c>
    </row>
    <row r="3429" spans="1:10" x14ac:dyDescent="0.35">
      <c r="A3429" t="s">
        <v>3618</v>
      </c>
      <c r="B3429" s="1">
        <v>46282</v>
      </c>
      <c r="C3429" t="s">
        <v>153</v>
      </c>
      <c r="D3429" t="s">
        <v>34</v>
      </c>
      <c r="E3429" t="s">
        <v>122</v>
      </c>
      <c r="F3429" t="s">
        <v>14</v>
      </c>
      <c r="G3429">
        <v>121.02</v>
      </c>
      <c r="H3429" t="s">
        <v>15</v>
      </c>
      <c r="I3429" t="s">
        <v>22</v>
      </c>
      <c r="J3429" t="s">
        <v>41</v>
      </c>
    </row>
    <row r="3430" spans="1:10" x14ac:dyDescent="0.35">
      <c r="A3430" t="s">
        <v>3619</v>
      </c>
      <c r="B3430" s="1">
        <v>46282</v>
      </c>
      <c r="C3430" t="s">
        <v>259</v>
      </c>
      <c r="D3430" t="s">
        <v>59</v>
      </c>
      <c r="E3430" t="s">
        <v>199</v>
      </c>
      <c r="F3430" t="s">
        <v>14</v>
      </c>
      <c r="G3430">
        <v>197.56</v>
      </c>
      <c r="H3430" t="s">
        <v>21</v>
      </c>
      <c r="I3430" t="s">
        <v>36</v>
      </c>
      <c r="J3430" t="s">
        <v>170</v>
      </c>
    </row>
    <row r="3431" spans="1:10" x14ac:dyDescent="0.35">
      <c r="A3431" t="s">
        <v>3620</v>
      </c>
      <c r="B3431" s="1">
        <v>46282</v>
      </c>
      <c r="C3431" t="s">
        <v>116</v>
      </c>
      <c r="D3431" t="s">
        <v>80</v>
      </c>
      <c r="E3431" t="s">
        <v>117</v>
      </c>
      <c r="F3431" t="s">
        <v>14</v>
      </c>
      <c r="G3431">
        <v>41.02</v>
      </c>
      <c r="H3431" t="s">
        <v>21</v>
      </c>
      <c r="I3431" t="s">
        <v>47</v>
      </c>
      <c r="J3431" t="s">
        <v>118</v>
      </c>
    </row>
    <row r="3432" spans="1:10" x14ac:dyDescent="0.35">
      <c r="A3432" t="s">
        <v>3621</v>
      </c>
      <c r="B3432" s="1">
        <v>46282</v>
      </c>
      <c r="C3432" t="s">
        <v>79</v>
      </c>
      <c r="D3432" t="s">
        <v>80</v>
      </c>
      <c r="E3432" t="s">
        <v>81</v>
      </c>
      <c r="F3432" t="s">
        <v>14</v>
      </c>
      <c r="G3432">
        <v>56.22</v>
      </c>
      <c r="H3432" t="s">
        <v>15</v>
      </c>
      <c r="I3432" t="s">
        <v>16</v>
      </c>
      <c r="J3432" t="s">
        <v>82</v>
      </c>
    </row>
    <row r="3433" spans="1:10" x14ac:dyDescent="0.35">
      <c r="A3433" t="s">
        <v>3622</v>
      </c>
      <c r="B3433" s="1">
        <v>46282</v>
      </c>
      <c r="C3433" t="s">
        <v>189</v>
      </c>
      <c r="D3433" t="s">
        <v>34</v>
      </c>
      <c r="E3433" t="s">
        <v>122</v>
      </c>
      <c r="F3433" t="s">
        <v>14</v>
      </c>
      <c r="G3433">
        <v>127.39</v>
      </c>
      <c r="H3433" t="s">
        <v>98</v>
      </c>
      <c r="I3433" t="s">
        <v>22</v>
      </c>
      <c r="J3433" t="s">
        <v>37</v>
      </c>
    </row>
    <row r="3434" spans="1:10" x14ac:dyDescent="0.35">
      <c r="A3434" t="s">
        <v>3623</v>
      </c>
      <c r="B3434" s="1">
        <v>46282</v>
      </c>
      <c r="C3434" t="s">
        <v>424</v>
      </c>
      <c r="D3434" t="s">
        <v>101</v>
      </c>
      <c r="E3434" t="s">
        <v>136</v>
      </c>
      <c r="F3434" t="s">
        <v>14</v>
      </c>
      <c r="G3434">
        <v>82.15</v>
      </c>
      <c r="H3434" t="s">
        <v>21</v>
      </c>
      <c r="I3434" t="s">
        <v>47</v>
      </c>
      <c r="J3434" t="s">
        <v>102</v>
      </c>
    </row>
    <row r="3435" spans="1:10" x14ac:dyDescent="0.35">
      <c r="A3435" t="s">
        <v>3624</v>
      </c>
      <c r="B3435" s="1">
        <v>46282</v>
      </c>
      <c r="C3435" t="s">
        <v>50</v>
      </c>
      <c r="D3435" t="s">
        <v>12</v>
      </c>
      <c r="E3435" t="s">
        <v>51</v>
      </c>
      <c r="F3435" t="s">
        <v>14</v>
      </c>
      <c r="G3435">
        <v>81.099999999999994</v>
      </c>
      <c r="H3435" t="s">
        <v>15</v>
      </c>
      <c r="I3435" t="s">
        <v>36</v>
      </c>
      <c r="J3435" t="s">
        <v>44</v>
      </c>
    </row>
    <row r="3436" spans="1:10" x14ac:dyDescent="0.35">
      <c r="A3436" t="s">
        <v>3625</v>
      </c>
      <c r="B3436" s="1">
        <v>46283</v>
      </c>
      <c r="C3436" t="s">
        <v>168</v>
      </c>
      <c r="D3436" t="s">
        <v>59</v>
      </c>
      <c r="E3436" t="s">
        <v>60</v>
      </c>
      <c r="F3436" t="s">
        <v>14</v>
      </c>
      <c r="G3436">
        <v>257.51</v>
      </c>
      <c r="H3436" t="s">
        <v>15</v>
      </c>
      <c r="I3436" t="s">
        <v>36</v>
      </c>
      <c r="J3436" t="s">
        <v>170</v>
      </c>
    </row>
    <row r="3437" spans="1:10" x14ac:dyDescent="0.35">
      <c r="A3437" t="s">
        <v>3626</v>
      </c>
      <c r="B3437" s="1">
        <v>46283</v>
      </c>
      <c r="C3437" t="s">
        <v>94</v>
      </c>
      <c r="D3437" t="s">
        <v>29</v>
      </c>
      <c r="E3437" t="s">
        <v>95</v>
      </c>
      <c r="F3437" t="s">
        <v>14</v>
      </c>
      <c r="G3437">
        <v>60.26</v>
      </c>
      <c r="H3437" t="s">
        <v>21</v>
      </c>
      <c r="I3437" t="s">
        <v>22</v>
      </c>
      <c r="J3437" t="s">
        <v>96</v>
      </c>
    </row>
    <row r="3438" spans="1:10" x14ac:dyDescent="0.35">
      <c r="A3438" t="s">
        <v>3627</v>
      </c>
      <c r="B3438" s="1">
        <v>46284</v>
      </c>
      <c r="C3438" t="s">
        <v>91</v>
      </c>
      <c r="D3438" t="s">
        <v>80</v>
      </c>
      <c r="E3438" t="s">
        <v>92</v>
      </c>
      <c r="F3438" t="s">
        <v>14</v>
      </c>
      <c r="G3438">
        <v>158.02000000000001</v>
      </c>
      <c r="H3438" t="s">
        <v>98</v>
      </c>
      <c r="I3438" t="s">
        <v>22</v>
      </c>
      <c r="J3438" t="s">
        <v>82</v>
      </c>
    </row>
    <row r="3439" spans="1:10" x14ac:dyDescent="0.35">
      <c r="A3439" t="s">
        <v>3628</v>
      </c>
      <c r="B3439" s="1">
        <v>46284</v>
      </c>
      <c r="C3439" t="s">
        <v>63</v>
      </c>
      <c r="D3439" t="s">
        <v>54</v>
      </c>
      <c r="E3439" t="s">
        <v>64</v>
      </c>
      <c r="F3439" t="s">
        <v>54</v>
      </c>
      <c r="G3439">
        <v>307.05</v>
      </c>
      <c r="H3439" t="s">
        <v>15</v>
      </c>
      <c r="I3439" t="s">
        <v>36</v>
      </c>
      <c r="J3439" t="s">
        <v>65</v>
      </c>
    </row>
    <row r="3440" spans="1:10" x14ac:dyDescent="0.35">
      <c r="A3440" t="s">
        <v>3629</v>
      </c>
      <c r="B3440" s="1">
        <v>46284</v>
      </c>
      <c r="C3440" t="s">
        <v>411</v>
      </c>
      <c r="D3440" t="s">
        <v>29</v>
      </c>
      <c r="E3440" t="s">
        <v>151</v>
      </c>
      <c r="F3440" t="s">
        <v>14</v>
      </c>
      <c r="G3440">
        <v>106.99</v>
      </c>
      <c r="H3440" t="s">
        <v>15</v>
      </c>
      <c r="I3440" t="s">
        <v>36</v>
      </c>
      <c r="J3440" t="s">
        <v>151</v>
      </c>
    </row>
    <row r="3441" spans="1:10" x14ac:dyDescent="0.35">
      <c r="A3441" t="s">
        <v>3630</v>
      </c>
      <c r="B3441" s="1">
        <v>46285</v>
      </c>
      <c r="C3441" t="s">
        <v>324</v>
      </c>
      <c r="D3441" t="s">
        <v>80</v>
      </c>
      <c r="E3441" t="s">
        <v>92</v>
      </c>
      <c r="F3441" t="s">
        <v>14</v>
      </c>
      <c r="G3441">
        <v>21.12</v>
      </c>
      <c r="H3441" t="s">
        <v>21</v>
      </c>
      <c r="I3441" t="s">
        <v>16</v>
      </c>
      <c r="J3441" t="s">
        <v>161</v>
      </c>
    </row>
    <row r="3442" spans="1:10" x14ac:dyDescent="0.35">
      <c r="A3442" t="s">
        <v>3631</v>
      </c>
      <c r="B3442" s="1">
        <v>46285</v>
      </c>
      <c r="C3442" t="s">
        <v>238</v>
      </c>
      <c r="D3442" t="s">
        <v>34</v>
      </c>
      <c r="E3442" t="s">
        <v>35</v>
      </c>
      <c r="F3442" t="s">
        <v>14</v>
      </c>
      <c r="G3442">
        <v>111.45</v>
      </c>
      <c r="H3442" t="s">
        <v>15</v>
      </c>
      <c r="I3442" t="s">
        <v>47</v>
      </c>
      <c r="J3442" t="s">
        <v>239</v>
      </c>
    </row>
    <row r="3443" spans="1:10" x14ac:dyDescent="0.35">
      <c r="A3443" t="s">
        <v>3632</v>
      </c>
      <c r="B3443" s="1">
        <v>46285</v>
      </c>
      <c r="C3443" t="s">
        <v>150</v>
      </c>
      <c r="D3443" t="s">
        <v>29</v>
      </c>
      <c r="E3443" t="s">
        <v>30</v>
      </c>
      <c r="F3443" t="s">
        <v>14</v>
      </c>
      <c r="G3443">
        <v>19.440000000000001</v>
      </c>
      <c r="H3443" t="s">
        <v>21</v>
      </c>
      <c r="I3443" t="s">
        <v>22</v>
      </c>
      <c r="J3443" t="s">
        <v>151</v>
      </c>
    </row>
    <row r="3444" spans="1:10" x14ac:dyDescent="0.35">
      <c r="A3444" t="s">
        <v>3633</v>
      </c>
      <c r="B3444" s="1">
        <v>46285</v>
      </c>
      <c r="C3444" t="s">
        <v>298</v>
      </c>
      <c r="D3444" t="s">
        <v>59</v>
      </c>
      <c r="E3444" t="s">
        <v>185</v>
      </c>
      <c r="F3444" t="s">
        <v>14</v>
      </c>
      <c r="G3444">
        <v>207.43</v>
      </c>
      <c r="H3444" t="s">
        <v>15</v>
      </c>
      <c r="I3444" t="s">
        <v>22</v>
      </c>
      <c r="J3444" t="s">
        <v>170</v>
      </c>
    </row>
    <row r="3445" spans="1:10" x14ac:dyDescent="0.35">
      <c r="A3445" t="s">
        <v>3634</v>
      </c>
      <c r="B3445" s="1">
        <v>46285</v>
      </c>
      <c r="C3445" t="s">
        <v>215</v>
      </c>
      <c r="D3445" t="s">
        <v>80</v>
      </c>
      <c r="E3445" t="s">
        <v>117</v>
      </c>
      <c r="F3445" t="s">
        <v>14</v>
      </c>
      <c r="G3445">
        <v>93.51</v>
      </c>
      <c r="H3445" t="s">
        <v>15</v>
      </c>
      <c r="I3445" t="s">
        <v>16</v>
      </c>
      <c r="J3445" t="s">
        <v>141</v>
      </c>
    </row>
    <row r="3446" spans="1:10" x14ac:dyDescent="0.35">
      <c r="A3446" t="s">
        <v>3635</v>
      </c>
      <c r="B3446" s="1">
        <v>46285</v>
      </c>
      <c r="C3446" t="s">
        <v>217</v>
      </c>
      <c r="D3446" t="s">
        <v>80</v>
      </c>
      <c r="E3446" t="s">
        <v>81</v>
      </c>
      <c r="F3446" t="s">
        <v>14</v>
      </c>
      <c r="G3446">
        <v>34.67</v>
      </c>
      <c r="H3446" t="s">
        <v>15</v>
      </c>
      <c r="I3446" t="s">
        <v>22</v>
      </c>
      <c r="J3446" t="s">
        <v>180</v>
      </c>
    </row>
    <row r="3447" spans="1:10" x14ac:dyDescent="0.35">
      <c r="A3447" t="s">
        <v>3636</v>
      </c>
      <c r="B3447" s="1">
        <v>46285</v>
      </c>
      <c r="C3447" t="s">
        <v>267</v>
      </c>
      <c r="D3447" t="s">
        <v>29</v>
      </c>
      <c r="E3447" t="s">
        <v>30</v>
      </c>
      <c r="F3447" t="s">
        <v>14</v>
      </c>
      <c r="G3447">
        <v>18.27</v>
      </c>
      <c r="H3447" t="s">
        <v>98</v>
      </c>
      <c r="I3447" t="s">
        <v>36</v>
      </c>
      <c r="J3447" t="s">
        <v>96</v>
      </c>
    </row>
    <row r="3448" spans="1:10" x14ac:dyDescent="0.35">
      <c r="A3448" t="s">
        <v>3637</v>
      </c>
      <c r="B3448" s="1">
        <v>46286</v>
      </c>
      <c r="C3448" t="s">
        <v>113</v>
      </c>
      <c r="D3448" t="s">
        <v>34</v>
      </c>
      <c r="E3448" t="s">
        <v>40</v>
      </c>
      <c r="F3448" t="s">
        <v>14</v>
      </c>
      <c r="G3448">
        <v>195.14</v>
      </c>
      <c r="H3448" t="s">
        <v>15</v>
      </c>
      <c r="I3448" t="s">
        <v>36</v>
      </c>
      <c r="J3448" t="s">
        <v>37</v>
      </c>
    </row>
    <row r="3449" spans="1:10" x14ac:dyDescent="0.35">
      <c r="A3449" t="s">
        <v>3638</v>
      </c>
      <c r="B3449" s="1">
        <v>46286</v>
      </c>
      <c r="C3449" t="s">
        <v>157</v>
      </c>
      <c r="D3449" t="s">
        <v>29</v>
      </c>
      <c r="E3449" t="s">
        <v>95</v>
      </c>
      <c r="F3449" t="s">
        <v>14</v>
      </c>
      <c r="G3449">
        <v>25.15</v>
      </c>
      <c r="H3449" t="s">
        <v>15</v>
      </c>
      <c r="I3449" t="s">
        <v>47</v>
      </c>
      <c r="J3449" t="s">
        <v>158</v>
      </c>
    </row>
    <row r="3450" spans="1:10" x14ac:dyDescent="0.35">
      <c r="A3450" t="s">
        <v>3639</v>
      </c>
      <c r="B3450" s="1">
        <v>46287</v>
      </c>
      <c r="C3450" t="s">
        <v>50</v>
      </c>
      <c r="D3450" t="s">
        <v>12</v>
      </c>
      <c r="E3450" t="s">
        <v>51</v>
      </c>
      <c r="F3450" t="s">
        <v>14</v>
      </c>
      <c r="G3450">
        <v>16.260000000000002</v>
      </c>
      <c r="H3450" t="s">
        <v>21</v>
      </c>
      <c r="I3450" t="s">
        <v>22</v>
      </c>
      <c r="J3450" t="s">
        <v>44</v>
      </c>
    </row>
    <row r="3451" spans="1:10" x14ac:dyDescent="0.35">
      <c r="A3451" t="s">
        <v>3640</v>
      </c>
      <c r="B3451" s="1">
        <v>46287</v>
      </c>
      <c r="C3451" t="s">
        <v>160</v>
      </c>
      <c r="D3451" t="s">
        <v>80</v>
      </c>
      <c r="E3451" t="s">
        <v>117</v>
      </c>
      <c r="F3451" t="s">
        <v>14</v>
      </c>
      <c r="G3451">
        <v>235.95</v>
      </c>
      <c r="H3451" t="s">
        <v>21</v>
      </c>
      <c r="I3451" t="s">
        <v>36</v>
      </c>
      <c r="J3451" t="s">
        <v>161</v>
      </c>
    </row>
    <row r="3452" spans="1:10" x14ac:dyDescent="0.35">
      <c r="A3452" t="s">
        <v>3641</v>
      </c>
      <c r="B3452" s="1">
        <v>46287</v>
      </c>
      <c r="C3452" t="s">
        <v>168</v>
      </c>
      <c r="D3452" t="s">
        <v>59</v>
      </c>
      <c r="E3452" t="s">
        <v>60</v>
      </c>
      <c r="F3452" t="s">
        <v>14</v>
      </c>
      <c r="G3452">
        <v>90.68</v>
      </c>
      <c r="H3452" t="s">
        <v>15</v>
      </c>
      <c r="I3452" t="s">
        <v>22</v>
      </c>
      <c r="J3452" t="s">
        <v>170</v>
      </c>
    </row>
    <row r="3453" spans="1:10" x14ac:dyDescent="0.35">
      <c r="A3453" t="s">
        <v>3642</v>
      </c>
      <c r="B3453" s="1">
        <v>46287</v>
      </c>
      <c r="C3453" t="s">
        <v>308</v>
      </c>
      <c r="D3453" t="s">
        <v>54</v>
      </c>
      <c r="E3453" t="s">
        <v>64</v>
      </c>
      <c r="F3453" t="s">
        <v>54</v>
      </c>
      <c r="G3453">
        <v>288.79000000000002</v>
      </c>
      <c r="H3453" t="s">
        <v>21</v>
      </c>
      <c r="I3453" t="s">
        <v>16</v>
      </c>
      <c r="J3453" t="s">
        <v>89</v>
      </c>
    </row>
    <row r="3454" spans="1:10" x14ac:dyDescent="0.35">
      <c r="A3454" t="s">
        <v>3643</v>
      </c>
      <c r="B3454" s="1">
        <v>46287</v>
      </c>
      <c r="C3454" t="s">
        <v>153</v>
      </c>
      <c r="D3454" t="s">
        <v>34</v>
      </c>
      <c r="E3454" t="s">
        <v>122</v>
      </c>
      <c r="F3454" t="s">
        <v>14</v>
      </c>
      <c r="G3454">
        <v>44.24</v>
      </c>
      <c r="H3454" t="s">
        <v>15</v>
      </c>
      <c r="I3454" t="s">
        <v>22</v>
      </c>
      <c r="J3454" t="s">
        <v>41</v>
      </c>
    </row>
    <row r="3455" spans="1:10" x14ac:dyDescent="0.35">
      <c r="A3455" t="s">
        <v>3644</v>
      </c>
      <c r="B3455" s="1">
        <v>46288</v>
      </c>
      <c r="C3455" t="s">
        <v>308</v>
      </c>
      <c r="D3455" t="s">
        <v>54</v>
      </c>
      <c r="E3455" t="s">
        <v>64</v>
      </c>
      <c r="F3455" t="s">
        <v>54</v>
      </c>
      <c r="G3455">
        <v>364.71</v>
      </c>
      <c r="H3455" t="s">
        <v>15</v>
      </c>
      <c r="I3455" t="s">
        <v>22</v>
      </c>
      <c r="J3455" t="s">
        <v>89</v>
      </c>
    </row>
    <row r="3456" spans="1:10" x14ac:dyDescent="0.35">
      <c r="A3456" t="s">
        <v>3645</v>
      </c>
      <c r="B3456" s="1">
        <v>46288</v>
      </c>
      <c r="C3456" t="s">
        <v>411</v>
      </c>
      <c r="D3456" t="s">
        <v>29</v>
      </c>
      <c r="E3456" t="s">
        <v>151</v>
      </c>
      <c r="F3456" t="s">
        <v>14</v>
      </c>
      <c r="G3456">
        <v>52.15</v>
      </c>
      <c r="H3456" t="s">
        <v>15</v>
      </c>
      <c r="I3456" t="s">
        <v>22</v>
      </c>
      <c r="J3456" t="s">
        <v>151</v>
      </c>
    </row>
    <row r="3457" spans="1:10" x14ac:dyDescent="0.35">
      <c r="A3457" t="s">
        <v>3646</v>
      </c>
      <c r="B3457" s="1">
        <v>46288</v>
      </c>
      <c r="C3457" t="s">
        <v>11</v>
      </c>
      <c r="D3457" t="s">
        <v>12</v>
      </c>
      <c r="E3457" t="s">
        <v>13</v>
      </c>
      <c r="F3457" t="s">
        <v>14</v>
      </c>
      <c r="G3457">
        <v>50.55</v>
      </c>
      <c r="H3457" t="s">
        <v>15</v>
      </c>
      <c r="I3457" t="s">
        <v>36</v>
      </c>
      <c r="J3457" t="s">
        <v>17</v>
      </c>
    </row>
    <row r="3458" spans="1:10" x14ac:dyDescent="0.35">
      <c r="A3458" t="s">
        <v>3647</v>
      </c>
      <c r="B3458" s="1">
        <v>46288</v>
      </c>
      <c r="C3458" t="s">
        <v>198</v>
      </c>
      <c r="D3458" t="s">
        <v>59</v>
      </c>
      <c r="E3458" t="s">
        <v>199</v>
      </c>
      <c r="F3458" t="s">
        <v>14</v>
      </c>
      <c r="G3458">
        <v>141.76</v>
      </c>
      <c r="H3458" t="s">
        <v>15</v>
      </c>
      <c r="I3458" t="s">
        <v>47</v>
      </c>
      <c r="J3458" t="s">
        <v>61</v>
      </c>
    </row>
    <row r="3459" spans="1:10" x14ac:dyDescent="0.35">
      <c r="A3459" t="s">
        <v>3648</v>
      </c>
      <c r="B3459" s="1">
        <v>46288</v>
      </c>
      <c r="C3459" t="s">
        <v>155</v>
      </c>
      <c r="D3459" t="s">
        <v>12</v>
      </c>
      <c r="E3459" t="s">
        <v>51</v>
      </c>
      <c r="F3459" t="s">
        <v>14</v>
      </c>
      <c r="G3459">
        <v>30.8</v>
      </c>
      <c r="H3459" t="s">
        <v>15</v>
      </c>
      <c r="I3459" t="s">
        <v>47</v>
      </c>
      <c r="J3459" t="s">
        <v>48</v>
      </c>
    </row>
    <row r="3460" spans="1:10" x14ac:dyDescent="0.35">
      <c r="A3460" t="s">
        <v>3649</v>
      </c>
      <c r="B3460" s="1">
        <v>46288</v>
      </c>
      <c r="C3460" t="s">
        <v>350</v>
      </c>
      <c r="D3460" t="s">
        <v>29</v>
      </c>
      <c r="E3460" t="s">
        <v>151</v>
      </c>
      <c r="F3460" t="s">
        <v>14</v>
      </c>
      <c r="G3460">
        <v>30.47</v>
      </c>
      <c r="H3460" t="s">
        <v>15</v>
      </c>
      <c r="I3460" t="s">
        <v>16</v>
      </c>
      <c r="J3460" t="s">
        <v>158</v>
      </c>
    </row>
    <row r="3461" spans="1:10" x14ac:dyDescent="0.35">
      <c r="A3461" t="s">
        <v>3650</v>
      </c>
      <c r="B3461" s="1">
        <v>46288</v>
      </c>
      <c r="C3461" t="s">
        <v>19</v>
      </c>
      <c r="D3461" t="s">
        <v>12</v>
      </c>
      <c r="E3461" t="s">
        <v>13</v>
      </c>
      <c r="F3461" t="s">
        <v>14</v>
      </c>
      <c r="G3461">
        <v>45.55</v>
      </c>
      <c r="H3461" t="s">
        <v>15</v>
      </c>
      <c r="I3461" t="s">
        <v>22</v>
      </c>
      <c r="J3461" t="s">
        <v>23</v>
      </c>
    </row>
    <row r="3462" spans="1:10" x14ac:dyDescent="0.35">
      <c r="A3462" t="s">
        <v>3651</v>
      </c>
      <c r="B3462" s="1">
        <v>46288</v>
      </c>
      <c r="C3462" t="s">
        <v>215</v>
      </c>
      <c r="D3462" t="s">
        <v>80</v>
      </c>
      <c r="E3462" t="s">
        <v>117</v>
      </c>
      <c r="F3462" t="s">
        <v>14</v>
      </c>
      <c r="G3462">
        <v>73.08</v>
      </c>
      <c r="H3462" t="s">
        <v>21</v>
      </c>
      <c r="I3462" t="s">
        <v>22</v>
      </c>
      <c r="J3462" t="s">
        <v>141</v>
      </c>
    </row>
    <row r="3463" spans="1:10" x14ac:dyDescent="0.35">
      <c r="A3463" t="s">
        <v>3652</v>
      </c>
      <c r="B3463" s="1">
        <v>46289</v>
      </c>
      <c r="C3463" t="s">
        <v>215</v>
      </c>
      <c r="D3463" t="s">
        <v>80</v>
      </c>
      <c r="E3463" t="s">
        <v>117</v>
      </c>
      <c r="F3463" t="s">
        <v>14</v>
      </c>
      <c r="G3463">
        <v>43.46</v>
      </c>
      <c r="H3463" t="s">
        <v>21</v>
      </c>
      <c r="I3463" t="s">
        <v>47</v>
      </c>
      <c r="J3463" t="s">
        <v>141</v>
      </c>
    </row>
    <row r="3464" spans="1:10" x14ac:dyDescent="0.35">
      <c r="A3464" t="s">
        <v>3653</v>
      </c>
      <c r="B3464" s="1">
        <v>46289</v>
      </c>
      <c r="C3464" t="s">
        <v>150</v>
      </c>
      <c r="D3464" t="s">
        <v>29</v>
      </c>
      <c r="E3464" t="s">
        <v>30</v>
      </c>
      <c r="F3464" t="s">
        <v>14</v>
      </c>
      <c r="G3464">
        <v>78.099999999999994</v>
      </c>
      <c r="H3464" t="s">
        <v>15</v>
      </c>
      <c r="I3464" t="s">
        <v>84</v>
      </c>
      <c r="J3464" t="s">
        <v>151</v>
      </c>
    </row>
    <row r="3465" spans="1:10" x14ac:dyDescent="0.35">
      <c r="A3465" t="s">
        <v>3654</v>
      </c>
      <c r="B3465" s="1">
        <v>46289</v>
      </c>
      <c r="C3465" t="s">
        <v>53</v>
      </c>
      <c r="D3465" t="s">
        <v>54</v>
      </c>
      <c r="E3465" t="s">
        <v>55</v>
      </c>
      <c r="F3465" t="s">
        <v>54</v>
      </c>
      <c r="G3465">
        <v>649.21</v>
      </c>
      <c r="H3465" t="s">
        <v>21</v>
      </c>
      <c r="I3465" t="s">
        <v>22</v>
      </c>
      <c r="J3465" t="s">
        <v>56</v>
      </c>
    </row>
    <row r="3466" spans="1:10" x14ac:dyDescent="0.35">
      <c r="A3466" t="s">
        <v>3655</v>
      </c>
      <c r="B3466" s="1">
        <v>46289</v>
      </c>
      <c r="C3466" t="s">
        <v>76</v>
      </c>
      <c r="D3466" t="s">
        <v>12</v>
      </c>
      <c r="E3466" t="s">
        <v>13</v>
      </c>
      <c r="F3466" t="s">
        <v>14</v>
      </c>
      <c r="G3466">
        <v>27.95</v>
      </c>
      <c r="H3466" t="s">
        <v>15</v>
      </c>
      <c r="I3466" t="s">
        <v>36</v>
      </c>
      <c r="J3466" t="s">
        <v>77</v>
      </c>
    </row>
    <row r="3467" spans="1:10" x14ac:dyDescent="0.35">
      <c r="A3467" t="s">
        <v>3656</v>
      </c>
      <c r="B3467" s="1">
        <v>46289</v>
      </c>
      <c r="C3467" t="s">
        <v>243</v>
      </c>
      <c r="D3467" t="s">
        <v>101</v>
      </c>
      <c r="E3467" t="s">
        <v>244</v>
      </c>
      <c r="F3467" t="s">
        <v>14</v>
      </c>
      <c r="G3467">
        <v>70.5</v>
      </c>
      <c r="H3467" t="s">
        <v>15</v>
      </c>
      <c r="I3467" t="s">
        <v>22</v>
      </c>
      <c r="J3467" t="s">
        <v>102</v>
      </c>
    </row>
    <row r="3468" spans="1:10" x14ac:dyDescent="0.35">
      <c r="A3468" t="s">
        <v>3657</v>
      </c>
      <c r="B3468" s="1">
        <v>46289</v>
      </c>
      <c r="C3468" t="s">
        <v>50</v>
      </c>
      <c r="D3468" t="s">
        <v>12</v>
      </c>
      <c r="E3468" t="s">
        <v>51</v>
      </c>
      <c r="F3468" t="s">
        <v>14</v>
      </c>
      <c r="G3468">
        <v>76.67</v>
      </c>
      <c r="H3468" t="s">
        <v>21</v>
      </c>
      <c r="I3468" t="s">
        <v>22</v>
      </c>
      <c r="J3468" t="s">
        <v>44</v>
      </c>
    </row>
    <row r="3469" spans="1:10" x14ac:dyDescent="0.35">
      <c r="A3469" t="s">
        <v>3658</v>
      </c>
      <c r="B3469" s="1">
        <v>46290</v>
      </c>
      <c r="C3469" t="s">
        <v>113</v>
      </c>
      <c r="D3469" t="s">
        <v>34</v>
      </c>
      <c r="E3469" t="s">
        <v>40</v>
      </c>
      <c r="F3469" t="s">
        <v>14</v>
      </c>
      <c r="G3469">
        <v>127.53</v>
      </c>
      <c r="H3469" t="s">
        <v>15</v>
      </c>
      <c r="I3469" t="s">
        <v>22</v>
      </c>
      <c r="J3469" t="s">
        <v>37</v>
      </c>
    </row>
    <row r="3470" spans="1:10" x14ac:dyDescent="0.35">
      <c r="A3470" t="s">
        <v>3659</v>
      </c>
      <c r="B3470" s="1">
        <v>46290</v>
      </c>
      <c r="C3470" t="s">
        <v>411</v>
      </c>
      <c r="D3470" t="s">
        <v>29</v>
      </c>
      <c r="E3470" t="s">
        <v>151</v>
      </c>
      <c r="F3470" t="s">
        <v>14</v>
      </c>
      <c r="G3470">
        <v>27.77</v>
      </c>
      <c r="H3470" t="s">
        <v>15</v>
      </c>
      <c r="I3470" t="s">
        <v>36</v>
      </c>
      <c r="J3470" t="s">
        <v>151</v>
      </c>
    </row>
    <row r="3471" spans="1:10" x14ac:dyDescent="0.35">
      <c r="A3471" t="s">
        <v>3660</v>
      </c>
      <c r="B3471" s="1">
        <v>46290</v>
      </c>
      <c r="C3471" t="s">
        <v>53</v>
      </c>
      <c r="D3471" t="s">
        <v>54</v>
      </c>
      <c r="E3471" t="s">
        <v>55</v>
      </c>
      <c r="F3471" t="s">
        <v>54</v>
      </c>
      <c r="G3471">
        <v>706.9</v>
      </c>
      <c r="H3471" t="s">
        <v>15</v>
      </c>
      <c r="I3471" t="s">
        <v>22</v>
      </c>
      <c r="J3471" t="s">
        <v>56</v>
      </c>
    </row>
    <row r="3472" spans="1:10" x14ac:dyDescent="0.35">
      <c r="A3472" t="s">
        <v>3661</v>
      </c>
      <c r="B3472" s="1">
        <v>46290</v>
      </c>
      <c r="C3472" t="s">
        <v>376</v>
      </c>
      <c r="D3472" t="s">
        <v>80</v>
      </c>
      <c r="E3472" t="s">
        <v>117</v>
      </c>
      <c r="F3472" t="s">
        <v>14</v>
      </c>
      <c r="G3472">
        <v>97.76</v>
      </c>
      <c r="H3472" t="s">
        <v>15</v>
      </c>
      <c r="I3472" t="s">
        <v>47</v>
      </c>
      <c r="J3472" t="s">
        <v>82</v>
      </c>
    </row>
    <row r="3473" spans="1:10" x14ac:dyDescent="0.35">
      <c r="A3473" t="s">
        <v>3662</v>
      </c>
      <c r="B3473" s="1">
        <v>46290</v>
      </c>
      <c r="C3473" t="s">
        <v>253</v>
      </c>
      <c r="D3473" t="s">
        <v>29</v>
      </c>
      <c r="E3473" t="s">
        <v>30</v>
      </c>
      <c r="F3473" t="s">
        <v>14</v>
      </c>
      <c r="G3473">
        <v>94.93</v>
      </c>
      <c r="H3473" t="s">
        <v>21</v>
      </c>
      <c r="I3473" t="s">
        <v>47</v>
      </c>
      <c r="J3473" t="s">
        <v>158</v>
      </c>
    </row>
    <row r="3474" spans="1:10" x14ac:dyDescent="0.35">
      <c r="A3474" t="s">
        <v>3663</v>
      </c>
      <c r="B3474" s="1">
        <v>46291</v>
      </c>
      <c r="C3474" t="s">
        <v>331</v>
      </c>
      <c r="D3474" t="s">
        <v>29</v>
      </c>
      <c r="E3474" t="s">
        <v>95</v>
      </c>
      <c r="F3474" t="s">
        <v>14</v>
      </c>
      <c r="G3474">
        <v>108.37</v>
      </c>
      <c r="H3474" t="s">
        <v>15</v>
      </c>
      <c r="I3474" t="s">
        <v>36</v>
      </c>
      <c r="J3474" t="s">
        <v>151</v>
      </c>
    </row>
    <row r="3475" spans="1:10" x14ac:dyDescent="0.35">
      <c r="A3475" t="s">
        <v>3664</v>
      </c>
      <c r="B3475" s="1">
        <v>46291</v>
      </c>
      <c r="C3475" t="s">
        <v>68</v>
      </c>
      <c r="D3475" t="s">
        <v>69</v>
      </c>
      <c r="E3475" t="s">
        <v>70</v>
      </c>
      <c r="F3475" t="s">
        <v>14</v>
      </c>
      <c r="G3475">
        <v>432.86</v>
      </c>
      <c r="H3475" t="s">
        <v>15</v>
      </c>
      <c r="I3475" t="s">
        <v>36</v>
      </c>
      <c r="J3475" t="s">
        <v>71</v>
      </c>
    </row>
    <row r="3476" spans="1:10" x14ac:dyDescent="0.35">
      <c r="A3476" t="s">
        <v>3665</v>
      </c>
      <c r="B3476" s="1">
        <v>46291</v>
      </c>
      <c r="C3476" t="s">
        <v>251</v>
      </c>
      <c r="D3476" t="s">
        <v>29</v>
      </c>
      <c r="E3476" t="s">
        <v>151</v>
      </c>
      <c r="F3476" t="s">
        <v>14</v>
      </c>
      <c r="G3476">
        <v>25.7</v>
      </c>
      <c r="H3476" t="s">
        <v>15</v>
      </c>
      <c r="I3476" t="s">
        <v>16</v>
      </c>
      <c r="J3476" t="s">
        <v>31</v>
      </c>
    </row>
    <row r="3477" spans="1:10" x14ac:dyDescent="0.35">
      <c r="A3477" t="s">
        <v>3666</v>
      </c>
      <c r="B3477" s="1">
        <v>46291</v>
      </c>
      <c r="C3477" t="s">
        <v>424</v>
      </c>
      <c r="D3477" t="s">
        <v>101</v>
      </c>
      <c r="E3477" t="s">
        <v>136</v>
      </c>
      <c r="F3477" t="s">
        <v>14</v>
      </c>
      <c r="G3477">
        <v>64.239999999999995</v>
      </c>
      <c r="H3477" t="s">
        <v>21</v>
      </c>
      <c r="I3477" t="s">
        <v>16</v>
      </c>
      <c r="J3477" t="s">
        <v>102</v>
      </c>
    </row>
    <row r="3478" spans="1:10" x14ac:dyDescent="0.35">
      <c r="A3478" t="s">
        <v>3667</v>
      </c>
      <c r="B3478" s="1">
        <v>46291</v>
      </c>
      <c r="C3478" t="s">
        <v>256</v>
      </c>
      <c r="D3478" t="s">
        <v>34</v>
      </c>
      <c r="E3478" t="s">
        <v>40</v>
      </c>
      <c r="F3478" t="s">
        <v>14</v>
      </c>
      <c r="G3478">
        <v>122.48</v>
      </c>
      <c r="H3478" t="s">
        <v>15</v>
      </c>
      <c r="I3478" t="s">
        <v>36</v>
      </c>
      <c r="J3478" t="s">
        <v>239</v>
      </c>
    </row>
    <row r="3479" spans="1:10" x14ac:dyDescent="0.35">
      <c r="A3479" t="s">
        <v>3668</v>
      </c>
      <c r="B3479" s="1">
        <v>46292</v>
      </c>
      <c r="C3479" t="s">
        <v>269</v>
      </c>
      <c r="D3479" t="s">
        <v>34</v>
      </c>
      <c r="E3479" t="s">
        <v>35</v>
      </c>
      <c r="F3479" t="s">
        <v>14</v>
      </c>
      <c r="G3479">
        <v>182.87</v>
      </c>
      <c r="H3479" t="s">
        <v>98</v>
      </c>
      <c r="I3479" t="s">
        <v>47</v>
      </c>
      <c r="J3479" t="s">
        <v>123</v>
      </c>
    </row>
    <row r="3480" spans="1:10" x14ac:dyDescent="0.35">
      <c r="A3480" t="s">
        <v>3669</v>
      </c>
      <c r="B3480" s="1">
        <v>46292</v>
      </c>
      <c r="C3480" t="s">
        <v>580</v>
      </c>
      <c r="D3480" t="s">
        <v>80</v>
      </c>
      <c r="E3480" t="s">
        <v>81</v>
      </c>
      <c r="F3480" t="s">
        <v>14</v>
      </c>
      <c r="G3480">
        <v>137.51</v>
      </c>
      <c r="H3480" t="s">
        <v>21</v>
      </c>
      <c r="I3480" t="s">
        <v>47</v>
      </c>
      <c r="J3480" t="s">
        <v>118</v>
      </c>
    </row>
    <row r="3481" spans="1:10" x14ac:dyDescent="0.35">
      <c r="A3481" t="s">
        <v>3670</v>
      </c>
      <c r="B3481" s="1">
        <v>46292</v>
      </c>
      <c r="C3481" t="s">
        <v>143</v>
      </c>
      <c r="D3481" t="s">
        <v>54</v>
      </c>
      <c r="E3481" t="s">
        <v>55</v>
      </c>
      <c r="F3481" t="s">
        <v>54</v>
      </c>
      <c r="G3481">
        <v>744.87</v>
      </c>
      <c r="H3481" t="s">
        <v>15</v>
      </c>
      <c r="I3481" t="s">
        <v>47</v>
      </c>
      <c r="J3481" t="s">
        <v>89</v>
      </c>
    </row>
    <row r="3482" spans="1:10" x14ac:dyDescent="0.35">
      <c r="A3482" t="s">
        <v>3671</v>
      </c>
      <c r="B3482" s="1">
        <v>46292</v>
      </c>
      <c r="C3482" t="s">
        <v>153</v>
      </c>
      <c r="D3482" t="s">
        <v>34</v>
      </c>
      <c r="E3482" t="s">
        <v>122</v>
      </c>
      <c r="F3482" t="s">
        <v>14</v>
      </c>
      <c r="G3482">
        <v>104.3</v>
      </c>
      <c r="H3482" t="s">
        <v>15</v>
      </c>
      <c r="I3482" t="s">
        <v>16</v>
      </c>
      <c r="J3482" t="s">
        <v>41</v>
      </c>
    </row>
    <row r="3483" spans="1:10" x14ac:dyDescent="0.35">
      <c r="A3483" t="s">
        <v>3672</v>
      </c>
      <c r="B3483" s="1">
        <v>46292</v>
      </c>
      <c r="C3483" t="s">
        <v>177</v>
      </c>
      <c r="D3483" t="s">
        <v>54</v>
      </c>
      <c r="E3483" t="s">
        <v>74</v>
      </c>
      <c r="F3483" t="s">
        <v>54</v>
      </c>
      <c r="G3483">
        <v>2845.69</v>
      </c>
      <c r="H3483" t="s">
        <v>21</v>
      </c>
      <c r="I3483" t="s">
        <v>22</v>
      </c>
      <c r="J3483" t="s">
        <v>56</v>
      </c>
    </row>
    <row r="3484" spans="1:10" x14ac:dyDescent="0.35">
      <c r="A3484" t="s">
        <v>3673</v>
      </c>
      <c r="B3484" s="1">
        <v>46292</v>
      </c>
      <c r="C3484" t="s">
        <v>272</v>
      </c>
      <c r="D3484" t="s">
        <v>54</v>
      </c>
      <c r="E3484" t="s">
        <v>55</v>
      </c>
      <c r="F3484" t="s">
        <v>54</v>
      </c>
      <c r="G3484">
        <v>570.29</v>
      </c>
      <c r="H3484" t="s">
        <v>15</v>
      </c>
      <c r="I3484" t="s">
        <v>16</v>
      </c>
      <c r="J3484" t="s">
        <v>65</v>
      </c>
    </row>
    <row r="3485" spans="1:10" x14ac:dyDescent="0.35">
      <c r="A3485" t="s">
        <v>3674</v>
      </c>
      <c r="B3485" s="1">
        <v>46293</v>
      </c>
      <c r="C3485" t="s">
        <v>172</v>
      </c>
      <c r="D3485" t="s">
        <v>101</v>
      </c>
      <c r="E3485" t="s">
        <v>102</v>
      </c>
      <c r="F3485" t="s">
        <v>14</v>
      </c>
      <c r="G3485">
        <v>86.05</v>
      </c>
      <c r="H3485" t="s">
        <v>15</v>
      </c>
      <c r="I3485" t="s">
        <v>22</v>
      </c>
      <c r="J3485" t="s">
        <v>102</v>
      </c>
    </row>
    <row r="3486" spans="1:10" x14ac:dyDescent="0.35">
      <c r="A3486" t="s">
        <v>3675</v>
      </c>
      <c r="B3486" s="1">
        <v>46293</v>
      </c>
      <c r="C3486" t="s">
        <v>184</v>
      </c>
      <c r="D3486" t="s">
        <v>59</v>
      </c>
      <c r="E3486" t="s">
        <v>185</v>
      </c>
      <c r="F3486" t="s">
        <v>14</v>
      </c>
      <c r="G3486">
        <v>140.19999999999999</v>
      </c>
      <c r="H3486" t="s">
        <v>21</v>
      </c>
      <c r="I3486" t="s">
        <v>22</v>
      </c>
      <c r="J3486" t="s">
        <v>61</v>
      </c>
    </row>
    <row r="3487" spans="1:10" x14ac:dyDescent="0.35">
      <c r="A3487" t="s">
        <v>3676</v>
      </c>
      <c r="B3487" s="1">
        <v>46293</v>
      </c>
      <c r="C3487" t="s">
        <v>58</v>
      </c>
      <c r="D3487" t="s">
        <v>59</v>
      </c>
      <c r="E3487" t="s">
        <v>60</v>
      </c>
      <c r="F3487" t="s">
        <v>14</v>
      </c>
      <c r="G3487">
        <v>950</v>
      </c>
      <c r="H3487" t="s">
        <v>15</v>
      </c>
      <c r="I3487" t="s">
        <v>22</v>
      </c>
      <c r="J3487" t="s">
        <v>61</v>
      </c>
    </row>
    <row r="3488" spans="1:10" x14ac:dyDescent="0.35">
      <c r="A3488" t="s">
        <v>3677</v>
      </c>
      <c r="B3488" s="1">
        <v>46293</v>
      </c>
      <c r="C3488" t="s">
        <v>290</v>
      </c>
      <c r="D3488" t="s">
        <v>69</v>
      </c>
      <c r="E3488" t="s">
        <v>291</v>
      </c>
      <c r="F3488" t="s">
        <v>14</v>
      </c>
      <c r="G3488">
        <v>233.19</v>
      </c>
      <c r="H3488" t="s">
        <v>15</v>
      </c>
      <c r="I3488" t="s">
        <v>16</v>
      </c>
      <c r="J3488" t="s">
        <v>292</v>
      </c>
    </row>
    <row r="3489" spans="1:10" x14ac:dyDescent="0.35">
      <c r="A3489" t="s">
        <v>3678</v>
      </c>
      <c r="B3489" s="1">
        <v>46294</v>
      </c>
      <c r="C3489" t="s">
        <v>73</v>
      </c>
      <c r="D3489" t="s">
        <v>54</v>
      </c>
      <c r="E3489" t="s">
        <v>74</v>
      </c>
      <c r="F3489" t="s">
        <v>54</v>
      </c>
      <c r="G3489">
        <v>2585.7800000000002</v>
      </c>
      <c r="H3489" t="s">
        <v>15</v>
      </c>
      <c r="I3489" t="s">
        <v>22</v>
      </c>
      <c r="J3489" t="s">
        <v>65</v>
      </c>
    </row>
    <row r="3490" spans="1:10" x14ac:dyDescent="0.35">
      <c r="A3490" t="s">
        <v>3679</v>
      </c>
      <c r="B3490" s="1">
        <v>46294</v>
      </c>
      <c r="C3490" t="s">
        <v>251</v>
      </c>
      <c r="D3490" t="s">
        <v>29</v>
      </c>
      <c r="E3490" t="s">
        <v>151</v>
      </c>
      <c r="F3490" t="s">
        <v>14</v>
      </c>
      <c r="G3490">
        <v>34.270000000000003</v>
      </c>
      <c r="H3490" t="s">
        <v>15</v>
      </c>
      <c r="I3490" t="s">
        <v>36</v>
      </c>
      <c r="J3490" t="s">
        <v>31</v>
      </c>
    </row>
    <row r="3491" spans="1:10" x14ac:dyDescent="0.35">
      <c r="A3491" t="s">
        <v>3680</v>
      </c>
      <c r="B3491" s="1">
        <v>46294</v>
      </c>
      <c r="C3491" t="s">
        <v>11</v>
      </c>
      <c r="D3491" t="s">
        <v>12</v>
      </c>
      <c r="E3491" t="s">
        <v>13</v>
      </c>
      <c r="F3491" t="s">
        <v>14</v>
      </c>
      <c r="G3491">
        <v>130.35</v>
      </c>
      <c r="H3491" t="s">
        <v>15</v>
      </c>
      <c r="I3491" t="s">
        <v>22</v>
      </c>
      <c r="J3491" t="s">
        <v>17</v>
      </c>
    </row>
    <row r="3492" spans="1:10" x14ac:dyDescent="0.35">
      <c r="A3492" t="s">
        <v>3681</v>
      </c>
      <c r="B3492" s="1">
        <v>46294</v>
      </c>
      <c r="C3492" t="s">
        <v>238</v>
      </c>
      <c r="D3492" t="s">
        <v>34</v>
      </c>
      <c r="E3492" t="s">
        <v>35</v>
      </c>
      <c r="F3492" t="s">
        <v>14</v>
      </c>
      <c r="G3492">
        <v>68.48</v>
      </c>
      <c r="H3492" t="s">
        <v>15</v>
      </c>
      <c r="I3492" t="s">
        <v>22</v>
      </c>
      <c r="J3492" t="s">
        <v>239</v>
      </c>
    </row>
    <row r="3493" spans="1:10" x14ac:dyDescent="0.35">
      <c r="A3493" t="s">
        <v>3682</v>
      </c>
      <c r="B3493" s="1">
        <v>46294</v>
      </c>
      <c r="C3493" t="s">
        <v>39</v>
      </c>
      <c r="D3493" t="s">
        <v>34</v>
      </c>
      <c r="E3493" t="s">
        <v>40</v>
      </c>
      <c r="F3493" t="s">
        <v>14</v>
      </c>
      <c r="G3493">
        <v>65.61</v>
      </c>
      <c r="H3493" t="s">
        <v>98</v>
      </c>
      <c r="I3493" t="s">
        <v>16</v>
      </c>
      <c r="J3493" t="s">
        <v>41</v>
      </c>
    </row>
    <row r="3494" spans="1:10" x14ac:dyDescent="0.35">
      <c r="A3494" t="s">
        <v>3683</v>
      </c>
      <c r="B3494" s="1">
        <v>46294</v>
      </c>
      <c r="C3494" t="s">
        <v>269</v>
      </c>
      <c r="D3494" t="s">
        <v>34</v>
      </c>
      <c r="E3494" t="s">
        <v>35</v>
      </c>
      <c r="F3494" t="s">
        <v>14</v>
      </c>
      <c r="G3494">
        <v>82.2</v>
      </c>
      <c r="H3494" t="s">
        <v>15</v>
      </c>
      <c r="I3494" t="s">
        <v>47</v>
      </c>
      <c r="J3494" t="s">
        <v>123</v>
      </c>
    </row>
    <row r="3495" spans="1:10" x14ac:dyDescent="0.35">
      <c r="A3495" t="s">
        <v>3684</v>
      </c>
      <c r="B3495" s="1">
        <v>46294</v>
      </c>
      <c r="C3495" t="s">
        <v>111</v>
      </c>
      <c r="D3495" t="s">
        <v>12</v>
      </c>
      <c r="E3495" t="s">
        <v>26</v>
      </c>
      <c r="F3495" t="s">
        <v>14</v>
      </c>
      <c r="G3495">
        <v>42.28</v>
      </c>
      <c r="H3495" t="s">
        <v>21</v>
      </c>
      <c r="I3495" t="s">
        <v>47</v>
      </c>
      <c r="J3495" t="s">
        <v>23</v>
      </c>
    </row>
    <row r="3496" spans="1:10" x14ac:dyDescent="0.35">
      <c r="A3496" t="s">
        <v>3685</v>
      </c>
      <c r="B3496" s="1">
        <v>46295</v>
      </c>
      <c r="C3496" t="s">
        <v>198</v>
      </c>
      <c r="D3496" t="s">
        <v>59</v>
      </c>
      <c r="E3496" t="s">
        <v>199</v>
      </c>
      <c r="F3496" t="s">
        <v>14</v>
      </c>
      <c r="G3496">
        <v>247.4</v>
      </c>
      <c r="H3496" t="s">
        <v>15</v>
      </c>
      <c r="I3496" t="s">
        <v>84</v>
      </c>
      <c r="J3496" t="s">
        <v>61</v>
      </c>
    </row>
    <row r="3497" spans="1:10" x14ac:dyDescent="0.35">
      <c r="A3497" t="s">
        <v>3686</v>
      </c>
      <c r="B3497" s="1">
        <v>46295</v>
      </c>
      <c r="C3497" t="s">
        <v>172</v>
      </c>
      <c r="D3497" t="s">
        <v>101</v>
      </c>
      <c r="E3497" t="s">
        <v>102</v>
      </c>
      <c r="F3497" t="s">
        <v>14</v>
      </c>
      <c r="G3497">
        <v>41.63</v>
      </c>
      <c r="H3497" t="s">
        <v>21</v>
      </c>
      <c r="I3497" t="s">
        <v>22</v>
      </c>
      <c r="J3497" t="s">
        <v>102</v>
      </c>
    </row>
    <row r="3498" spans="1:10" x14ac:dyDescent="0.35">
      <c r="A3498" t="s">
        <v>3687</v>
      </c>
      <c r="B3498" s="1">
        <v>46295</v>
      </c>
      <c r="C3498" t="s">
        <v>253</v>
      </c>
      <c r="D3498" t="s">
        <v>29</v>
      </c>
      <c r="E3498" t="s">
        <v>30</v>
      </c>
      <c r="F3498" t="s">
        <v>14</v>
      </c>
      <c r="G3498">
        <v>42.44</v>
      </c>
      <c r="H3498" t="s">
        <v>15</v>
      </c>
      <c r="I3498" t="s">
        <v>84</v>
      </c>
      <c r="J3498" t="s">
        <v>158</v>
      </c>
    </row>
    <row r="3499" spans="1:10" x14ac:dyDescent="0.35">
      <c r="A3499" t="s">
        <v>3688</v>
      </c>
      <c r="B3499" s="1">
        <v>46295</v>
      </c>
      <c r="C3499" t="s">
        <v>25</v>
      </c>
      <c r="D3499" t="s">
        <v>12</v>
      </c>
      <c r="E3499" t="s">
        <v>26</v>
      </c>
      <c r="F3499" t="s">
        <v>14</v>
      </c>
      <c r="G3499">
        <v>40.6</v>
      </c>
      <c r="H3499" t="s">
        <v>15</v>
      </c>
      <c r="I3499" t="s">
        <v>22</v>
      </c>
      <c r="J3499" t="s">
        <v>17</v>
      </c>
    </row>
    <row r="3500" spans="1:10" x14ac:dyDescent="0.35">
      <c r="A3500" t="s">
        <v>3689</v>
      </c>
      <c r="B3500" s="1">
        <v>46295</v>
      </c>
      <c r="C3500" t="s">
        <v>256</v>
      </c>
      <c r="D3500" t="s">
        <v>34</v>
      </c>
      <c r="E3500" t="s">
        <v>40</v>
      </c>
      <c r="F3500" t="s">
        <v>14</v>
      </c>
      <c r="G3500">
        <v>241.64</v>
      </c>
      <c r="H3500" t="s">
        <v>98</v>
      </c>
      <c r="I3500" t="s">
        <v>22</v>
      </c>
      <c r="J3500" t="s">
        <v>239</v>
      </c>
    </row>
    <row r="3501" spans="1:10" x14ac:dyDescent="0.35">
      <c r="A3501" t="s">
        <v>3690</v>
      </c>
      <c r="B3501" s="1">
        <v>46295</v>
      </c>
      <c r="C3501" t="s">
        <v>229</v>
      </c>
      <c r="D3501" t="s">
        <v>54</v>
      </c>
      <c r="E3501" t="s">
        <v>64</v>
      </c>
      <c r="F3501" t="s">
        <v>54</v>
      </c>
      <c r="G3501">
        <v>376.97</v>
      </c>
      <c r="H3501" t="s">
        <v>15</v>
      </c>
      <c r="I3501" t="s">
        <v>22</v>
      </c>
      <c r="J3501" t="s">
        <v>56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C4D2-D620-468A-9ED8-229E0E70B0F8}">
  <sheetPr codeName="Sheet4"/>
  <dimension ref="B3:AC38"/>
  <sheetViews>
    <sheetView zoomScaleNormal="100" workbookViewId="0">
      <selection activeCell="B3" sqref="B3"/>
    </sheetView>
  </sheetViews>
  <sheetFormatPr defaultRowHeight="14.5" x14ac:dyDescent="0.35"/>
  <cols>
    <col min="2" max="2" width="19.36328125" bestFit="1" customWidth="1"/>
    <col min="3" max="3" width="18.90625" bestFit="1" customWidth="1"/>
    <col min="4" max="4" width="15.08984375" bestFit="1" customWidth="1"/>
    <col min="5" max="5" width="17" bestFit="1" customWidth="1"/>
    <col min="6" max="7" width="15.08984375" bestFit="1" customWidth="1"/>
    <col min="9" max="9" width="179" bestFit="1" customWidth="1"/>
    <col min="26" max="26" width="11.81640625" customWidth="1"/>
    <col min="27" max="27" width="9.6328125" customWidth="1"/>
    <col min="28" max="28" width="8.08984375" customWidth="1"/>
  </cols>
  <sheetData>
    <row r="3" spans="2:9" ht="21" x14ac:dyDescent="0.5">
      <c r="B3" s="14" t="s">
        <v>3746</v>
      </c>
      <c r="C3" s="14" t="s">
        <v>3718</v>
      </c>
      <c r="D3" s="14"/>
      <c r="E3" s="14"/>
      <c r="F3" s="14"/>
      <c r="G3" s="14"/>
      <c r="I3" s="8" t="s">
        <v>3720</v>
      </c>
    </row>
    <row r="4" spans="2:9" ht="21" x14ac:dyDescent="0.5">
      <c r="B4" s="14" t="s">
        <v>3745</v>
      </c>
      <c r="C4" s="14" t="s">
        <v>14</v>
      </c>
      <c r="D4" s="14" t="s">
        <v>54</v>
      </c>
      <c r="E4" s="14" t="s">
        <v>3740</v>
      </c>
      <c r="F4" s="14" t="s">
        <v>3696</v>
      </c>
      <c r="G4" s="14" t="s">
        <v>3697</v>
      </c>
      <c r="I4" s="9" t="s">
        <v>3724</v>
      </c>
    </row>
    <row r="5" spans="2:9" ht="21" x14ac:dyDescent="0.5">
      <c r="B5" s="4" t="s">
        <v>3704</v>
      </c>
      <c r="C5" s="11">
        <v>206434.55000000005</v>
      </c>
      <c r="D5" s="11">
        <v>462956.61</v>
      </c>
      <c r="E5" s="11">
        <v>669391.16000000015</v>
      </c>
      <c r="F5" s="6">
        <f>D5-C5</f>
        <v>256522.05999999994</v>
      </c>
      <c r="G5" s="7">
        <f>F5/D5</f>
        <v>0.55409525311670127</v>
      </c>
      <c r="I5" s="8" t="s">
        <v>3721</v>
      </c>
    </row>
    <row r="6" spans="2:9" ht="21" x14ac:dyDescent="0.5">
      <c r="B6" s="5" t="s">
        <v>3706</v>
      </c>
      <c r="C6" s="11">
        <v>17171.990000000002</v>
      </c>
      <c r="D6" s="11">
        <v>35995.990000000005</v>
      </c>
      <c r="E6" s="11">
        <v>53167.98000000001</v>
      </c>
      <c r="F6" s="6">
        <f t="shared" ref="F6:F28" si="0">D6-C6</f>
        <v>18824.000000000004</v>
      </c>
      <c r="G6" s="7">
        <f t="shared" ref="G6:G28" si="1">F6/D6</f>
        <v>0.52294713938969317</v>
      </c>
      <c r="I6" s="9" t="s">
        <v>3725</v>
      </c>
    </row>
    <row r="7" spans="2:9" ht="21" x14ac:dyDescent="0.5">
      <c r="B7" s="5" t="s">
        <v>3707</v>
      </c>
      <c r="C7" s="11">
        <v>14154.300000000005</v>
      </c>
      <c r="D7" s="11">
        <v>37745.579999999994</v>
      </c>
      <c r="E7" s="11">
        <v>51899.88</v>
      </c>
      <c r="F7" s="6">
        <f t="shared" si="0"/>
        <v>23591.279999999992</v>
      </c>
      <c r="G7" s="7">
        <f t="shared" si="1"/>
        <v>0.62500774925170033</v>
      </c>
      <c r="I7" s="8" t="s">
        <v>3722</v>
      </c>
    </row>
    <row r="8" spans="2:9" ht="21" x14ac:dyDescent="0.5">
      <c r="B8" s="5" t="s">
        <v>3708</v>
      </c>
      <c r="C8" s="11">
        <v>15817.19</v>
      </c>
      <c r="D8" s="11">
        <v>48239.67</v>
      </c>
      <c r="E8" s="11">
        <v>64056.86</v>
      </c>
      <c r="F8" s="6">
        <f t="shared" si="0"/>
        <v>32422.479999999996</v>
      </c>
      <c r="G8" s="7">
        <f t="shared" si="1"/>
        <v>0.67211239214530272</v>
      </c>
      <c r="I8" s="9" t="s">
        <v>3726</v>
      </c>
    </row>
    <row r="9" spans="2:9" ht="21" x14ac:dyDescent="0.5">
      <c r="B9" s="5" t="s">
        <v>3709</v>
      </c>
      <c r="C9" s="11">
        <v>17515.730000000003</v>
      </c>
      <c r="D9" s="11">
        <v>28728.309999999998</v>
      </c>
      <c r="E9" s="11">
        <v>46244.04</v>
      </c>
      <c r="F9" s="6">
        <f t="shared" si="0"/>
        <v>11212.579999999994</v>
      </c>
      <c r="G9" s="7">
        <f t="shared" si="1"/>
        <v>0.39029723641940633</v>
      </c>
      <c r="I9" s="8" t="s">
        <v>3723</v>
      </c>
    </row>
    <row r="10" spans="2:9" ht="21" x14ac:dyDescent="0.5">
      <c r="B10" s="5" t="s">
        <v>3710</v>
      </c>
      <c r="C10" s="11">
        <v>23431.530000000013</v>
      </c>
      <c r="D10" s="11">
        <v>46689.009999999995</v>
      </c>
      <c r="E10" s="11">
        <v>70120.540000000008</v>
      </c>
      <c r="F10" s="6">
        <f t="shared" si="0"/>
        <v>23257.479999999981</v>
      </c>
      <c r="G10" s="7">
        <f t="shared" si="1"/>
        <v>0.49813607099400875</v>
      </c>
      <c r="I10" s="9" t="s">
        <v>3727</v>
      </c>
    </row>
    <row r="11" spans="2:9" x14ac:dyDescent="0.35">
      <c r="B11" s="5" t="s">
        <v>3711</v>
      </c>
      <c r="C11" s="11">
        <v>14547.259999999998</v>
      </c>
      <c r="D11" s="11">
        <v>33246.759999999995</v>
      </c>
      <c r="E11" s="11">
        <v>47794.01999999999</v>
      </c>
      <c r="F11" s="6">
        <f t="shared" si="0"/>
        <v>18699.499999999996</v>
      </c>
      <c r="G11" s="7">
        <f t="shared" si="1"/>
        <v>0.56244578419070002</v>
      </c>
    </row>
    <row r="12" spans="2:9" x14ac:dyDescent="0.35">
      <c r="B12" s="5" t="s">
        <v>3712</v>
      </c>
      <c r="C12" s="11">
        <v>18124.389999999992</v>
      </c>
      <c r="D12" s="11">
        <v>33853.410000000003</v>
      </c>
      <c r="E12" s="11">
        <v>51977.799999999996</v>
      </c>
      <c r="F12" s="6">
        <f t="shared" si="0"/>
        <v>15729.020000000011</v>
      </c>
      <c r="G12" s="7">
        <f t="shared" si="1"/>
        <v>0.46462143695420965</v>
      </c>
    </row>
    <row r="13" spans="2:9" x14ac:dyDescent="0.35">
      <c r="B13" s="5" t="s">
        <v>3713</v>
      </c>
      <c r="C13" s="11">
        <v>18291.590000000004</v>
      </c>
      <c r="D13" s="11">
        <v>54924.19000000001</v>
      </c>
      <c r="E13" s="11">
        <v>73215.780000000013</v>
      </c>
      <c r="F13" s="6">
        <f t="shared" si="0"/>
        <v>36632.600000000006</v>
      </c>
      <c r="G13" s="7">
        <f t="shared" si="1"/>
        <v>0.66696659522880541</v>
      </c>
    </row>
    <row r="14" spans="2:9" x14ac:dyDescent="0.35">
      <c r="B14" s="5" t="s">
        <v>3714</v>
      </c>
      <c r="C14" s="11">
        <v>17912.450000000004</v>
      </c>
      <c r="D14" s="11">
        <v>37130.530000000006</v>
      </c>
      <c r="E14" s="11">
        <v>55042.98000000001</v>
      </c>
      <c r="F14" s="6">
        <f t="shared" si="0"/>
        <v>19218.080000000002</v>
      </c>
      <c r="G14" s="7">
        <f t="shared" si="1"/>
        <v>0.51758162353190218</v>
      </c>
    </row>
    <row r="15" spans="2:9" x14ac:dyDescent="0.35">
      <c r="B15" s="5" t="s">
        <v>3715</v>
      </c>
      <c r="C15" s="11">
        <v>18396.350000000006</v>
      </c>
      <c r="D15" s="11">
        <v>28369.590000000004</v>
      </c>
      <c r="E15" s="11">
        <v>46765.94000000001</v>
      </c>
      <c r="F15" s="6">
        <f t="shared" si="0"/>
        <v>9973.239999999998</v>
      </c>
      <c r="G15" s="7">
        <f t="shared" si="1"/>
        <v>0.3515468499897248</v>
      </c>
    </row>
    <row r="16" spans="2:9" x14ac:dyDescent="0.35">
      <c r="B16" s="5" t="s">
        <v>3716</v>
      </c>
      <c r="C16" s="11">
        <v>18523.360000000015</v>
      </c>
      <c r="D16" s="11">
        <v>29201.789999999994</v>
      </c>
      <c r="E16" s="11">
        <v>47725.150000000009</v>
      </c>
      <c r="F16" s="6">
        <f t="shared" si="0"/>
        <v>10678.429999999978</v>
      </c>
      <c r="G16" s="7">
        <f t="shared" si="1"/>
        <v>0.36567724101844373</v>
      </c>
    </row>
    <row r="17" spans="2:29" x14ac:dyDescent="0.35">
      <c r="B17" s="5" t="s">
        <v>3717</v>
      </c>
      <c r="C17" s="11">
        <v>12548.409999999998</v>
      </c>
      <c r="D17" s="11">
        <v>48831.779999999984</v>
      </c>
      <c r="E17" s="11">
        <v>61380.189999999981</v>
      </c>
      <c r="F17" s="6">
        <f t="shared" si="0"/>
        <v>36283.369999999988</v>
      </c>
      <c r="G17" s="7">
        <f t="shared" si="1"/>
        <v>0.74302779869994495</v>
      </c>
      <c r="Z17" t="s">
        <v>3735</v>
      </c>
      <c r="AA17" t="s">
        <v>3734</v>
      </c>
      <c r="AB17" t="s">
        <v>54</v>
      </c>
    </row>
    <row r="18" spans="2:29" x14ac:dyDescent="0.35">
      <c r="B18" s="4" t="s">
        <v>3705</v>
      </c>
      <c r="C18" s="11">
        <v>162501.36000000002</v>
      </c>
      <c r="D18" s="11">
        <v>354220.17</v>
      </c>
      <c r="E18" s="11">
        <v>516721.53</v>
      </c>
      <c r="F18" s="6">
        <f t="shared" si="0"/>
        <v>191718.80999999997</v>
      </c>
      <c r="G18" s="7">
        <f t="shared" si="1"/>
        <v>0.54124193435963841</v>
      </c>
      <c r="Z18" s="23">
        <v>45658</v>
      </c>
      <c r="AA18" s="20">
        <v>17171.990000000002</v>
      </c>
      <c r="AB18" s="21">
        <v>35995.990000000005</v>
      </c>
      <c r="AC18" s="22"/>
    </row>
    <row r="19" spans="2:29" x14ac:dyDescent="0.35">
      <c r="B19" s="5" t="s">
        <v>3706</v>
      </c>
      <c r="C19" s="11">
        <v>14793.189999999995</v>
      </c>
      <c r="D19" s="11">
        <v>45934.130000000012</v>
      </c>
      <c r="E19" s="11">
        <v>60727.320000000007</v>
      </c>
      <c r="F19" s="6">
        <f t="shared" si="0"/>
        <v>31140.940000000017</v>
      </c>
      <c r="G19" s="7">
        <f t="shared" si="1"/>
        <v>0.67794774822120307</v>
      </c>
      <c r="Z19" s="23">
        <v>45689</v>
      </c>
      <c r="AA19" s="20">
        <v>14154.300000000005</v>
      </c>
      <c r="AB19" s="21">
        <v>37745.579999999994</v>
      </c>
      <c r="AC19" s="22"/>
    </row>
    <row r="20" spans="2:29" x14ac:dyDescent="0.35">
      <c r="B20" s="5" t="s">
        <v>3707</v>
      </c>
      <c r="C20" s="11">
        <v>17780.669999999995</v>
      </c>
      <c r="D20" s="11">
        <v>33306.829999999994</v>
      </c>
      <c r="E20" s="11">
        <v>51087.499999999985</v>
      </c>
      <c r="F20" s="6">
        <f t="shared" si="0"/>
        <v>15526.16</v>
      </c>
      <c r="G20" s="7">
        <f t="shared" si="1"/>
        <v>0.46615544019049554</v>
      </c>
      <c r="Z20" s="23">
        <v>45717</v>
      </c>
      <c r="AA20" s="20">
        <v>15817.19</v>
      </c>
      <c r="AB20" s="21">
        <v>48239.67</v>
      </c>
      <c r="AC20" s="22"/>
    </row>
    <row r="21" spans="2:29" x14ac:dyDescent="0.35">
      <c r="B21" s="5" t="s">
        <v>3708</v>
      </c>
      <c r="C21" s="11">
        <v>18342.589999999997</v>
      </c>
      <c r="D21" s="11">
        <v>38487.049999999996</v>
      </c>
      <c r="E21" s="11">
        <v>56829.639999999992</v>
      </c>
      <c r="F21" s="6">
        <f t="shared" si="0"/>
        <v>20144.46</v>
      </c>
      <c r="G21" s="7">
        <f t="shared" si="1"/>
        <v>0.52340878295426652</v>
      </c>
      <c r="Z21" s="23">
        <v>45748</v>
      </c>
      <c r="AA21" s="20">
        <v>17515.730000000003</v>
      </c>
      <c r="AB21" s="21">
        <v>28728.309999999998</v>
      </c>
      <c r="AC21" s="22"/>
    </row>
    <row r="22" spans="2:29" x14ac:dyDescent="0.35">
      <c r="B22" s="5" t="s">
        <v>3709</v>
      </c>
      <c r="C22" s="11">
        <v>19296.200000000004</v>
      </c>
      <c r="D22" s="11">
        <v>60915.079999999994</v>
      </c>
      <c r="E22" s="11">
        <v>80211.28</v>
      </c>
      <c r="F22" s="6">
        <f t="shared" si="0"/>
        <v>41618.87999999999</v>
      </c>
      <c r="G22" s="7">
        <f t="shared" si="1"/>
        <v>0.68322786410195957</v>
      </c>
      <c r="Z22" s="23">
        <v>45778</v>
      </c>
      <c r="AA22" s="20">
        <v>23431.530000000013</v>
      </c>
      <c r="AB22" s="21">
        <v>46689.009999999995</v>
      </c>
      <c r="AC22" s="22"/>
    </row>
    <row r="23" spans="2:29" x14ac:dyDescent="0.35">
      <c r="B23" s="5" t="s">
        <v>3710</v>
      </c>
      <c r="C23" s="11">
        <v>17758.059999999994</v>
      </c>
      <c r="D23" s="11">
        <v>28961.449999999993</v>
      </c>
      <c r="E23" s="11">
        <v>46719.509999999987</v>
      </c>
      <c r="F23" s="6">
        <f t="shared" si="0"/>
        <v>11203.39</v>
      </c>
      <c r="G23" s="7">
        <f t="shared" si="1"/>
        <v>0.38683802088638525</v>
      </c>
      <c r="Z23" s="23">
        <v>45809</v>
      </c>
      <c r="AA23" s="20">
        <v>14547.259999999998</v>
      </c>
      <c r="AB23" s="21">
        <v>33246.759999999995</v>
      </c>
      <c r="AC23" s="22"/>
    </row>
    <row r="24" spans="2:29" x14ac:dyDescent="0.35">
      <c r="B24" s="5" t="s">
        <v>3711</v>
      </c>
      <c r="C24" s="11">
        <v>14106.979999999996</v>
      </c>
      <c r="D24" s="11">
        <v>35508.620000000003</v>
      </c>
      <c r="E24" s="11">
        <v>49615.6</v>
      </c>
      <c r="F24" s="6">
        <f t="shared" si="0"/>
        <v>21401.640000000007</v>
      </c>
      <c r="G24" s="7">
        <f t="shared" si="1"/>
        <v>0.60271674877818415</v>
      </c>
      <c r="Z24" s="23">
        <v>45839</v>
      </c>
      <c r="AA24" s="20">
        <v>18124.389999999992</v>
      </c>
      <c r="AB24" s="21">
        <v>33853.410000000003</v>
      </c>
      <c r="AC24" s="22"/>
    </row>
    <row r="25" spans="2:29" x14ac:dyDescent="0.35">
      <c r="B25" s="5" t="s">
        <v>3712</v>
      </c>
      <c r="C25" s="11">
        <v>18351.900000000005</v>
      </c>
      <c r="D25" s="11">
        <v>40168.51</v>
      </c>
      <c r="E25" s="11">
        <v>58520.41</v>
      </c>
      <c r="F25" s="6">
        <f t="shared" si="0"/>
        <v>21816.609999999997</v>
      </c>
      <c r="G25" s="7">
        <f t="shared" si="1"/>
        <v>0.54312719092642459</v>
      </c>
      <c r="Z25" s="23">
        <v>45870</v>
      </c>
      <c r="AA25" s="20">
        <v>18291.590000000004</v>
      </c>
      <c r="AB25" s="21">
        <v>54924.19000000001</v>
      </c>
      <c r="AC25" s="22"/>
    </row>
    <row r="26" spans="2:29" x14ac:dyDescent="0.35">
      <c r="B26" s="5" t="s">
        <v>3713</v>
      </c>
      <c r="C26" s="11">
        <v>22915.770000000008</v>
      </c>
      <c r="D26" s="11">
        <v>40506.919999999984</v>
      </c>
      <c r="E26" s="11">
        <v>63422.689999999988</v>
      </c>
      <c r="F26" s="6">
        <f t="shared" si="0"/>
        <v>17591.149999999976</v>
      </c>
      <c r="G26" s="7">
        <f t="shared" si="1"/>
        <v>0.43427518063580206</v>
      </c>
      <c r="Z26" s="23">
        <v>45901</v>
      </c>
      <c r="AA26" s="20">
        <v>17912.450000000004</v>
      </c>
      <c r="AB26" s="21">
        <v>37130.530000000006</v>
      </c>
      <c r="AC26" s="22"/>
    </row>
    <row r="27" spans="2:29" x14ac:dyDescent="0.35">
      <c r="B27" s="5" t="s">
        <v>3714</v>
      </c>
      <c r="C27" s="11">
        <v>19155.999999999996</v>
      </c>
      <c r="D27" s="11">
        <v>30431.579999999998</v>
      </c>
      <c r="E27" s="11">
        <v>49587.579999999994</v>
      </c>
      <c r="F27" s="6">
        <f t="shared" si="0"/>
        <v>11275.580000000002</v>
      </c>
      <c r="G27" s="7">
        <f t="shared" si="1"/>
        <v>0.37052233239286303</v>
      </c>
      <c r="Z27" s="23">
        <v>45931</v>
      </c>
      <c r="AA27" s="20">
        <v>18396.350000000006</v>
      </c>
      <c r="AB27" s="21">
        <v>28369.590000000004</v>
      </c>
      <c r="AC27" s="22"/>
    </row>
    <row r="28" spans="2:29" ht="18.5" x14ac:dyDescent="0.45">
      <c r="B28" s="14" t="s">
        <v>3740</v>
      </c>
      <c r="C28" s="15">
        <v>368935.91000000003</v>
      </c>
      <c r="D28" s="15">
        <v>817176.77999999991</v>
      </c>
      <c r="E28" s="15">
        <v>1186112.6900000002</v>
      </c>
      <c r="F28" s="15">
        <f t="shared" si="0"/>
        <v>448240.86999999988</v>
      </c>
      <c r="G28" s="24">
        <f t="shared" si="1"/>
        <v>0.5485237478235736</v>
      </c>
      <c r="Z28" s="23">
        <v>45962</v>
      </c>
      <c r="AA28" s="20">
        <v>18523.360000000015</v>
      </c>
      <c r="AB28" s="21">
        <v>29201.789999999994</v>
      </c>
      <c r="AC28" s="22"/>
    </row>
    <row r="29" spans="2:29" x14ac:dyDescent="0.35">
      <c r="Z29" s="23">
        <v>45992</v>
      </c>
      <c r="AA29" s="20">
        <v>12548.409999999998</v>
      </c>
      <c r="AB29" s="21">
        <v>48831.779999999984</v>
      </c>
      <c r="AC29" s="22"/>
    </row>
    <row r="30" spans="2:29" x14ac:dyDescent="0.35">
      <c r="Z30" s="23">
        <v>46023</v>
      </c>
      <c r="AA30" s="20">
        <v>14793.189999999995</v>
      </c>
      <c r="AB30" s="21">
        <v>45934.130000000012</v>
      </c>
      <c r="AC30" s="22"/>
    </row>
    <row r="31" spans="2:29" x14ac:dyDescent="0.35">
      <c r="Z31" s="23">
        <v>46054</v>
      </c>
      <c r="AA31" s="20">
        <v>17780.669999999995</v>
      </c>
      <c r="AB31" s="21">
        <v>33306.829999999994</v>
      </c>
      <c r="AC31" s="22"/>
    </row>
    <row r="32" spans="2:29" x14ac:dyDescent="0.35">
      <c r="Z32" s="23">
        <v>46082</v>
      </c>
      <c r="AA32" s="20">
        <v>18342.589999999997</v>
      </c>
      <c r="AB32" s="21">
        <v>38487.049999999996</v>
      </c>
      <c r="AC32" s="22"/>
    </row>
    <row r="33" spans="26:29" x14ac:dyDescent="0.35">
      <c r="Z33" s="23">
        <v>46113</v>
      </c>
      <c r="AA33" s="20">
        <v>19296.200000000004</v>
      </c>
      <c r="AB33" s="21">
        <v>60915.079999999994</v>
      </c>
      <c r="AC33" s="22"/>
    </row>
    <row r="34" spans="26:29" x14ac:dyDescent="0.35">
      <c r="Z34" s="23">
        <v>46143</v>
      </c>
      <c r="AA34" s="20">
        <v>17758.059999999994</v>
      </c>
      <c r="AB34" s="21">
        <v>28961.449999999993</v>
      </c>
      <c r="AC34" s="22"/>
    </row>
    <row r="35" spans="26:29" x14ac:dyDescent="0.35">
      <c r="Z35" s="23">
        <v>46174</v>
      </c>
      <c r="AA35" s="20">
        <v>14106.979999999996</v>
      </c>
      <c r="AB35" s="21">
        <v>35508.620000000003</v>
      </c>
      <c r="AC35" s="22"/>
    </row>
    <row r="36" spans="26:29" x14ac:dyDescent="0.35">
      <c r="Z36" s="23">
        <v>46204</v>
      </c>
      <c r="AA36" s="20">
        <v>18351.900000000005</v>
      </c>
      <c r="AB36" s="21">
        <v>40168.51</v>
      </c>
      <c r="AC36" s="22"/>
    </row>
    <row r="37" spans="26:29" x14ac:dyDescent="0.35">
      <c r="Z37" s="23">
        <v>46235</v>
      </c>
      <c r="AA37" s="20">
        <v>22915.770000000008</v>
      </c>
      <c r="AB37" s="21">
        <v>40506.919999999984</v>
      </c>
      <c r="AC37" s="22"/>
    </row>
    <row r="38" spans="26:29" x14ac:dyDescent="0.35">
      <c r="Z38" s="23">
        <v>46266</v>
      </c>
      <c r="AA38" s="20">
        <v>19155.999999999996</v>
      </c>
      <c r="AB38" s="21">
        <v>30431.579999999998</v>
      </c>
      <c r="AC38" s="22"/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9D0D-C27F-4EBD-8755-A0A41EC59CF1}">
  <sheetPr codeName="Sheet5"/>
  <dimension ref="B6:BD32"/>
  <sheetViews>
    <sheetView topLeftCell="A4" zoomScale="130" zoomScaleNormal="130" workbookViewId="0">
      <selection activeCell="E45" sqref="E45"/>
    </sheetView>
  </sheetViews>
  <sheetFormatPr defaultRowHeight="14.5" x14ac:dyDescent="0.35"/>
  <cols>
    <col min="2" max="2" width="15.1796875" bestFit="1" customWidth="1"/>
    <col min="3" max="3" width="19.1796875" bestFit="1" customWidth="1"/>
    <col min="4" max="4" width="16.36328125" bestFit="1" customWidth="1"/>
    <col min="5" max="5" width="10.81640625" bestFit="1" customWidth="1"/>
    <col min="12" max="12" width="19.26953125" bestFit="1" customWidth="1"/>
    <col min="13" max="13" width="26.453125" bestFit="1" customWidth="1"/>
    <col min="14" max="14" width="15.453125" bestFit="1" customWidth="1"/>
    <col min="18" max="18" width="15.1796875" bestFit="1" customWidth="1"/>
    <col min="19" max="19" width="17.7265625" bestFit="1" customWidth="1"/>
    <col min="20" max="20" width="15.453125" bestFit="1" customWidth="1"/>
    <col min="54" max="54" width="14.26953125" customWidth="1"/>
    <col min="55" max="55" width="18.7265625" customWidth="1"/>
    <col min="56" max="56" width="17.1796875" customWidth="1"/>
  </cols>
  <sheetData>
    <row r="6" spans="2:56" ht="18.5" x14ac:dyDescent="0.45">
      <c r="B6" s="17" t="s">
        <v>5</v>
      </c>
      <c r="C6" s="17" t="s">
        <v>14</v>
      </c>
      <c r="L6" s="14" t="s">
        <v>5</v>
      </c>
      <c r="M6" s="14" t="s">
        <v>54</v>
      </c>
    </row>
    <row r="8" spans="2:56" ht="18.5" x14ac:dyDescent="0.45">
      <c r="B8" s="14" t="s">
        <v>3743</v>
      </c>
      <c r="C8" s="14" t="s">
        <v>3741</v>
      </c>
      <c r="D8" s="14" t="s">
        <v>3728</v>
      </c>
      <c r="L8" s="14" t="s">
        <v>3742</v>
      </c>
      <c r="M8" s="14" t="s">
        <v>3744</v>
      </c>
      <c r="N8" s="14" t="s">
        <v>3729</v>
      </c>
    </row>
    <row r="9" spans="2:56" x14ac:dyDescent="0.35">
      <c r="B9" s="4" t="s">
        <v>29</v>
      </c>
      <c r="C9" s="11">
        <v>14702.369999999997</v>
      </c>
      <c r="D9" s="16">
        <f t="shared" ref="D9:D15" si="0">C9/$C$16</f>
        <v>3.9850742639825978E-2</v>
      </c>
      <c r="L9" s="4" t="s">
        <v>55</v>
      </c>
      <c r="M9" s="11">
        <v>168938.73999999996</v>
      </c>
      <c r="N9" s="16">
        <f>M9/$M$12</f>
        <v>0.20673463090813721</v>
      </c>
    </row>
    <row r="10" spans="2:56" x14ac:dyDescent="0.35">
      <c r="B10" s="4" t="s">
        <v>12</v>
      </c>
      <c r="C10" s="11">
        <v>37618.799999999996</v>
      </c>
      <c r="D10" s="16">
        <f t="shared" si="0"/>
        <v>0.10196567745330078</v>
      </c>
      <c r="L10" s="4" t="s">
        <v>64</v>
      </c>
      <c r="M10" s="11">
        <v>80412.049999999988</v>
      </c>
      <c r="N10" s="16">
        <f>M10/$M$12</f>
        <v>9.8402269824651681E-2</v>
      </c>
    </row>
    <row r="11" spans="2:56" x14ac:dyDescent="0.35">
      <c r="B11" s="4" t="s">
        <v>101</v>
      </c>
      <c r="C11" s="11">
        <v>18982.549999999985</v>
      </c>
      <c r="D11" s="16">
        <f t="shared" si="0"/>
        <v>5.1452161433675536E-2</v>
      </c>
      <c r="L11" s="4" t="s">
        <v>74</v>
      </c>
      <c r="M11" s="11">
        <v>567825.98999999976</v>
      </c>
      <c r="N11" s="16">
        <f>M11/$M$12</f>
        <v>0.69486309926721113</v>
      </c>
    </row>
    <row r="12" spans="2:56" ht="18.5" x14ac:dyDescent="0.45">
      <c r="B12" s="4" t="s">
        <v>59</v>
      </c>
      <c r="C12" s="11">
        <v>131986.40999999997</v>
      </c>
      <c r="D12" s="16">
        <f t="shared" si="0"/>
        <v>0.35774888381019893</v>
      </c>
      <c r="L12" s="31" t="s">
        <v>3703</v>
      </c>
      <c r="M12" s="30">
        <v>817176.77999999968</v>
      </c>
      <c r="N12" s="14"/>
    </row>
    <row r="13" spans="2:56" x14ac:dyDescent="0.35">
      <c r="B13" s="4" t="s">
        <v>34</v>
      </c>
      <c r="C13" s="11">
        <v>74914.87999999999</v>
      </c>
      <c r="D13" s="16">
        <f t="shared" si="0"/>
        <v>0.20305662303243946</v>
      </c>
    </row>
    <row r="14" spans="2:56" ht="18.5" x14ac:dyDescent="0.45">
      <c r="B14" s="4" t="s">
        <v>80</v>
      </c>
      <c r="C14" s="11">
        <v>32064.920000000009</v>
      </c>
      <c r="D14" s="16">
        <f t="shared" si="0"/>
        <v>8.6911897516292233E-2</v>
      </c>
      <c r="BB14" s="14" t="s">
        <v>3702</v>
      </c>
      <c r="BC14" s="14" t="s">
        <v>3719</v>
      </c>
      <c r="BD14" s="14" t="s">
        <v>3729</v>
      </c>
    </row>
    <row r="15" spans="2:56" x14ac:dyDescent="0.35">
      <c r="B15" s="4" t="s">
        <v>69</v>
      </c>
      <c r="C15" s="11">
        <v>58665.979999999996</v>
      </c>
      <c r="D15" s="16">
        <f t="shared" si="0"/>
        <v>0.15901401411426719</v>
      </c>
      <c r="BB15" s="4" t="s">
        <v>55</v>
      </c>
      <c r="BC15" s="11">
        <v>168938.73999999996</v>
      </c>
      <c r="BD15" s="16">
        <f>BC15/$M$12</f>
        <v>0.20673463090813721</v>
      </c>
    </row>
    <row r="16" spans="2:56" ht="18.5" x14ac:dyDescent="0.45">
      <c r="B16" s="14" t="s">
        <v>3740</v>
      </c>
      <c r="C16" s="15">
        <v>368935.90999999992</v>
      </c>
      <c r="D16" s="13"/>
      <c r="BB16" s="4" t="s">
        <v>64</v>
      </c>
      <c r="BC16" s="11">
        <v>80412.049999999988</v>
      </c>
      <c r="BD16" s="16">
        <f>BC16/$M$12</f>
        <v>9.8402269824651681E-2</v>
      </c>
    </row>
    <row r="17" spans="54:56" x14ac:dyDescent="0.35">
      <c r="BB17" s="4" t="s">
        <v>74</v>
      </c>
      <c r="BC17" s="11">
        <v>567825.98999999976</v>
      </c>
      <c r="BD17" s="16">
        <f>BC17/$M$12</f>
        <v>0.69486309926721113</v>
      </c>
    </row>
    <row r="24" spans="54:56" ht="18.5" x14ac:dyDescent="0.45">
      <c r="BB24" s="14" t="s">
        <v>3702</v>
      </c>
      <c r="BC24" s="14" t="s">
        <v>3719</v>
      </c>
      <c r="BD24" s="14" t="s">
        <v>3728</v>
      </c>
    </row>
    <row r="25" spans="54:56" x14ac:dyDescent="0.35">
      <c r="BB25" s="4" t="s">
        <v>29</v>
      </c>
      <c r="BC25" s="11">
        <v>14702.369999999997</v>
      </c>
      <c r="BD25" s="16">
        <f t="shared" ref="BD25:BD31" si="1">BC25/$C$16</f>
        <v>3.9850742639825978E-2</v>
      </c>
    </row>
    <row r="26" spans="54:56" x14ac:dyDescent="0.35">
      <c r="BB26" s="4" t="s">
        <v>101</v>
      </c>
      <c r="BC26" s="11">
        <v>18982.549999999985</v>
      </c>
      <c r="BD26" s="16">
        <f t="shared" si="1"/>
        <v>5.1452161433675536E-2</v>
      </c>
    </row>
    <row r="27" spans="54:56" x14ac:dyDescent="0.35">
      <c r="BB27" s="4" t="s">
        <v>80</v>
      </c>
      <c r="BC27" s="11">
        <v>32064.920000000009</v>
      </c>
      <c r="BD27" s="16">
        <f t="shared" si="1"/>
        <v>8.6911897516292233E-2</v>
      </c>
    </row>
    <row r="28" spans="54:56" x14ac:dyDescent="0.35">
      <c r="BB28" s="4" t="s">
        <v>12</v>
      </c>
      <c r="BC28" s="11">
        <v>37618.799999999996</v>
      </c>
      <c r="BD28" s="16">
        <f t="shared" si="1"/>
        <v>0.10196567745330078</v>
      </c>
    </row>
    <row r="29" spans="54:56" x14ac:dyDescent="0.35">
      <c r="BB29" s="4" t="s">
        <v>69</v>
      </c>
      <c r="BC29" s="11">
        <v>58665.979999999996</v>
      </c>
      <c r="BD29" s="16">
        <f t="shared" si="1"/>
        <v>0.15901401411426719</v>
      </c>
    </row>
    <row r="30" spans="54:56" x14ac:dyDescent="0.35">
      <c r="BB30" s="4" t="s">
        <v>34</v>
      </c>
      <c r="BC30" s="11">
        <v>74914.87999999999</v>
      </c>
      <c r="BD30" s="16">
        <f t="shared" si="1"/>
        <v>0.20305662303243946</v>
      </c>
    </row>
    <row r="31" spans="54:56" x14ac:dyDescent="0.35">
      <c r="BB31" s="4" t="s">
        <v>59</v>
      </c>
      <c r="BC31" s="11">
        <v>131986.40999999997</v>
      </c>
      <c r="BD31" s="16">
        <f t="shared" si="1"/>
        <v>0.35774888381019893</v>
      </c>
    </row>
    <row r="32" spans="54:56" ht="18.5" x14ac:dyDescent="0.45"/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E5FD-E42F-4FBB-A6AC-FCE2DC485A80}">
  <sheetPr codeName="Sheet6"/>
  <dimension ref="B3:N39"/>
  <sheetViews>
    <sheetView showGridLines="0" tabSelected="1" zoomScaleNormal="100" workbookViewId="0">
      <selection activeCell="Y54" sqref="Y54"/>
    </sheetView>
  </sheetViews>
  <sheetFormatPr defaultRowHeight="14.5" x14ac:dyDescent="0.35"/>
  <cols>
    <col min="2" max="2" width="70.81640625" bestFit="1" customWidth="1"/>
    <col min="4" max="4" width="17.1796875" bestFit="1" customWidth="1"/>
    <col min="5" max="5" width="9" customWidth="1"/>
    <col min="6" max="6" width="19.26953125" bestFit="1" customWidth="1"/>
    <col min="8" max="8" width="15.26953125" bestFit="1" customWidth="1"/>
    <col min="10" max="10" width="16.453125" bestFit="1" customWidth="1"/>
    <col min="12" max="12" width="30.08984375" bestFit="1" customWidth="1"/>
    <col min="14" max="14" width="23.453125" bestFit="1" customWidth="1"/>
  </cols>
  <sheetData>
    <row r="3" spans="2:14" ht="21" x14ac:dyDescent="0.5">
      <c r="B3" s="18" t="s">
        <v>3731</v>
      </c>
    </row>
    <row r="4" spans="2:14" ht="18.5" x14ac:dyDescent="0.45">
      <c r="B4" s="14" t="s">
        <v>3732</v>
      </c>
    </row>
    <row r="6" spans="2:14" ht="21" x14ac:dyDescent="0.5">
      <c r="D6" s="8" t="s">
        <v>3694</v>
      </c>
      <c r="F6" s="8" t="s">
        <v>3695</v>
      </c>
      <c r="H6" s="8" t="s">
        <v>3696</v>
      </c>
      <c r="J6" s="8" t="s">
        <v>3697</v>
      </c>
      <c r="L6" s="8" t="s">
        <v>3733</v>
      </c>
      <c r="N6" s="8" t="s">
        <v>3698</v>
      </c>
    </row>
    <row r="7" spans="2:14" ht="15.5" x14ac:dyDescent="0.35">
      <c r="D7" s="27">
        <f>Analysis!C6</f>
        <v>817176.77999999933</v>
      </c>
      <c r="F7" s="27">
        <f>Analysis!C8</f>
        <v>368935.9100000012</v>
      </c>
      <c r="H7" s="27">
        <f>Analysis!C10</f>
        <v>448240.86999999813</v>
      </c>
      <c r="J7" s="26">
        <f>Analysis!C12</f>
        <v>0.54852374782357194</v>
      </c>
      <c r="L7" s="37">
        <f>Analysis!C22</f>
        <v>2.2149559255427227</v>
      </c>
      <c r="N7" s="25">
        <f>Analysis!C14</f>
        <v>3500</v>
      </c>
    </row>
    <row r="9" spans="2:14" x14ac:dyDescent="0.35">
      <c r="E9" s="12"/>
    </row>
    <row r="34" spans="2:2" ht="21" x14ac:dyDescent="0.5">
      <c r="B34" s="8" t="s">
        <v>3739</v>
      </c>
    </row>
    <row r="35" spans="2:2" ht="21" x14ac:dyDescent="0.5">
      <c r="B35" s="28" t="s">
        <v>3736</v>
      </c>
    </row>
    <row r="36" spans="2:2" ht="21" x14ac:dyDescent="0.5">
      <c r="B36" s="29"/>
    </row>
    <row r="37" spans="2:2" ht="21" x14ac:dyDescent="0.5">
      <c r="B37" s="28" t="s">
        <v>3737</v>
      </c>
    </row>
    <row r="38" spans="2:2" ht="21" x14ac:dyDescent="0.5">
      <c r="B38" s="29"/>
    </row>
    <row r="39" spans="2:2" ht="21" x14ac:dyDescent="0.5">
      <c r="B39" s="28" t="s">
        <v>3738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A2E23A-5092-478A-92CB-C953CD77BC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 Table</vt:lpstr>
      <vt:lpstr>Analysis</vt:lpstr>
      <vt:lpstr>Raw_Data</vt:lpstr>
      <vt:lpstr>Monthly Analysis</vt:lpstr>
      <vt:lpstr>Expense &amp; Income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tomás santos</cp:lastModifiedBy>
  <dcterms:created xsi:type="dcterms:W3CDTF">2026-10-05T05:33:38Z</dcterms:created>
  <dcterms:modified xsi:type="dcterms:W3CDTF">2026-10-18T09:26:19Z</dcterms:modified>
</cp:coreProperties>
</file>